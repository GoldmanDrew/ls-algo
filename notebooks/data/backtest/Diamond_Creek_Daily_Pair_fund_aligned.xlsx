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IRS" sheetId="1" state="visible" r:id="rId1"/>
    <sheet xmlns:r="http://schemas.openxmlformats.org/officeDocument/2006/relationships" name="AAPL_AAPB" sheetId="2" state="visible" r:id="rId2"/>
    <sheet xmlns:r="http://schemas.openxmlformats.org/officeDocument/2006/relationships" name="AAPL_AAPU" sheetId="3" state="visible" r:id="rId3"/>
    <sheet xmlns:r="http://schemas.openxmlformats.org/officeDocument/2006/relationships" name="AMZN_AMZU" sheetId="4" state="visible" r:id="rId4"/>
    <sheet xmlns:r="http://schemas.openxmlformats.org/officeDocument/2006/relationships" name="ARKK_TARK" sheetId="5" state="visible" r:id="rId5"/>
    <sheet xmlns:r="http://schemas.openxmlformats.org/officeDocument/2006/relationships" name="ASHR_CHAU" sheetId="6" state="visible" r:id="rId6"/>
    <sheet xmlns:r="http://schemas.openxmlformats.org/officeDocument/2006/relationships" name="BABA_BABX" sheetId="7" state="visible" r:id="rId7"/>
    <sheet xmlns:r="http://schemas.openxmlformats.org/officeDocument/2006/relationships" name="COIN_CONL" sheetId="8" state="visible" r:id="rId8"/>
    <sheet xmlns:r="http://schemas.openxmlformats.org/officeDocument/2006/relationships" name="EWW_MEXX" sheetId="9" state="visible" r:id="rId9"/>
    <sheet xmlns:r="http://schemas.openxmlformats.org/officeDocument/2006/relationships" name="EWY_KORU" sheetId="10" state="visible" r:id="rId10"/>
    <sheet xmlns:r="http://schemas.openxmlformats.org/officeDocument/2006/relationships" name="FXI_YINN" sheetId="11" state="visible" r:id="rId11"/>
    <sheet xmlns:r="http://schemas.openxmlformats.org/officeDocument/2006/relationships" name="GDXJ_JNUG" sheetId="12" state="visible" r:id="rId12"/>
    <sheet xmlns:r="http://schemas.openxmlformats.org/officeDocument/2006/relationships" name="GDX_GDXU" sheetId="13" state="visible" r:id="rId13"/>
    <sheet xmlns:r="http://schemas.openxmlformats.org/officeDocument/2006/relationships" name="GDX_NUGT" sheetId="14" state="visible" r:id="rId14"/>
    <sheet xmlns:r="http://schemas.openxmlformats.org/officeDocument/2006/relationships" name="GOOGL_GGLL" sheetId="15" state="visible" r:id="rId15"/>
    <sheet xmlns:r="http://schemas.openxmlformats.org/officeDocument/2006/relationships" name="KWEB_CWEB" sheetId="16" state="visible" r:id="rId16"/>
    <sheet xmlns:r="http://schemas.openxmlformats.org/officeDocument/2006/relationships" name="META_FBL" sheetId="17" state="visible" r:id="rId17"/>
    <sheet xmlns:r="http://schemas.openxmlformats.org/officeDocument/2006/relationships" name="MSFT_MSFU" sheetId="18" state="visible" r:id="rId18"/>
    <sheet xmlns:r="http://schemas.openxmlformats.org/officeDocument/2006/relationships" name="NVDA_NVDL" sheetId="19" state="visible" r:id="rId19"/>
    <sheet xmlns:r="http://schemas.openxmlformats.org/officeDocument/2006/relationships" name="SOXX_SOXL" sheetId="20" state="visible" r:id="rId20"/>
    <sheet xmlns:r="http://schemas.openxmlformats.org/officeDocument/2006/relationships" name="SOXX_SOXS" sheetId="21" state="visible" r:id="rId21"/>
    <sheet xmlns:r="http://schemas.openxmlformats.org/officeDocument/2006/relationships" name="SPHB_HIBL" sheetId="22" state="visible" r:id="rId22"/>
    <sheet xmlns:r="http://schemas.openxmlformats.org/officeDocument/2006/relationships" name="TSLA_TSLL" sheetId="23" state="visible" r:id="rId23"/>
    <sheet xmlns:r="http://schemas.openxmlformats.org/officeDocument/2006/relationships" name="TSLA_TSLQ" sheetId="24" state="visible" r:id="rId24"/>
    <sheet xmlns:r="http://schemas.openxmlformats.org/officeDocument/2006/relationships" name="XBI_LABU" sheetId="25" state="visible" r:id="rId25"/>
    <sheet xmlns:r="http://schemas.openxmlformats.org/officeDocument/2006/relationships" name="XLE_ERX" sheetId="26" state="visible" r:id="rId26"/>
    <sheet xmlns:r="http://schemas.openxmlformats.org/officeDocument/2006/relationships" name="XOP_GUSH" sheetId="27" state="visible" r:id="rId27"/>
    <sheet xmlns:r="http://schemas.openxmlformats.org/officeDocument/2006/relationships" name="portfolio_ledger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Underlying Price</t>
        </is>
      </c>
      <c r="E1" t="inlineStr">
        <is>
          <t>ETF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  <c r="Q1" t="inlineStr">
        <is>
          <t>fed_funds_rate</t>
        </is>
      </c>
      <c r="R1" t="inlineStr">
        <is>
          <t>daily_txn_cost_usd</t>
        </is>
      </c>
      <c r="S1" t="inlineStr">
        <is>
          <t>daily_pair_net_pnl_usd</t>
        </is>
      </c>
    </row>
    <row r="2">
      <c r="A2" s="1" t="n">
        <v>44929</v>
      </c>
      <c r="B2" t="inlineStr">
        <is>
          <t>AAPB</t>
        </is>
      </c>
      <c r="C2" t="inlineStr">
        <is>
          <t>AAPL</t>
        </is>
      </c>
      <c r="D2" t="n">
        <v>123.0960159301758</v>
      </c>
      <c r="E2" t="n">
        <v>-11.66390609741211</v>
      </c>
      <c r="F2" t="n">
        <v>9028</v>
      </c>
      <c r="G2" t="n">
        <v>-47878</v>
      </c>
      <c r="H2">
        <f>D2*F2</f>
        <v/>
      </c>
      <c r="I2">
        <f>E2*G2</f>
        <v/>
      </c>
      <c r="J2">
        <f>H2-I2</f>
        <v/>
      </c>
      <c r="K2" t="n">
        <v>-0.005</v>
      </c>
      <c r="L2" t="n">
        <v>0</v>
      </c>
      <c r="M2" t="n">
        <v>0</v>
      </c>
      <c r="N2" t="n">
        <v>162.6936412056705</v>
      </c>
      <c r="O2" t="n">
        <v>1</v>
      </c>
      <c r="P2" t="n">
        <v>162.6936412056705</v>
      </c>
      <c r="Q2" t="n">
        <v>0.0432</v>
      </c>
      <c r="R2" t="n">
        <v>932.6814803396437</v>
      </c>
      <c r="S2" t="n">
        <v>-1928.840627082021</v>
      </c>
    </row>
    <row r="3">
      <c r="A3" s="1" t="n">
        <v>44929</v>
      </c>
      <c r="B3" t="inlineStr">
        <is>
          <t>AAPU</t>
        </is>
      </c>
      <c r="C3" t="inlineStr">
        <is>
          <t>AAPL</t>
        </is>
      </c>
      <c r="D3" t="n">
        <v>123.0960159301758</v>
      </c>
      <c r="E3" t="n">
        <v>-12.15152263641357</v>
      </c>
      <c r="F3" t="n">
        <v>7633</v>
      </c>
      <c r="G3" t="n">
        <v>-38936</v>
      </c>
      <c r="H3">
        <f>D3*F3</f>
        <v/>
      </c>
      <c r="I3">
        <f>E3*G3</f>
        <v/>
      </c>
      <c r="J3">
        <f>H3-I3</f>
        <v/>
      </c>
      <c r="K3" t="n">
        <v>0.02</v>
      </c>
      <c r="L3" t="n">
        <v>0</v>
      </c>
      <c r="M3" t="n">
        <v>0</v>
      </c>
      <c r="N3" t="n">
        <v>162.6936412056705</v>
      </c>
      <c r="O3" t="n">
        <v>1</v>
      </c>
      <c r="P3" t="n">
        <v>162.6936412056705</v>
      </c>
      <c r="Q3" t="n">
        <v>0.0432</v>
      </c>
      <c r="R3" t="n">
        <v>789.1102924812679</v>
      </c>
      <c r="S3" t="n">
        <v>-1785.269439223645</v>
      </c>
    </row>
    <row r="4">
      <c r="A4" s="1" t="n">
        <v>44929</v>
      </c>
      <c r="B4" t="inlineStr">
        <is>
          <t>AMZU</t>
        </is>
      </c>
      <c r="C4" t="inlineStr">
        <is>
          <t>AMZN</t>
        </is>
      </c>
      <c r="D4" t="n">
        <v>85.81999969482422</v>
      </c>
      <c r="E4" t="n">
        <v>-11.52647113800049</v>
      </c>
      <c r="F4" t="n">
        <v>27599</v>
      </c>
      <c r="G4" t="n">
        <v>-103312</v>
      </c>
      <c r="H4">
        <f>D4*F4</f>
        <v/>
      </c>
      <c r="I4">
        <f>E4*G4</f>
        <v/>
      </c>
      <c r="J4">
        <f>H4-I4</f>
        <v/>
      </c>
      <c r="K4" t="n">
        <v>-0.0025</v>
      </c>
      <c r="L4" t="n">
        <v>0</v>
      </c>
      <c r="M4" t="n">
        <v>0</v>
      </c>
      <c r="N4" t="n">
        <v>162.6936412056705</v>
      </c>
      <c r="O4" t="n">
        <v>1</v>
      </c>
      <c r="P4" t="n">
        <v>162.6936412056705</v>
      </c>
      <c r="Q4" t="n">
        <v>0.0432</v>
      </c>
      <c r="R4" t="n">
        <v>2012.044987240573</v>
      </c>
      <c r="S4" t="n">
        <v>-3008.20413398295</v>
      </c>
    </row>
    <row r="5">
      <c r="A5" s="1" t="n">
        <v>44929</v>
      </c>
      <c r="B5" t="inlineStr">
        <is>
          <t>TARK</t>
        </is>
      </c>
      <c r="C5" t="inlineStr">
        <is>
          <t>ARKK</t>
        </is>
      </c>
      <c r="D5" t="n">
        <v>30.20806884765625</v>
      </c>
      <c r="E5" t="n">
        <v>-15.6141881942749</v>
      </c>
      <c r="F5" t="n">
        <v>20537</v>
      </c>
      <c r="G5" t="n">
        <v>-20077</v>
      </c>
      <c r="H5">
        <f>D5*F5</f>
        <v/>
      </c>
      <c r="I5">
        <f>E5*G5</f>
        <v/>
      </c>
      <c r="J5">
        <f>H5-I5</f>
        <v/>
      </c>
      <c r="K5" t="n">
        <v>-0.02</v>
      </c>
      <c r="L5" t="n">
        <v>0</v>
      </c>
      <c r="M5" t="n">
        <v>0</v>
      </c>
      <c r="N5" t="n">
        <v>162.6936412056705</v>
      </c>
      <c r="O5" t="n">
        <v>1</v>
      </c>
      <c r="P5" t="n">
        <v>162.6936412056705</v>
      </c>
      <c r="Q5" t="n">
        <v>0.0432</v>
      </c>
      <c r="R5" t="n">
        <v>565.9804373442041</v>
      </c>
      <c r="S5" t="n">
        <v>-1562.139584086581</v>
      </c>
    </row>
    <row r="6">
      <c r="A6" s="1" t="n">
        <v>44929</v>
      </c>
      <c r="B6" t="inlineStr">
        <is>
          <t>CHAU</t>
        </is>
      </c>
      <c r="C6" t="inlineStr">
        <is>
          <t>ASHR</t>
        </is>
      </c>
      <c r="D6" t="n">
        <v>26.66959190368652</v>
      </c>
      <c r="E6" t="n">
        <v>-18.89601707458496</v>
      </c>
      <c r="F6" t="n">
        <v>5713</v>
      </c>
      <c r="G6" t="n">
        <v>-4099</v>
      </c>
      <c r="H6">
        <f>D6*F6</f>
        <v/>
      </c>
      <c r="I6">
        <f>E6*G6</f>
        <v/>
      </c>
      <c r="J6">
        <f>H6-I6</f>
        <v/>
      </c>
      <c r="K6" t="n">
        <v>-0.01</v>
      </c>
      <c r="L6" t="n">
        <v>0</v>
      </c>
      <c r="M6" t="n">
        <v>0</v>
      </c>
      <c r="N6" t="n">
        <v>162.6936412056705</v>
      </c>
      <c r="O6" t="n">
        <v>1</v>
      </c>
      <c r="P6" t="n">
        <v>162.6936412056705</v>
      </c>
      <c r="Q6" t="n">
        <v>0.0432</v>
      </c>
      <c r="R6" t="n">
        <v>141.2023317861614</v>
      </c>
      <c r="S6" t="n">
        <v>-1137.361478528538</v>
      </c>
    </row>
    <row r="7">
      <c r="A7" s="1" t="n">
        <v>44929</v>
      </c>
      <c r="B7" t="inlineStr">
        <is>
          <t>BABX</t>
        </is>
      </c>
      <c r="C7" t="inlineStr">
        <is>
          <t>BABA</t>
        </is>
      </c>
      <c r="D7" t="n">
        <v>87.35295104980469</v>
      </c>
      <c r="E7" t="n">
        <v>-26.02000045776367</v>
      </c>
      <c r="F7" t="n">
        <v>5330</v>
      </c>
      <c r="G7" t="n">
        <v>-8920</v>
      </c>
      <c r="H7">
        <f>D7*F7</f>
        <v/>
      </c>
      <c r="I7">
        <f>E7*G7</f>
        <v/>
      </c>
      <c r="J7">
        <f>H7-I7</f>
        <v/>
      </c>
      <c r="K7" t="n">
        <v>-0.0275</v>
      </c>
      <c r="L7" t="n">
        <v>0</v>
      </c>
      <c r="M7" t="n">
        <v>0</v>
      </c>
      <c r="N7" t="n">
        <v>162.6936412056705</v>
      </c>
      <c r="O7" t="n">
        <v>1</v>
      </c>
      <c r="P7" t="n">
        <v>162.6936412056705</v>
      </c>
      <c r="Q7" t="n">
        <v>0.0432</v>
      </c>
      <c r="R7" t="n">
        <v>394.1197522493586</v>
      </c>
      <c r="S7" t="n">
        <v>-1390.278898991735</v>
      </c>
    </row>
    <row r="8">
      <c r="A8" s="1" t="n">
        <v>44929</v>
      </c>
      <c r="B8" t="inlineStr">
        <is>
          <t>CONL</t>
        </is>
      </c>
      <c r="C8" t="inlineStr">
        <is>
          <t>COIN</t>
        </is>
      </c>
      <c r="D8" t="n">
        <v>33.59999847412109</v>
      </c>
      <c r="E8" t="n">
        <v>-4.229519844055176</v>
      </c>
      <c r="F8" t="n">
        <v>98778</v>
      </c>
      <c r="G8" t="n">
        <v>-394919</v>
      </c>
      <c r="H8">
        <f>D8*F8</f>
        <v/>
      </c>
      <c r="I8">
        <f>E8*G8</f>
        <v/>
      </c>
      <c r="J8">
        <f>H8-I8</f>
        <v/>
      </c>
      <c r="K8" t="n">
        <v>0.03</v>
      </c>
      <c r="L8" t="n">
        <v>0</v>
      </c>
      <c r="M8" t="n">
        <v>0</v>
      </c>
      <c r="N8" t="n">
        <v>162.6936412056705</v>
      </c>
      <c r="O8" t="n">
        <v>1</v>
      </c>
      <c r="P8" t="n">
        <v>162.6936412056705</v>
      </c>
      <c r="Q8" t="n">
        <v>0.0432</v>
      </c>
      <c r="R8" t="n">
        <v>2992.093116718029</v>
      </c>
      <c r="S8" t="n">
        <v>-3988.252263460406</v>
      </c>
    </row>
    <row r="9">
      <c r="A9" s="1" t="n">
        <v>44929</v>
      </c>
      <c r="B9" t="inlineStr">
        <is>
          <t>MEXX</t>
        </is>
      </c>
      <c r="C9" t="inlineStr">
        <is>
          <t>EWW</t>
        </is>
      </c>
      <c r="D9" t="n">
        <v>45.60512924194336</v>
      </c>
      <c r="E9" t="n">
        <v>-16.08794212341309</v>
      </c>
      <c r="F9" t="n">
        <v>9067</v>
      </c>
      <c r="G9" t="n">
        <v>-8695</v>
      </c>
      <c r="H9">
        <f>D9*F9</f>
        <v/>
      </c>
      <c r="I9">
        <f>E9*G9</f>
        <v/>
      </c>
      <c r="J9">
        <f>H9-I9</f>
        <v/>
      </c>
      <c r="K9" t="n">
        <v>0.0075</v>
      </c>
      <c r="L9" t="n">
        <v>0</v>
      </c>
      <c r="M9" t="n">
        <v>0</v>
      </c>
      <c r="N9" t="n">
        <v>162.6936412056705</v>
      </c>
      <c r="O9" t="n">
        <v>1</v>
      </c>
      <c r="P9" t="n">
        <v>162.6936412056705</v>
      </c>
      <c r="Q9" t="n">
        <v>0.0432</v>
      </c>
      <c r="R9" t="n">
        <v>323.6280041070927</v>
      </c>
      <c r="S9" t="n">
        <v>-1319.78715084947</v>
      </c>
    </row>
    <row r="10">
      <c r="A10" s="1" t="n">
        <v>44929</v>
      </c>
      <c r="B10" t="inlineStr">
        <is>
          <t>KORU</t>
        </is>
      </c>
      <c r="C10" t="inlineStr">
        <is>
          <t>EWY</t>
        </is>
      </c>
      <c r="D10" t="n">
        <v>51.599609375</v>
      </c>
      <c r="E10" t="n">
        <v>-66.14919281005859</v>
      </c>
      <c r="F10" t="n">
        <v>12826</v>
      </c>
      <c r="G10" t="n">
        <v>-3410</v>
      </c>
      <c r="H10">
        <f>D10*F10</f>
        <v/>
      </c>
      <c r="I10">
        <f>E10*G10</f>
        <v/>
      </c>
      <c r="J10">
        <f>H10-I10</f>
        <v/>
      </c>
      <c r="K10" t="n">
        <v>0.0225</v>
      </c>
      <c r="L10" t="n">
        <v>0</v>
      </c>
      <c r="M10" t="n">
        <v>0</v>
      </c>
      <c r="N10" t="n">
        <v>162.6936412056705</v>
      </c>
      <c r="O10" t="n">
        <v>1</v>
      </c>
      <c r="P10" t="n">
        <v>162.6936412056705</v>
      </c>
      <c r="Q10" t="n">
        <v>0.0432</v>
      </c>
      <c r="R10" t="n">
        <v>514.658119179978</v>
      </c>
      <c r="S10" t="n">
        <v>-1510.817265922355</v>
      </c>
    </row>
    <row r="11">
      <c r="A11" s="1" t="n">
        <v>44929</v>
      </c>
      <c r="B11" t="inlineStr">
        <is>
          <t>YINN</t>
        </is>
      </c>
      <c r="C11" t="inlineStr">
        <is>
          <t>FXI</t>
        </is>
      </c>
      <c r="D11" t="n">
        <v>27.23507308959961</v>
      </c>
      <c r="E11" t="n">
        <v>-47.69095993041992</v>
      </c>
      <c r="F11" t="n">
        <v>35048</v>
      </c>
      <c r="G11" t="n">
        <v>-6728</v>
      </c>
      <c r="H11">
        <f>D11*F11</f>
        <v/>
      </c>
      <c r="I11">
        <f>E11*G11</f>
        <v/>
      </c>
      <c r="J11">
        <f>H11-I11</f>
        <v/>
      </c>
      <c r="K11" t="n">
        <v>-0.02</v>
      </c>
      <c r="L11" t="n">
        <v>0</v>
      </c>
      <c r="M11" t="n">
        <v>0</v>
      </c>
      <c r="N11" t="n">
        <v>162.6936412056705</v>
      </c>
      <c r="O11" t="n">
        <v>1</v>
      </c>
      <c r="P11" t="n">
        <v>162.6936412056705</v>
      </c>
      <c r="Q11" t="n">
        <v>0.0432</v>
      </c>
      <c r="R11" t="n">
        <v>781.7294303634332</v>
      </c>
      <c r="S11" t="n">
        <v>-1777.88857710581</v>
      </c>
    </row>
    <row r="12">
      <c r="A12" s="1" t="n">
        <v>44929</v>
      </c>
      <c r="B12" t="inlineStr">
        <is>
          <t>JNUG</t>
        </is>
      </c>
      <c r="C12" t="inlineStr">
        <is>
          <t>GDXJ</t>
        </is>
      </c>
      <c r="D12" t="n">
        <v>34.86901092529297</v>
      </c>
      <c r="E12" t="n">
        <v>-36.15386581420898</v>
      </c>
      <c r="F12" t="n">
        <v>13873</v>
      </c>
      <c r="G12" t="n">
        <v>-6778</v>
      </c>
      <c r="H12">
        <f>D12*F12</f>
        <v/>
      </c>
      <c r="I12">
        <f>E12*G12</f>
        <v/>
      </c>
      <c r="J12">
        <f>H12-I12</f>
        <v/>
      </c>
      <c r="K12" t="n">
        <v>-0.005</v>
      </c>
      <c r="L12" t="n">
        <v>0</v>
      </c>
      <c r="M12" t="n">
        <v>0</v>
      </c>
      <c r="N12" t="n">
        <v>162.6936412056705</v>
      </c>
      <c r="O12" t="n">
        <v>1</v>
      </c>
      <c r="P12" t="n">
        <v>162.6936412056705</v>
      </c>
      <c r="Q12" t="n">
        <v>0.0432</v>
      </c>
      <c r="R12" t="n">
        <v>435.5590826748029</v>
      </c>
      <c r="S12" t="n">
        <v>-1431.71822941718</v>
      </c>
    </row>
    <row r="13">
      <c r="A13" s="1" t="n">
        <v>44929</v>
      </c>
      <c r="B13" t="inlineStr">
        <is>
          <t>GDXU</t>
        </is>
      </c>
      <c r="C13" t="inlineStr">
        <is>
          <t>GDX</t>
        </is>
      </c>
      <c r="D13" t="n">
        <v>28.63426971435547</v>
      </c>
      <c r="E13" t="n">
        <v>-46.52000045776367</v>
      </c>
      <c r="F13" t="n">
        <v>53188</v>
      </c>
      <c r="G13" t="n">
        <v>-10762</v>
      </c>
      <c r="H13">
        <f>D13*F13</f>
        <v/>
      </c>
      <c r="I13">
        <f>E13*G13</f>
        <v/>
      </c>
      <c r="J13">
        <f>H13-I13</f>
        <v/>
      </c>
      <c r="K13" t="n">
        <v>-0.005</v>
      </c>
      <c r="L13" t="n">
        <v>0</v>
      </c>
      <c r="M13" t="n">
        <v>0</v>
      </c>
      <c r="N13" t="n">
        <v>162.6936412056705</v>
      </c>
      <c r="O13" t="n">
        <v>1</v>
      </c>
      <c r="P13" t="n">
        <v>162.6936412056705</v>
      </c>
      <c r="Q13" t="n">
        <v>0.0432</v>
      </c>
      <c r="R13" t="n">
        <v>1233.450492413441</v>
      </c>
      <c r="S13" t="n">
        <v>-2229.609639155818</v>
      </c>
    </row>
    <row r="14">
      <c r="A14" s="1" t="n">
        <v>44929</v>
      </c>
      <c r="B14" t="inlineStr">
        <is>
          <t>NUGT</t>
        </is>
      </c>
      <c r="C14" t="inlineStr">
        <is>
          <t>GDX</t>
        </is>
      </c>
      <c r="D14" t="n">
        <v>28.63426971435547</v>
      </c>
      <c r="E14" t="n">
        <v>-35.28509140014648</v>
      </c>
      <c r="F14" t="n">
        <v>15820</v>
      </c>
      <c r="G14" t="n">
        <v>-6494</v>
      </c>
      <c r="H14">
        <f>D14*F14</f>
        <v/>
      </c>
      <c r="I14">
        <f>E14*G14</f>
        <v/>
      </c>
      <c r="J14">
        <f>H14-I14</f>
        <v/>
      </c>
      <c r="K14" t="n">
        <v>-0.0175</v>
      </c>
      <c r="L14" t="n">
        <v>0</v>
      </c>
      <c r="M14" t="n">
        <v>0</v>
      </c>
      <c r="N14" t="n">
        <v>162.6936412056705</v>
      </c>
      <c r="O14" t="n">
        <v>1</v>
      </c>
      <c r="P14" t="n">
        <v>162.6936412056705</v>
      </c>
      <c r="Q14" t="n">
        <v>0.0432</v>
      </c>
      <c r="R14" t="n">
        <v>415.7741347999425</v>
      </c>
      <c r="S14" t="n">
        <v>-1411.933281542319</v>
      </c>
    </row>
    <row r="15">
      <c r="A15" s="1" t="n">
        <v>44929</v>
      </c>
      <c r="B15" t="inlineStr">
        <is>
          <t>GGLL</t>
        </is>
      </c>
      <c r="C15" t="inlineStr">
        <is>
          <t>GOOGL</t>
        </is>
      </c>
      <c r="D15" t="n">
        <v>88.38946533203125</v>
      </c>
      <c r="E15" t="n">
        <v>-16.23276901245117</v>
      </c>
      <c r="F15" t="n">
        <v>20098</v>
      </c>
      <c r="G15" t="n">
        <v>-54856</v>
      </c>
      <c r="H15">
        <f>D15*F15</f>
        <v/>
      </c>
      <c r="I15">
        <f>E15*G15</f>
        <v/>
      </c>
      <c r="J15">
        <f>H15-I15</f>
        <v/>
      </c>
      <c r="K15" t="n">
        <v>-0</v>
      </c>
      <c r="L15" t="n">
        <v>0</v>
      </c>
      <c r="M15" t="n">
        <v>0</v>
      </c>
      <c r="N15" t="n">
        <v>162.6936412056705</v>
      </c>
      <c r="O15" t="n">
        <v>1</v>
      </c>
      <c r="P15" t="n">
        <v>162.6936412056705</v>
      </c>
      <c r="Q15" t="n">
        <v>0.0432</v>
      </c>
      <c r="R15" t="n">
        <v>1505.840833385028</v>
      </c>
      <c r="S15" t="n">
        <v>-2501.999980127404</v>
      </c>
    </row>
    <row r="16">
      <c r="A16" s="1" t="n">
        <v>44929</v>
      </c>
      <c r="B16" t="inlineStr">
        <is>
          <t>CWEB</t>
        </is>
      </c>
      <c r="C16" t="inlineStr">
        <is>
          <t>KWEB</t>
        </is>
      </c>
      <c r="D16" t="n">
        <v>28.48882865905762</v>
      </c>
      <c r="E16" t="n">
        <v>-50.57511901855469</v>
      </c>
      <c r="F16" t="n">
        <v>14605</v>
      </c>
      <c r="G16" t="n">
        <v>-4138</v>
      </c>
      <c r="H16">
        <f>D16*F16</f>
        <v/>
      </c>
      <c r="I16">
        <f>E16*G16</f>
        <v/>
      </c>
      <c r="J16">
        <f>H16-I16</f>
        <v/>
      </c>
      <c r="K16" t="n">
        <v>-0.02</v>
      </c>
      <c r="L16" t="n">
        <v>0</v>
      </c>
      <c r="M16" t="n">
        <v>0</v>
      </c>
      <c r="N16" t="n">
        <v>162.6936412056705</v>
      </c>
      <c r="O16" t="n">
        <v>1</v>
      </c>
      <c r="P16" t="n">
        <v>162.6936412056705</v>
      </c>
      <c r="Q16" t="n">
        <v>0.0432</v>
      </c>
      <c r="R16" t="n">
        <v>381.3798570001181</v>
      </c>
      <c r="S16" t="n">
        <v>-1377.539003742495</v>
      </c>
    </row>
    <row r="17">
      <c r="A17" s="1" t="n">
        <v>44929</v>
      </c>
      <c r="B17" t="inlineStr">
        <is>
          <t>FBL</t>
        </is>
      </c>
      <c r="C17" t="inlineStr">
        <is>
          <t>META</t>
        </is>
      </c>
      <c r="D17" t="n">
        <v>123.7687301635742</v>
      </c>
      <c r="E17" t="n">
        <v>-3.64219331741333</v>
      </c>
      <c r="F17" t="n">
        <v>25964</v>
      </c>
      <c r="G17" t="n">
        <v>-441819</v>
      </c>
      <c r="H17">
        <f>D17*F17</f>
        <v/>
      </c>
      <c r="I17">
        <f>E17*G17</f>
        <v/>
      </c>
      <c r="J17">
        <f>H17-I17</f>
        <v/>
      </c>
      <c r="K17" t="n">
        <v>-0.01</v>
      </c>
      <c r="L17" t="n">
        <v>0</v>
      </c>
      <c r="M17" t="n">
        <v>0</v>
      </c>
      <c r="N17" t="n">
        <v>162.6936412056705</v>
      </c>
      <c r="O17" t="n">
        <v>1</v>
      </c>
      <c r="P17" t="n">
        <v>162.6936412056705</v>
      </c>
      <c r="Q17" t="n">
        <v>0.0432</v>
      </c>
      <c r="R17" t="n">
        <v>2693.440801658185</v>
      </c>
      <c r="S17" t="n">
        <v>-3689.599948400562</v>
      </c>
    </row>
    <row r="18">
      <c r="A18" s="1" t="n">
        <v>44929</v>
      </c>
      <c r="B18" t="inlineStr">
        <is>
          <t>MSFU</t>
        </is>
      </c>
      <c r="C18" t="inlineStr">
        <is>
          <t>MSFT</t>
        </is>
      </c>
      <c r="D18" t="n">
        <v>233.4528198242188</v>
      </c>
      <c r="E18" t="n">
        <v>-18.77336311340332</v>
      </c>
      <c r="F18" t="n">
        <v>8314</v>
      </c>
      <c r="G18" t="n">
        <v>-51898</v>
      </c>
      <c r="H18">
        <f>D18*F18</f>
        <v/>
      </c>
      <c r="I18">
        <f>E18*G18</f>
        <v/>
      </c>
      <c r="J18">
        <f>H18-I18</f>
        <v/>
      </c>
      <c r="K18" t="n">
        <v>-0.005</v>
      </c>
      <c r="L18" t="n">
        <v>0</v>
      </c>
      <c r="M18" t="n">
        <v>0</v>
      </c>
      <c r="N18" t="n">
        <v>162.6936412056705</v>
      </c>
      <c r="O18" t="n">
        <v>1</v>
      </c>
      <c r="P18" t="n">
        <v>162.6936412056705</v>
      </c>
      <c r="Q18" t="n">
        <v>0.0432</v>
      </c>
      <c r="R18" t="n">
        <v>1607.087675918718</v>
      </c>
      <c r="S18" t="n">
        <v>-2603.246822661094</v>
      </c>
    </row>
    <row r="19">
      <c r="A19" s="1" t="n">
        <v>44929</v>
      </c>
      <c r="B19" t="inlineStr">
        <is>
          <t>NVDL</t>
        </is>
      </c>
      <c r="C19" t="inlineStr">
        <is>
          <t>NVDA</t>
        </is>
      </c>
      <c r="D19" t="n">
        <v>14.2999095916748</v>
      </c>
      <c r="E19" t="n">
        <v>-2.885448932647705</v>
      </c>
      <c r="F19" t="n">
        <v>307781</v>
      </c>
      <c r="G19" t="n">
        <v>-767265</v>
      </c>
      <c r="H19">
        <f>D19*F19</f>
        <v/>
      </c>
      <c r="I19">
        <f>E19*G19</f>
        <v/>
      </c>
      <c r="J19">
        <f>H19-I19</f>
        <v/>
      </c>
      <c r="K19" t="n">
        <v>-0</v>
      </c>
      <c r="L19" t="n">
        <v>0</v>
      </c>
      <c r="M19" t="n">
        <v>0</v>
      </c>
      <c r="N19" t="n">
        <v>162.6936412056705</v>
      </c>
      <c r="O19" t="n">
        <v>1</v>
      </c>
      <c r="P19" t="n">
        <v>162.6936412056705</v>
      </c>
      <c r="Q19" t="n">
        <v>0.0432</v>
      </c>
      <c r="R19" t="n">
        <v>4472.273046705068</v>
      </c>
      <c r="S19" t="n">
        <v>-5468.432193447445</v>
      </c>
    </row>
    <row r="20">
      <c r="A20" s="1" t="n">
        <v>44929</v>
      </c>
      <c r="B20" t="inlineStr">
        <is>
          <t>SOXL</t>
        </is>
      </c>
      <c r="C20" t="inlineStr">
        <is>
          <t>SOXX</t>
        </is>
      </c>
      <c r="D20" t="n">
        <v>112.2133102416992</v>
      </c>
      <c r="E20" t="n">
        <v>-9.158904075622559</v>
      </c>
      <c r="F20" t="n">
        <v>8941</v>
      </c>
      <c r="G20" t="n">
        <v>-36957</v>
      </c>
      <c r="H20">
        <f>D20*F20</f>
        <v/>
      </c>
      <c r="I20">
        <f>E20*G20</f>
        <v/>
      </c>
      <c r="J20">
        <f>H20-I20</f>
        <v/>
      </c>
      <c r="K20" t="n">
        <v>-0.0175</v>
      </c>
      <c r="L20" t="n">
        <v>0</v>
      </c>
      <c r="M20" t="n">
        <v>0</v>
      </c>
      <c r="N20" t="n">
        <v>162.6936412056705</v>
      </c>
      <c r="O20" t="n">
        <v>1</v>
      </c>
      <c r="P20" t="n">
        <v>162.6936412056705</v>
      </c>
      <c r="Q20" t="n">
        <v>0.0432</v>
      </c>
      <c r="R20" t="n">
        <v>751.4953429621622</v>
      </c>
      <c r="S20" t="n">
        <v>-1747.654489704539</v>
      </c>
    </row>
    <row r="21">
      <c r="A21" s="1" t="n">
        <v>44929</v>
      </c>
      <c r="B21" t="inlineStr">
        <is>
          <t>SOXS</t>
        </is>
      </c>
      <c r="C21" t="inlineStr">
        <is>
          <t>SOXX</t>
        </is>
      </c>
      <c r="D21" t="n">
        <v>-0</v>
      </c>
      <c r="E21" t="n">
        <v>-28335.56643326218</v>
      </c>
      <c r="F21" t="n">
        <v>-6997</v>
      </c>
      <c r="G21" t="n">
        <v>-37</v>
      </c>
      <c r="H21">
        <f>D21*F21</f>
        <v/>
      </c>
      <c r="I21">
        <f>E21*G21</f>
        <v/>
      </c>
      <c r="J21">
        <f>H21-I21</f>
        <v/>
      </c>
      <c r="K21" t="n">
        <v>0.07000000000000001</v>
      </c>
      <c r="L21" t="n">
        <v>0</v>
      </c>
      <c r="M21" t="n">
        <v>0</v>
      </c>
      <c r="N21" t="n">
        <v>162.6936412056705</v>
      </c>
      <c r="O21" t="n">
        <v>1</v>
      </c>
      <c r="P21" t="n">
        <v>162.6936412056705</v>
      </c>
      <c r="Q21" t="n">
        <v>0.0432</v>
      </c>
      <c r="R21" t="n">
        <v>587.1878228078442</v>
      </c>
      <c r="S21" t="n">
        <v>-1583.346969550221</v>
      </c>
    </row>
    <row r="22">
      <c r="A22" s="1" t="n">
        <v>44929</v>
      </c>
      <c r="B22" t="inlineStr">
        <is>
          <t>HIBL</t>
        </is>
      </c>
      <c r="C22" t="inlineStr">
        <is>
          <t>SPHB</t>
        </is>
      </c>
      <c r="D22" t="n">
        <v>60.59738159179688</v>
      </c>
      <c r="E22" t="n">
        <v>-22.45187759399414</v>
      </c>
      <c r="F22" t="n">
        <v>6521</v>
      </c>
      <c r="G22" t="n">
        <v>-5851</v>
      </c>
      <c r="H22">
        <f>D22*F22</f>
        <v/>
      </c>
      <c r="I22">
        <f>E22*G22</f>
        <v/>
      </c>
      <c r="J22">
        <f>H22-I22</f>
        <v/>
      </c>
      <c r="K22" t="n">
        <v>0.12</v>
      </c>
      <c r="L22" t="n">
        <v>0</v>
      </c>
      <c r="M22" t="n">
        <v>0</v>
      </c>
      <c r="N22" t="n">
        <v>162.6936412056705</v>
      </c>
      <c r="O22" t="n">
        <v>1</v>
      </c>
      <c r="P22" t="n">
        <v>162.6936412056705</v>
      </c>
      <c r="Q22" t="n">
        <v>0.0432</v>
      </c>
      <c r="R22" t="n">
        <v>302.487186135294</v>
      </c>
      <c r="S22" t="n">
        <v>-1298.646332877671</v>
      </c>
    </row>
    <row r="23">
      <c r="A23" s="1" t="n">
        <v>44929</v>
      </c>
      <c r="B23" t="inlineStr">
        <is>
          <t>TSLL</t>
        </is>
      </c>
      <c r="C23" t="inlineStr">
        <is>
          <t>TSLA</t>
        </is>
      </c>
      <c r="D23" t="n">
        <v>108.0999984741211</v>
      </c>
      <c r="E23" t="n">
        <v>-4.40693187713623</v>
      </c>
      <c r="F23" t="n">
        <v>16893</v>
      </c>
      <c r="G23" t="n">
        <v>-207812</v>
      </c>
      <c r="H23">
        <f>D23*F23</f>
        <v/>
      </c>
      <c r="I23">
        <f>E23*G23</f>
        <v/>
      </c>
      <c r="J23">
        <f>H23-I23</f>
        <v/>
      </c>
      <c r="K23" t="n">
        <v>0.01</v>
      </c>
      <c r="L23" t="n">
        <v>0</v>
      </c>
      <c r="M23" t="n">
        <v>0</v>
      </c>
      <c r="N23" t="n">
        <v>162.6936412056705</v>
      </c>
      <c r="O23" t="n">
        <v>1</v>
      </c>
      <c r="P23" t="n">
        <v>162.6936412056705</v>
      </c>
      <c r="Q23" t="n">
        <v>0.0432</v>
      </c>
      <c r="R23" t="n">
        <v>1537.453422909897</v>
      </c>
      <c r="S23" t="n">
        <v>-2533.612569652274</v>
      </c>
    </row>
    <row r="24">
      <c r="A24" s="1" t="n">
        <v>44929</v>
      </c>
      <c r="B24" t="inlineStr">
        <is>
          <t>TSLQ</t>
        </is>
      </c>
      <c r="C24" t="inlineStr">
        <is>
          <t>TSLA</t>
        </is>
      </c>
      <c r="D24" t="n">
        <v>-0</v>
      </c>
      <c r="E24" t="n">
        <v>-3445.68057996232</v>
      </c>
      <c r="F24" t="n">
        <v>-6277</v>
      </c>
      <c r="G24" t="n">
        <v>-302</v>
      </c>
      <c r="H24">
        <f>D24*F24</f>
        <v/>
      </c>
      <c r="I24">
        <f>E24*G24</f>
        <v/>
      </c>
      <c r="J24">
        <f>H24-I24</f>
        <v/>
      </c>
      <c r="K24" t="n">
        <v>-0.02</v>
      </c>
      <c r="L24" t="n">
        <v>0</v>
      </c>
      <c r="M24" t="n">
        <v>0</v>
      </c>
      <c r="N24" t="n">
        <v>162.6936412056705</v>
      </c>
      <c r="O24" t="n">
        <v>1</v>
      </c>
      <c r="P24" t="n">
        <v>162.6936412056705</v>
      </c>
      <c r="Q24" t="n">
        <v>0.0432</v>
      </c>
      <c r="R24" t="n">
        <v>583.47860112174</v>
      </c>
      <c r="S24" t="n">
        <v>-1579.637747864117</v>
      </c>
    </row>
    <row r="25">
      <c r="A25" s="1" t="n">
        <v>44929</v>
      </c>
      <c r="B25" t="inlineStr">
        <is>
          <t>LABU</t>
        </is>
      </c>
      <c r="C25" t="inlineStr">
        <is>
          <t>XBI</t>
        </is>
      </c>
      <c r="D25" t="n">
        <v>81.09487152099609</v>
      </c>
      <c r="E25" t="n">
        <v>-131.4068298339844</v>
      </c>
      <c r="F25" t="n">
        <v>3382</v>
      </c>
      <c r="G25" t="n">
        <v>-699</v>
      </c>
      <c r="H25">
        <f>D25*F25</f>
        <v/>
      </c>
      <c r="I25">
        <f>E25*G25</f>
        <v/>
      </c>
      <c r="J25">
        <f>H25-I25</f>
        <v/>
      </c>
      <c r="K25" t="n">
        <v>0.1</v>
      </c>
      <c r="L25" t="n">
        <v>0</v>
      </c>
      <c r="M25" t="n">
        <v>0</v>
      </c>
      <c r="N25" t="n">
        <v>162.6936412056705</v>
      </c>
      <c r="O25" t="n">
        <v>1</v>
      </c>
      <c r="P25" t="n">
        <v>162.6936412056705</v>
      </c>
      <c r="Q25" t="n">
        <v>0.0432</v>
      </c>
      <c r="R25" t="n">
        <v>207.4312097960293</v>
      </c>
      <c r="S25" t="n">
        <v>-1203.590356538406</v>
      </c>
    </row>
    <row r="26">
      <c r="A26" s="1" t="n">
        <v>44929</v>
      </c>
      <c r="B26" t="inlineStr">
        <is>
          <t>ERX</t>
        </is>
      </c>
      <c r="C26" t="inlineStr">
        <is>
          <t>XLE</t>
        </is>
      </c>
      <c r="D26" t="n">
        <v>37.87768173217773</v>
      </c>
      <c r="E26" t="n">
        <v>-56.53576278686523</v>
      </c>
      <c r="F26" t="n">
        <v>1856</v>
      </c>
      <c r="G26" t="n">
        <v>-625</v>
      </c>
      <c r="H26">
        <f>D26*F26</f>
        <v/>
      </c>
      <c r="I26">
        <f>E26*G26</f>
        <v/>
      </c>
      <c r="J26">
        <f>H26-I26</f>
        <v/>
      </c>
      <c r="K26" t="n">
        <v>0.12</v>
      </c>
      <c r="L26" t="n">
        <v>0</v>
      </c>
      <c r="M26" t="n">
        <v>0</v>
      </c>
      <c r="N26" t="n">
        <v>162.6936412056705</v>
      </c>
      <c r="O26" t="n">
        <v>1</v>
      </c>
      <c r="P26" t="n">
        <v>162.6936412056705</v>
      </c>
      <c r="Q26" t="n">
        <v>0.0432</v>
      </c>
      <c r="R26" t="n">
        <v>62.67559756795334</v>
      </c>
      <c r="S26" t="n">
        <v>-1058.83474431033</v>
      </c>
    </row>
    <row r="27">
      <c r="A27" s="1" t="n">
        <v>44929</v>
      </c>
      <c r="B27" t="inlineStr">
        <is>
          <t>GUSH</t>
        </is>
      </c>
      <c r="C27" t="inlineStr">
        <is>
          <t>XOP</t>
        </is>
      </c>
      <c r="D27" t="n">
        <v>118.3479766845703</v>
      </c>
      <c r="E27" t="n">
        <v>-29.70995330810547</v>
      </c>
      <c r="F27" t="n">
        <v>3057</v>
      </c>
      <c r="G27" t="n">
        <v>-6059</v>
      </c>
      <c r="H27">
        <f>D27*F27</f>
        <v/>
      </c>
      <c r="I27">
        <f>E27*G27</f>
        <v/>
      </c>
      <c r="J27">
        <f>H27-I27</f>
        <v/>
      </c>
      <c r="K27" t="n">
        <v>-0.01</v>
      </c>
      <c r="L27" t="n">
        <v>0</v>
      </c>
      <c r="M27" t="n">
        <v>0</v>
      </c>
      <c r="N27" t="n">
        <v>162.6936412056705</v>
      </c>
      <c r="O27" t="n">
        <v>1</v>
      </c>
      <c r="P27" t="n">
        <v>162.6936412056705</v>
      </c>
      <c r="Q27" t="n">
        <v>0.0432</v>
      </c>
      <c r="R27" t="n">
        <v>302.9722557965348</v>
      </c>
      <c r="S27" t="n">
        <v>-1299.131402538912</v>
      </c>
    </row>
    <row r="28">
      <c r="A28" s="1" t="n">
        <v>44930</v>
      </c>
      <c r="B28" t="inlineStr">
        <is>
          <t>AAPB</t>
        </is>
      </c>
      <c r="C28" t="inlineStr">
        <is>
          <t>AAPL</t>
        </is>
      </c>
      <c r="D28" t="n">
        <v>124.3656616210938</v>
      </c>
      <c r="E28" t="n">
        <v>-11.82626438140869</v>
      </c>
      <c r="F28" t="n">
        <v>9028</v>
      </c>
      <c r="G28" t="n">
        <v>-47878</v>
      </c>
      <c r="H28">
        <f>D28*F28</f>
        <v/>
      </c>
      <c r="I28">
        <f>E28*G28</f>
        <v/>
      </c>
      <c r="J28">
        <f>H28-I28</f>
        <v/>
      </c>
      <c r="K28" t="n">
        <v>-0.005</v>
      </c>
      <c r="L28" t="n">
        <v>0</v>
      </c>
      <c r="M28" t="n">
        <v>0</v>
      </c>
      <c r="N28" t="n">
        <v>-0</v>
      </c>
      <c r="O28" t="n">
        <v>0</v>
      </c>
      <c r="P28" t="n">
        <v>162.6936412056705</v>
      </c>
      <c r="Q28" t="n">
        <v>0.0432</v>
      </c>
      <c r="R28" t="n">
        <v>-5033.716192846131</v>
      </c>
      <c r="S28" t="n">
        <v>9019.474079513919</v>
      </c>
    </row>
    <row r="29">
      <c r="A29" s="1" t="n">
        <v>44930</v>
      </c>
      <c r="B29" t="inlineStr">
        <is>
          <t>AAPU</t>
        </is>
      </c>
      <c r="C29" t="inlineStr">
        <is>
          <t>AAPL</t>
        </is>
      </c>
      <c r="D29" t="n">
        <v>124.3656616210938</v>
      </c>
      <c r="E29" t="n">
        <v>-12.34464931488037</v>
      </c>
      <c r="F29" t="n">
        <v>7633</v>
      </c>
      <c r="G29" t="n">
        <v>-38936</v>
      </c>
      <c r="H29">
        <f>D29*F29</f>
        <v/>
      </c>
      <c r="I29">
        <f>E29*G29</f>
        <v/>
      </c>
      <c r="J29">
        <f>H29-I29</f>
        <v/>
      </c>
      <c r="K29" t="n">
        <v>0.02</v>
      </c>
      <c r="L29" t="n">
        <v>0</v>
      </c>
      <c r="M29" t="n">
        <v>0</v>
      </c>
      <c r="N29" t="n">
        <v>-1496.438531922278</v>
      </c>
      <c r="O29" t="n">
        <v>0</v>
      </c>
      <c r="P29" t="n">
        <v>-1333.744890716607</v>
      </c>
      <c r="Q29" t="n">
        <v>0.0432</v>
      </c>
      <c r="R29" t="n">
        <v>-5033.716192846131</v>
      </c>
      <c r="S29" t="n">
        <v>9900.036198952639</v>
      </c>
    </row>
    <row r="30">
      <c r="A30" s="1" t="n">
        <v>44930</v>
      </c>
      <c r="B30" t="inlineStr">
        <is>
          <t>AMZU</t>
        </is>
      </c>
      <c r="C30" t="inlineStr">
        <is>
          <t>AMZN</t>
        </is>
      </c>
      <c r="D30" t="n">
        <v>85.13999938964844</v>
      </c>
      <c r="E30" t="n">
        <v>-11.36729431152344</v>
      </c>
      <c r="F30" t="n">
        <v>27599</v>
      </c>
      <c r="G30" t="n">
        <v>-103312</v>
      </c>
      <c r="H30">
        <f>D30*F30</f>
        <v/>
      </c>
      <c r="I30">
        <f>E30*G30</f>
        <v/>
      </c>
      <c r="J30">
        <f>H30-I30</f>
        <v/>
      </c>
      <c r="K30" t="n">
        <v>-0.0025</v>
      </c>
      <c r="L30" t="n">
        <v>0</v>
      </c>
      <c r="M30" t="n">
        <v>0</v>
      </c>
      <c r="N30" t="n">
        <v>-0</v>
      </c>
      <c r="O30" t="n">
        <v>0</v>
      </c>
      <c r="P30" t="n">
        <v>162.6936412056705</v>
      </c>
      <c r="Q30" t="n">
        <v>0.0432</v>
      </c>
      <c r="R30" t="n">
        <v>-5033.716192846131</v>
      </c>
      <c r="S30" t="n">
        <v>13375.24911637804</v>
      </c>
    </row>
    <row r="31">
      <c r="A31" s="1" t="n">
        <v>44930</v>
      </c>
      <c r="B31" t="inlineStr">
        <is>
          <t>TARK</t>
        </is>
      </c>
      <c r="C31" t="inlineStr">
        <is>
          <t>ARKK</t>
        </is>
      </c>
      <c r="D31" t="n">
        <v>31.51715278625488</v>
      </c>
      <c r="E31" t="n">
        <v>-16.97279357910156</v>
      </c>
      <c r="F31" t="n">
        <v>20537</v>
      </c>
      <c r="G31" t="n">
        <v>-20077</v>
      </c>
      <c r="H31">
        <f>D31*F31</f>
        <v/>
      </c>
      <c r="I31">
        <f>E31*G31</f>
        <v/>
      </c>
      <c r="J31">
        <f>H31-I31</f>
        <v/>
      </c>
      <c r="K31" t="n">
        <v>-0.02</v>
      </c>
      <c r="L31" t="n">
        <v>0</v>
      </c>
      <c r="M31" t="n">
        <v>0</v>
      </c>
      <c r="N31" t="n">
        <v>-0</v>
      </c>
      <c r="O31" t="n">
        <v>0</v>
      </c>
      <c r="P31" t="n">
        <v>162.6936412056705</v>
      </c>
      <c r="Q31" t="n">
        <v>0.0432</v>
      </c>
      <c r="R31" t="n">
        <v>-5033.716192846131</v>
      </c>
      <c r="S31" t="n">
        <v>7331.466639698705</v>
      </c>
    </row>
    <row r="32">
      <c r="A32" s="1" t="n">
        <v>44930</v>
      </c>
      <c r="B32" t="inlineStr">
        <is>
          <t>CHAU</t>
        </is>
      </c>
      <c r="C32" t="inlineStr">
        <is>
          <t>ASHR</t>
        </is>
      </c>
      <c r="D32" t="n">
        <v>27.14078712463379</v>
      </c>
      <c r="E32" t="n">
        <v>-19.54665374755859</v>
      </c>
      <c r="F32" t="n">
        <v>5713</v>
      </c>
      <c r="G32" t="n">
        <v>-4099</v>
      </c>
      <c r="H32">
        <f>D32*F32</f>
        <v/>
      </c>
      <c r="I32">
        <f>E32*G32</f>
        <v/>
      </c>
      <c r="J32">
        <f>H32-I32</f>
        <v/>
      </c>
      <c r="K32" t="n">
        <v>-0.01</v>
      </c>
      <c r="L32" t="n">
        <v>0</v>
      </c>
      <c r="M32" t="n">
        <v>0</v>
      </c>
      <c r="N32" t="n">
        <v>-0</v>
      </c>
      <c r="O32" t="n">
        <v>0</v>
      </c>
      <c r="P32" t="n">
        <v>162.6936412056705</v>
      </c>
      <c r="Q32" t="n">
        <v>0.0432</v>
      </c>
      <c r="R32" t="n">
        <v>-5033.716192846131</v>
      </c>
      <c r="S32" t="n">
        <v>5584.150559970767</v>
      </c>
    </row>
    <row r="33">
      <c r="A33" s="1" t="n">
        <v>44930</v>
      </c>
      <c r="B33" t="inlineStr">
        <is>
          <t>BABX</t>
        </is>
      </c>
      <c r="C33" t="inlineStr">
        <is>
          <t>BABA</t>
        </is>
      </c>
      <c r="D33" t="n">
        <v>98.69229888916016</v>
      </c>
      <c r="E33" t="n">
        <v>-31.91799926757812</v>
      </c>
      <c r="F33" t="n">
        <v>5330</v>
      </c>
      <c r="G33" t="n">
        <v>-8920</v>
      </c>
      <c r="H33">
        <f>D33*F33</f>
        <v/>
      </c>
      <c r="I33">
        <f>E33*G33</f>
        <v/>
      </c>
      <c r="J33">
        <f>H33-I33</f>
        <v/>
      </c>
      <c r="K33" t="n">
        <v>-0.0275</v>
      </c>
      <c r="L33" t="n">
        <v>0</v>
      </c>
      <c r="M33" t="n">
        <v>0</v>
      </c>
      <c r="N33" t="n">
        <v>-0</v>
      </c>
      <c r="O33" t="n">
        <v>0</v>
      </c>
      <c r="P33" t="n">
        <v>162.6936412056705</v>
      </c>
      <c r="Q33" t="n">
        <v>0.0432</v>
      </c>
      <c r="R33" t="n">
        <v>-5033.716192846131</v>
      </c>
      <c r="S33" t="n">
        <v>6901.081789892245</v>
      </c>
    </row>
    <row r="34">
      <c r="A34" s="1" t="n">
        <v>44930</v>
      </c>
      <c r="B34" t="inlineStr">
        <is>
          <t>CONL</t>
        </is>
      </c>
      <c r="C34" t="inlineStr">
        <is>
          <t>COIN</t>
        </is>
      </c>
      <c r="D34" t="n">
        <v>37.70000076293945</v>
      </c>
      <c r="E34" t="n">
        <v>-5.047493457794189</v>
      </c>
      <c r="F34" t="n">
        <v>98778</v>
      </c>
      <c r="G34" t="n">
        <v>-394919</v>
      </c>
      <c r="H34">
        <f>D34*F34</f>
        <v/>
      </c>
      <c r="I34">
        <f>E34*G34</f>
        <v/>
      </c>
      <c r="J34">
        <f>H34-I34</f>
        <v/>
      </c>
      <c r="K34" t="n">
        <v>0.03</v>
      </c>
      <c r="L34" t="n">
        <v>0</v>
      </c>
      <c r="M34" t="n">
        <v>0</v>
      </c>
      <c r="N34" t="n">
        <v>-9309.017451335176</v>
      </c>
      <c r="O34" t="n">
        <v>0</v>
      </c>
      <c r="P34" t="n">
        <v>-9146.323810129505</v>
      </c>
      <c r="Q34" t="n">
        <v>0.0432</v>
      </c>
      <c r="R34" t="n">
        <v>-5033.716192846131</v>
      </c>
      <c r="S34" t="n">
        <v>27562.39915609505</v>
      </c>
    </row>
    <row r="35">
      <c r="A35" s="1" t="n">
        <v>44930</v>
      </c>
      <c r="B35" t="inlineStr">
        <is>
          <t>MEXX</t>
        </is>
      </c>
      <c r="C35" t="inlineStr">
        <is>
          <t>EWW</t>
        </is>
      </c>
      <c r="D35" t="n">
        <v>46.71038436889648</v>
      </c>
      <c r="E35" t="n">
        <v>-17.26618385314941</v>
      </c>
      <c r="F35" t="n">
        <v>9067</v>
      </c>
      <c r="G35" t="n">
        <v>-8695</v>
      </c>
      <c r="H35">
        <f>D35*F35</f>
        <v/>
      </c>
      <c r="I35">
        <f>E35*G35</f>
        <v/>
      </c>
      <c r="J35">
        <f>H35-I35</f>
        <v/>
      </c>
      <c r="K35" t="n">
        <v>0.0075</v>
      </c>
      <c r="L35" t="n">
        <v>0</v>
      </c>
      <c r="M35" t="n">
        <v>0</v>
      </c>
      <c r="N35" t="n">
        <v>-175.2774341935766</v>
      </c>
      <c r="O35" t="n">
        <v>0</v>
      </c>
      <c r="P35" t="n">
        <v>-12.58379298790609</v>
      </c>
      <c r="Q35" t="n">
        <v>0.0432</v>
      </c>
      <c r="R35" t="n">
        <v>-5033.716192846131</v>
      </c>
      <c r="S35" t="n">
        <v>6712.467674419047</v>
      </c>
    </row>
    <row r="36">
      <c r="A36" s="1" t="n">
        <v>44930</v>
      </c>
      <c r="B36" t="inlineStr">
        <is>
          <t>KORU</t>
        </is>
      </c>
      <c r="C36" t="inlineStr">
        <is>
          <t>EWY</t>
        </is>
      </c>
      <c r="D36" t="n">
        <v>53.63827133178711</v>
      </c>
      <c r="E36" t="n">
        <v>-73.71710968017578</v>
      </c>
      <c r="F36" t="n">
        <v>12826</v>
      </c>
      <c r="G36" t="n">
        <v>-3410</v>
      </c>
      <c r="H36">
        <f>D36*F36</f>
        <v/>
      </c>
      <c r="I36">
        <f>E36*G36</f>
        <v/>
      </c>
      <c r="J36">
        <f>H36-I36</f>
        <v/>
      </c>
      <c r="K36" t="n">
        <v>0.0225</v>
      </c>
      <c r="L36" t="n">
        <v>0</v>
      </c>
      <c r="M36" t="n">
        <v>0</v>
      </c>
      <c r="N36" t="n">
        <v>-880.4485700399404</v>
      </c>
      <c r="O36" t="n">
        <v>0</v>
      </c>
      <c r="P36" t="n">
        <v>-717.7549288342698</v>
      </c>
      <c r="Q36" t="n">
        <v>0.0432</v>
      </c>
      <c r="R36" t="n">
        <v>-5033.716192846131</v>
      </c>
      <c r="S36" t="n">
        <v>8356.385347859854</v>
      </c>
    </row>
    <row r="37">
      <c r="A37" s="1" t="n">
        <v>44930</v>
      </c>
      <c r="B37" t="inlineStr">
        <is>
          <t>YINN</t>
        </is>
      </c>
      <c r="C37" t="inlineStr">
        <is>
          <t>FXI</t>
        </is>
      </c>
      <c r="D37" t="n">
        <v>28.97209739685059</v>
      </c>
      <c r="E37" t="n">
        <v>-56.75046920776367</v>
      </c>
      <c r="F37" t="n">
        <v>35048</v>
      </c>
      <c r="G37" t="n">
        <v>-6728</v>
      </c>
      <c r="H37">
        <f>D37*F37</f>
        <v/>
      </c>
      <c r="I37">
        <f>E37*G37</f>
        <v/>
      </c>
      <c r="J37">
        <f>H37-I37</f>
        <v/>
      </c>
      <c r="K37" t="n">
        <v>-0.02</v>
      </c>
      <c r="L37" t="n">
        <v>0</v>
      </c>
      <c r="M37" t="n">
        <v>0</v>
      </c>
      <c r="N37" t="n">
        <v>-0</v>
      </c>
      <c r="O37" t="n">
        <v>0</v>
      </c>
      <c r="P37" t="n">
        <v>162.6936412056705</v>
      </c>
      <c r="Q37" t="n">
        <v>0.0432</v>
      </c>
      <c r="R37" t="n">
        <v>-5033.716192846131</v>
      </c>
      <c r="S37" t="n">
        <v>8638.357504928146</v>
      </c>
    </row>
    <row r="38">
      <c r="A38" s="1" t="n">
        <v>44930</v>
      </c>
      <c r="B38" t="inlineStr">
        <is>
          <t>JNUG</t>
        </is>
      </c>
      <c r="C38" t="inlineStr">
        <is>
          <t>GDXJ</t>
        </is>
      </c>
      <c r="D38" t="n">
        <v>36.55286407470703</v>
      </c>
      <c r="E38" t="n">
        <v>-39.54270553588867</v>
      </c>
      <c r="F38" t="n">
        <v>13873</v>
      </c>
      <c r="G38" t="n">
        <v>-6778</v>
      </c>
      <c r="H38">
        <f>D38*F38</f>
        <v/>
      </c>
      <c r="I38">
        <f>E38*G38</f>
        <v/>
      </c>
      <c r="J38">
        <f>H38-I38</f>
        <v/>
      </c>
      <c r="K38" t="n">
        <v>-0.005</v>
      </c>
      <c r="L38" t="n">
        <v>0</v>
      </c>
      <c r="M38" t="n">
        <v>0</v>
      </c>
      <c r="N38" t="n">
        <v>-0</v>
      </c>
      <c r="O38" t="n">
        <v>0</v>
      </c>
      <c r="P38" t="n">
        <v>162.6936412056705</v>
      </c>
      <c r="Q38" t="n">
        <v>0.0432</v>
      </c>
      <c r="R38" t="n">
        <v>-5033.716192846131</v>
      </c>
      <c r="S38" t="n">
        <v>6833.874408327856</v>
      </c>
    </row>
    <row r="39">
      <c r="A39" s="1" t="n">
        <v>44930</v>
      </c>
      <c r="B39" t="inlineStr">
        <is>
          <t>GDXU</t>
        </is>
      </c>
      <c r="C39" t="inlineStr">
        <is>
          <t>GDX</t>
        </is>
      </c>
      <c r="D39" t="n">
        <v>29.85069465637207</v>
      </c>
      <c r="E39" t="n">
        <v>-52.40000152587891</v>
      </c>
      <c r="F39" t="n">
        <v>53188</v>
      </c>
      <c r="G39" t="n">
        <v>-10762</v>
      </c>
      <c r="H39">
        <f>D39*F39</f>
        <v/>
      </c>
      <c r="I39">
        <f>E39*G39</f>
        <v/>
      </c>
      <c r="J39">
        <f>H39-I39</f>
        <v/>
      </c>
      <c r="K39" t="n">
        <v>-0.005</v>
      </c>
      <c r="L39" t="n">
        <v>0</v>
      </c>
      <c r="M39" t="n">
        <v>0</v>
      </c>
      <c r="N39" t="n">
        <v>-0</v>
      </c>
      <c r="O39" t="n">
        <v>0</v>
      </c>
      <c r="P39" t="n">
        <v>162.6936412056705</v>
      </c>
      <c r="Q39" t="n">
        <v>0.0432</v>
      </c>
      <c r="R39" t="n">
        <v>-5033.716192846131</v>
      </c>
      <c r="S39" t="n">
        <v>10669.92379277708</v>
      </c>
    </row>
    <row r="40">
      <c r="A40" s="1" t="n">
        <v>44930</v>
      </c>
      <c r="B40" t="inlineStr">
        <is>
          <t>NUGT</t>
        </is>
      </c>
      <c r="C40" t="inlineStr">
        <is>
          <t>GDX</t>
        </is>
      </c>
      <c r="D40" t="n">
        <v>29.85069465637207</v>
      </c>
      <c r="E40" t="n">
        <v>-38.31035232543945</v>
      </c>
      <c r="F40" t="n">
        <v>15820</v>
      </c>
      <c r="G40" t="n">
        <v>-6494</v>
      </c>
      <c r="H40">
        <f>D40*F40</f>
        <v/>
      </c>
      <c r="I40">
        <f>E40*G40</f>
        <v/>
      </c>
      <c r="J40">
        <f>H40-I40</f>
        <v/>
      </c>
      <c r="K40" t="n">
        <v>-0.0175</v>
      </c>
      <c r="L40" t="n">
        <v>0</v>
      </c>
      <c r="M40" t="n">
        <v>0</v>
      </c>
      <c r="N40" t="n">
        <v>-0</v>
      </c>
      <c r="O40" t="n">
        <v>0</v>
      </c>
      <c r="P40" t="n">
        <v>162.6936412056705</v>
      </c>
      <c r="Q40" t="n">
        <v>0.0432</v>
      </c>
      <c r="R40" t="n">
        <v>-5033.716192846131</v>
      </c>
      <c r="S40" t="n">
        <v>6710.124484771146</v>
      </c>
    </row>
    <row r="41">
      <c r="A41" s="1" t="n">
        <v>44930</v>
      </c>
      <c r="B41" t="inlineStr">
        <is>
          <t>GGLL</t>
        </is>
      </c>
      <c r="C41" t="inlineStr">
        <is>
          <t>GOOGL</t>
        </is>
      </c>
      <c r="D41" t="n">
        <v>87.35799407958984</v>
      </c>
      <c r="E41" t="n">
        <v>-15.94943714141846</v>
      </c>
      <c r="F41" t="n">
        <v>20098</v>
      </c>
      <c r="G41" t="n">
        <v>-54856</v>
      </c>
      <c r="H41">
        <f>D41*F41</f>
        <v/>
      </c>
      <c r="I41">
        <f>E41*G41</f>
        <v/>
      </c>
      <c r="J41">
        <f>H41-I41</f>
        <v/>
      </c>
      <c r="K41" t="n">
        <v>-0</v>
      </c>
      <c r="L41" t="n">
        <v>0</v>
      </c>
      <c r="M41" t="n">
        <v>0</v>
      </c>
      <c r="N41" t="n">
        <v>-0</v>
      </c>
      <c r="O41" t="n">
        <v>0</v>
      </c>
      <c r="P41" t="n">
        <v>162.6936412056705</v>
      </c>
      <c r="Q41" t="n">
        <v>0.0432</v>
      </c>
      <c r="R41" t="n">
        <v>-5033.716192846131</v>
      </c>
      <c r="S41" t="n">
        <v>11266.38965351784</v>
      </c>
    </row>
    <row r="42">
      <c r="A42" s="1" t="n">
        <v>44930</v>
      </c>
      <c r="B42" t="inlineStr">
        <is>
          <t>CWEB</t>
        </is>
      </c>
      <c r="C42" t="inlineStr">
        <is>
          <t>KWEB</t>
        </is>
      </c>
      <c r="D42" t="n">
        <v>30.99728012084961</v>
      </c>
      <c r="E42" t="n">
        <v>-59.48902130126953</v>
      </c>
      <c r="F42" t="n">
        <v>14605</v>
      </c>
      <c r="G42" t="n">
        <v>-4138</v>
      </c>
      <c r="H42">
        <f>D42*F42</f>
        <v/>
      </c>
      <c r="I42">
        <f>E42*G42</f>
        <v/>
      </c>
      <c r="J42">
        <f>H42-I42</f>
        <v/>
      </c>
      <c r="K42" t="n">
        <v>-0.02</v>
      </c>
      <c r="L42" t="n">
        <v>0</v>
      </c>
      <c r="M42" t="n">
        <v>0</v>
      </c>
      <c r="N42" t="n">
        <v>-0</v>
      </c>
      <c r="O42" t="n">
        <v>0</v>
      </c>
      <c r="P42" t="n">
        <v>162.6936412056705</v>
      </c>
      <c r="Q42" t="n">
        <v>0.0432</v>
      </c>
      <c r="R42" t="n">
        <v>-5033.716192846131</v>
      </c>
      <c r="S42" t="n">
        <v>6640.820364422549</v>
      </c>
    </row>
    <row r="43">
      <c r="A43" s="1" t="n">
        <v>44930</v>
      </c>
      <c r="B43" t="inlineStr">
        <is>
          <t>FBL</t>
        </is>
      </c>
      <c r="C43" t="inlineStr">
        <is>
          <t>META</t>
        </is>
      </c>
      <c r="D43" t="n">
        <v>126.3782501220703</v>
      </c>
      <c r="E43" t="n">
        <v>-3.754470348358154</v>
      </c>
      <c r="F43" t="n">
        <v>25964</v>
      </c>
      <c r="G43" t="n">
        <v>-441819</v>
      </c>
      <c r="H43">
        <f>D43*F43</f>
        <v/>
      </c>
      <c r="I43">
        <f>E43*G43</f>
        <v/>
      </c>
      <c r="J43">
        <f>H43-I43</f>
        <v/>
      </c>
      <c r="K43" t="n">
        <v>-0.01</v>
      </c>
      <c r="L43" t="n">
        <v>0</v>
      </c>
      <c r="M43" t="n">
        <v>0</v>
      </c>
      <c r="N43" t="n">
        <v>-0</v>
      </c>
      <c r="O43" t="n">
        <v>0</v>
      </c>
      <c r="P43" t="n">
        <v>162.6936412056705</v>
      </c>
      <c r="Q43" t="n">
        <v>0.0432</v>
      </c>
      <c r="R43" t="n">
        <v>-5033.716192846131</v>
      </c>
      <c r="S43" t="n">
        <v>16682.02343214388</v>
      </c>
    </row>
    <row r="44">
      <c r="A44" s="1" t="n">
        <v>44930</v>
      </c>
      <c r="B44" t="inlineStr">
        <is>
          <t>MSFU</t>
        </is>
      </c>
      <c r="C44" t="inlineStr">
        <is>
          <t>MSFT</t>
        </is>
      </c>
      <c r="D44" t="n">
        <v>223.2408447265625</v>
      </c>
      <c r="E44" t="n">
        <v>-17.5234432220459</v>
      </c>
      <c r="F44" t="n">
        <v>8314</v>
      </c>
      <c r="G44" t="n">
        <v>-51898</v>
      </c>
      <c r="H44">
        <f>D44*F44</f>
        <v/>
      </c>
      <c r="I44">
        <f>E44*G44</f>
        <v/>
      </c>
      <c r="J44">
        <f>H44-I44</f>
        <v/>
      </c>
      <c r="K44" t="n">
        <v>-0.005</v>
      </c>
      <c r="L44" t="n">
        <v>0</v>
      </c>
      <c r="M44" t="n">
        <v>0</v>
      </c>
      <c r="N44" t="n">
        <v>-0</v>
      </c>
      <c r="O44" t="n">
        <v>0</v>
      </c>
      <c r="P44" t="n">
        <v>162.6936412056705</v>
      </c>
      <c r="Q44" t="n">
        <v>0.0432</v>
      </c>
      <c r="R44" t="n">
        <v>-5033.716192846131</v>
      </c>
      <c r="S44" t="n">
        <v>11622.45901996177</v>
      </c>
    </row>
    <row r="45">
      <c r="A45" s="1" t="n">
        <v>44930</v>
      </c>
      <c r="B45" t="inlineStr">
        <is>
          <t>NVDL</t>
        </is>
      </c>
      <c r="C45" t="inlineStr">
        <is>
          <t>NVDA</t>
        </is>
      </c>
      <c r="D45" t="n">
        <v>14.7334508895874</v>
      </c>
      <c r="E45" t="n">
        <v>-2.842646837234497</v>
      </c>
      <c r="F45" t="n">
        <v>307781</v>
      </c>
      <c r="G45" t="n">
        <v>-767265</v>
      </c>
      <c r="H45">
        <f>D45*F45</f>
        <v/>
      </c>
      <c r="I45">
        <f>E45*G45</f>
        <v/>
      </c>
      <c r="J45">
        <f>H45-I45</f>
        <v/>
      </c>
      <c r="K45" t="n">
        <v>-0</v>
      </c>
      <c r="L45" t="n">
        <v>0</v>
      </c>
      <c r="M45" t="n">
        <v>0</v>
      </c>
      <c r="N45" t="n">
        <v>-0</v>
      </c>
      <c r="O45" t="n">
        <v>0</v>
      </c>
      <c r="P45" t="n">
        <v>162.6936412056705</v>
      </c>
      <c r="Q45" t="n">
        <v>0.0432</v>
      </c>
      <c r="R45" t="n">
        <v>-5033.716192846131</v>
      </c>
      <c r="S45" t="n">
        <v>21131.46570340551</v>
      </c>
    </row>
    <row r="46">
      <c r="A46" s="1" t="n">
        <v>44930</v>
      </c>
      <c r="B46" t="inlineStr">
        <is>
          <t>SOXL</t>
        </is>
      </c>
      <c r="C46" t="inlineStr">
        <is>
          <t>SOXX</t>
        </is>
      </c>
      <c r="D46" t="n">
        <v>115.1017684936523</v>
      </c>
      <c r="E46" t="n">
        <v>-9.853649139404297</v>
      </c>
      <c r="F46" t="n">
        <v>8941</v>
      </c>
      <c r="G46" t="n">
        <v>-36957</v>
      </c>
      <c r="H46">
        <f>D46*F46</f>
        <v/>
      </c>
      <c r="I46">
        <f>E46*G46</f>
        <v/>
      </c>
      <c r="J46">
        <f>H46-I46</f>
        <v/>
      </c>
      <c r="K46" t="n">
        <v>-0.0175</v>
      </c>
      <c r="L46" t="n">
        <v>0</v>
      </c>
      <c r="M46" t="n">
        <v>0</v>
      </c>
      <c r="N46" t="n">
        <v>-0</v>
      </c>
      <c r="O46" t="n">
        <v>0</v>
      </c>
      <c r="P46" t="n">
        <v>162.6936412056705</v>
      </c>
      <c r="Q46" t="n">
        <v>0.0432</v>
      </c>
      <c r="R46" t="n">
        <v>-5033.716192846131</v>
      </c>
      <c r="S46" t="n">
        <v>8687.029934150283</v>
      </c>
    </row>
    <row r="47">
      <c r="A47" s="1" t="n">
        <v>44930</v>
      </c>
      <c r="B47" t="inlineStr">
        <is>
          <t>SOXS</t>
        </is>
      </c>
      <c r="C47" t="inlineStr">
        <is>
          <t>SOXX</t>
        </is>
      </c>
      <c r="D47" t="n">
        <v>-0</v>
      </c>
      <c r="E47" t="n">
        <v>-28302.35639066954</v>
      </c>
      <c r="F47" t="n">
        <v>-6997</v>
      </c>
      <c r="G47" t="n">
        <v>-37</v>
      </c>
      <c r="H47">
        <f>D47*F47</f>
        <v/>
      </c>
      <c r="I47">
        <f>E47*G47</f>
        <v/>
      </c>
      <c r="J47">
        <f>H47-I47</f>
        <v/>
      </c>
      <c r="K47" t="n">
        <v>0.07000000000000001</v>
      </c>
      <c r="L47" t="n">
        <v>0</v>
      </c>
      <c r="M47" t="n">
        <v>0</v>
      </c>
      <c r="N47" t="n">
        <v>-2635.052394077266</v>
      </c>
      <c r="O47" t="n">
        <v>0</v>
      </c>
      <c r="P47" t="n">
        <v>-2472.358752871595</v>
      </c>
      <c r="Q47" t="n">
        <v>0.0432</v>
      </c>
      <c r="R47" t="n">
        <v>-5033.716192846131</v>
      </c>
      <c r="S47" t="n">
        <v>7668.768586923397</v>
      </c>
    </row>
    <row r="48">
      <c r="A48" s="1" t="n">
        <v>44930</v>
      </c>
      <c r="B48" t="inlineStr">
        <is>
          <t>HIBL</t>
        </is>
      </c>
      <c r="C48" t="inlineStr">
        <is>
          <t>SPHB</t>
        </is>
      </c>
      <c r="D48" t="n">
        <v>62.31313323974609</v>
      </c>
      <c r="E48" t="n">
        <v>-24.35962104797363</v>
      </c>
      <c r="F48" t="n">
        <v>6521</v>
      </c>
      <c r="G48" t="n">
        <v>-5851</v>
      </c>
      <c r="H48">
        <f>D48*F48</f>
        <v/>
      </c>
      <c r="I48">
        <f>E48*G48</f>
        <v/>
      </c>
      <c r="J48">
        <f>H48-I48</f>
        <v/>
      </c>
      <c r="K48" t="n">
        <v>0.12</v>
      </c>
      <c r="L48" t="n">
        <v>0</v>
      </c>
      <c r="M48" t="n">
        <v>0</v>
      </c>
      <c r="N48" t="n">
        <v>-2662.445143577485</v>
      </c>
      <c r="O48" t="n">
        <v>0</v>
      </c>
      <c r="P48" t="n">
        <v>-2499.751502371815</v>
      </c>
      <c r="Q48" t="n">
        <v>0.0432</v>
      </c>
      <c r="R48" t="n">
        <v>-5033.716192846131</v>
      </c>
      <c r="S48" t="n">
        <v>9138.650862255694</v>
      </c>
    </row>
    <row r="49">
      <c r="A49" s="1" t="n">
        <v>44930</v>
      </c>
      <c r="B49" t="inlineStr">
        <is>
          <t>TSLL</t>
        </is>
      </c>
      <c r="C49" t="inlineStr">
        <is>
          <t>TSLA</t>
        </is>
      </c>
      <c r="D49" t="n">
        <v>113.6399993896484</v>
      </c>
      <c r="E49" t="n">
        <v>-4.744596481323242</v>
      </c>
      <c r="F49" t="n">
        <v>16893</v>
      </c>
      <c r="G49" t="n">
        <v>-207812</v>
      </c>
      <c r="H49">
        <f>D49*F49</f>
        <v/>
      </c>
      <c r="I49">
        <f>E49*G49</f>
        <v/>
      </c>
      <c r="J49">
        <f>H49-I49</f>
        <v/>
      </c>
      <c r="K49" t="n">
        <v>0.01</v>
      </c>
      <c r="L49" t="n">
        <v>0</v>
      </c>
      <c r="M49" t="n">
        <v>0</v>
      </c>
      <c r="N49" t="n">
        <v>-1534.859762516028</v>
      </c>
      <c r="O49" t="n">
        <v>0</v>
      </c>
      <c r="P49" t="n">
        <v>-1372.166121310358</v>
      </c>
      <c r="Q49" t="n">
        <v>0.0432</v>
      </c>
      <c r="R49" t="n">
        <v>-5033.716192846131</v>
      </c>
      <c r="S49" t="n">
        <v>13383.43509932005</v>
      </c>
    </row>
    <row r="50">
      <c r="A50" s="1" t="n">
        <v>44930</v>
      </c>
      <c r="B50" t="inlineStr">
        <is>
          <t>TSLQ</t>
        </is>
      </c>
      <c r="C50" t="inlineStr">
        <is>
          <t>TSLA</t>
        </is>
      </c>
      <c r="D50" t="n">
        <v>-0</v>
      </c>
      <c r="E50" t="n">
        <v>-3501.127775432258</v>
      </c>
      <c r="F50" t="n">
        <v>-6277</v>
      </c>
      <c r="G50" t="n">
        <v>-302</v>
      </c>
      <c r="H50">
        <f>D50*F50</f>
        <v/>
      </c>
      <c r="I50">
        <f>E50*G50</f>
        <v/>
      </c>
      <c r="J50">
        <f>H50-I50</f>
        <v/>
      </c>
      <c r="K50" t="n">
        <v>-0.02</v>
      </c>
      <c r="L50" t="n">
        <v>0</v>
      </c>
      <c r="M50" t="n">
        <v>0</v>
      </c>
      <c r="N50" t="n">
        <v>-0</v>
      </c>
      <c r="O50" t="n">
        <v>0</v>
      </c>
      <c r="P50" t="n">
        <v>162.6936412056705</v>
      </c>
      <c r="Q50" t="n">
        <v>0.0432</v>
      </c>
      <c r="R50" t="n">
        <v>-5033.716192846131</v>
      </c>
      <c r="S50" t="n">
        <v>5033.716192846131</v>
      </c>
    </row>
    <row r="51">
      <c r="A51" s="1" t="n">
        <v>44930</v>
      </c>
      <c r="B51" t="inlineStr">
        <is>
          <t>LABU</t>
        </is>
      </c>
      <c r="C51" t="inlineStr">
        <is>
          <t>XBI</t>
        </is>
      </c>
      <c r="D51" t="n">
        <v>82.79574584960938</v>
      </c>
      <c r="E51" t="n">
        <v>-139.2637634277344</v>
      </c>
      <c r="F51" t="n">
        <v>3382</v>
      </c>
      <c r="G51" t="n">
        <v>-699</v>
      </c>
      <c r="H51">
        <f>D51*F51</f>
        <v/>
      </c>
      <c r="I51">
        <f>E51*G51</f>
        <v/>
      </c>
      <c r="J51">
        <f>H51-I51</f>
        <v/>
      </c>
      <c r="K51" t="n">
        <v>0.1</v>
      </c>
      <c r="L51" t="n">
        <v>0</v>
      </c>
      <c r="M51" t="n">
        <v>0</v>
      </c>
      <c r="N51" t="n">
        <v>-1515.353998958756</v>
      </c>
      <c r="O51" t="n">
        <v>0</v>
      </c>
      <c r="P51" t="n">
        <v>-1352.660357753085</v>
      </c>
      <c r="Q51" t="n">
        <v>0.0432</v>
      </c>
      <c r="R51" t="n">
        <v>-5033.716192846131</v>
      </c>
      <c r="S51" t="n">
        <v>7543.10251133883</v>
      </c>
    </row>
    <row r="52">
      <c r="A52" s="1" t="n">
        <v>44930</v>
      </c>
      <c r="B52" t="inlineStr">
        <is>
          <t>ERX</t>
        </is>
      </c>
      <c r="C52" t="inlineStr">
        <is>
          <t>XLE</t>
        </is>
      </c>
      <c r="D52" t="n">
        <v>37.87318801879883</v>
      </c>
      <c r="E52" t="n">
        <v>-56.5906982421875</v>
      </c>
      <c r="F52" t="n">
        <v>1856</v>
      </c>
      <c r="G52" t="n">
        <v>-625</v>
      </c>
      <c r="H52">
        <f>D52*F52</f>
        <v/>
      </c>
      <c r="I52">
        <f>E52*G52</f>
        <v/>
      </c>
      <c r="J52">
        <f>H52-I52</f>
        <v/>
      </c>
      <c r="K52" t="n">
        <v>0.12</v>
      </c>
      <c r="L52" t="n">
        <v>0</v>
      </c>
      <c r="M52" t="n">
        <v>0</v>
      </c>
      <c r="N52" t="n">
        <v>-660.7012253759818</v>
      </c>
      <c r="O52" t="n">
        <v>0</v>
      </c>
      <c r="P52" t="n">
        <v>-498.0075841703113</v>
      </c>
      <c r="Q52" t="n">
        <v>0.0432</v>
      </c>
      <c r="R52" t="n">
        <v>-5033.716192846131</v>
      </c>
      <c r="S52" t="n">
        <v>5943.950835894975</v>
      </c>
    </row>
    <row r="53">
      <c r="A53" s="1" t="n">
        <v>44930</v>
      </c>
      <c r="B53" t="inlineStr">
        <is>
          <t>GUSH</t>
        </is>
      </c>
      <c r="C53" t="inlineStr">
        <is>
          <t>XOP</t>
        </is>
      </c>
      <c r="D53" t="n">
        <v>118.7631225585938</v>
      </c>
      <c r="E53" t="n">
        <v>-29.89154815673828</v>
      </c>
      <c r="F53" t="n">
        <v>3057</v>
      </c>
      <c r="G53" t="n">
        <v>-6059</v>
      </c>
      <c r="H53">
        <f>D53*F53</f>
        <v/>
      </c>
      <c r="I53">
        <f>E53*G53</f>
        <v/>
      </c>
      <c r="J53">
        <f>H53-I53</f>
        <v/>
      </c>
      <c r="K53" t="n">
        <v>-0.01</v>
      </c>
      <c r="L53" t="n">
        <v>0</v>
      </c>
      <c r="M53" t="n">
        <v>0</v>
      </c>
      <c r="N53" t="n">
        <v>-0</v>
      </c>
      <c r="O53" t="n">
        <v>0</v>
      </c>
      <c r="P53" t="n">
        <v>162.6936412056705</v>
      </c>
      <c r="Q53" t="n">
        <v>0.0432</v>
      </c>
      <c r="R53" t="n">
        <v>-5033.716192846131</v>
      </c>
      <c r="S53" t="n">
        <v>6322.547050234573</v>
      </c>
    </row>
    <row r="54">
      <c r="A54" s="1" t="n">
        <v>44931</v>
      </c>
      <c r="B54" t="inlineStr">
        <is>
          <t>AAPB</t>
        </is>
      </c>
      <c r="C54" t="inlineStr">
        <is>
          <t>AAPL</t>
        </is>
      </c>
      <c r="D54" t="n">
        <v>123.0468139648438</v>
      </c>
      <c r="E54" t="n">
        <v>-11.64209747314453</v>
      </c>
      <c r="F54" t="n">
        <v>9028</v>
      </c>
      <c r="G54" t="n">
        <v>-47878</v>
      </c>
      <c r="H54">
        <f>D54*F54</f>
        <v/>
      </c>
      <c r="I54">
        <f>E54*G54</f>
        <v/>
      </c>
      <c r="J54">
        <f>H54-I54</f>
        <v/>
      </c>
      <c r="K54" t="n">
        <v>-0.005</v>
      </c>
      <c r="L54" t="n">
        <v>-11907.0580021849</v>
      </c>
      <c r="M54" t="n">
        <v>8348.793730640675</v>
      </c>
      <c r="N54" t="n">
        <v>-0</v>
      </c>
      <c r="O54" t="n">
        <v>0</v>
      </c>
      <c r="P54" t="n">
        <v>162.6936412056705</v>
      </c>
      <c r="Q54" t="n">
        <v>0.0432</v>
      </c>
      <c r="R54" t="n">
        <v>-613.9669773477065</v>
      </c>
      <c r="S54" t="n">
        <v>-2449.195980519183</v>
      </c>
    </row>
    <row r="55">
      <c r="A55" s="1" t="n">
        <v>44931</v>
      </c>
      <c r="B55" t="inlineStr">
        <is>
          <t>AAPU</t>
        </is>
      </c>
      <c r="C55" t="inlineStr">
        <is>
          <t>AAPL</t>
        </is>
      </c>
      <c r="D55" t="n">
        <v>123.0468139648438</v>
      </c>
      <c r="E55" t="n">
        <v>-12.143798828125</v>
      </c>
      <c r="F55" t="n">
        <v>7633</v>
      </c>
      <c r="G55" t="n">
        <v>-38936</v>
      </c>
      <c r="H55">
        <f>D55*F55</f>
        <v/>
      </c>
      <c r="I55">
        <f>E55*G55</f>
        <v/>
      </c>
      <c r="J55">
        <f>H55-I55</f>
        <v/>
      </c>
      <c r="K55" t="n">
        <v>0.02</v>
      </c>
      <c r="L55" t="n">
        <v>-10067.18805169221</v>
      </c>
      <c r="M55" t="n">
        <v>7404.57873289874</v>
      </c>
      <c r="N55" t="n">
        <v>-195.256384635081</v>
      </c>
      <c r="O55" t="n">
        <v>0</v>
      </c>
      <c r="P55" t="n">
        <v>-1529.001275351688</v>
      </c>
      <c r="Q55" t="n">
        <v>0.0432</v>
      </c>
      <c r="R55" t="n">
        <v>-613.9669773477065</v>
      </c>
      <c r="S55" t="n">
        <v>-1434.787338368165</v>
      </c>
    </row>
    <row r="56">
      <c r="A56" s="1" t="n">
        <v>44931</v>
      </c>
      <c r="B56" t="inlineStr">
        <is>
          <t>AMZU</t>
        </is>
      </c>
      <c r="C56" t="inlineStr">
        <is>
          <t>AMZN</t>
        </is>
      </c>
      <c r="D56" t="n">
        <v>83.12000274658203</v>
      </c>
      <c r="E56" t="n">
        <v>-10.96935081481934</v>
      </c>
      <c r="F56" t="n">
        <v>27599</v>
      </c>
      <c r="G56" t="n">
        <v>-103312</v>
      </c>
      <c r="H56">
        <f>D56*F56</f>
        <v/>
      </c>
      <c r="I56">
        <f>E56*G56</f>
        <v/>
      </c>
      <c r="J56">
        <f>H56-I56</f>
        <v/>
      </c>
      <c r="K56" t="n">
        <v>-0.0025</v>
      </c>
      <c r="L56" t="n">
        <v>-55752.23486952403</v>
      </c>
      <c r="M56" t="n">
        <v>38926.76509543032</v>
      </c>
      <c r="N56" t="n">
        <v>-0</v>
      </c>
      <c r="O56" t="n">
        <v>0</v>
      </c>
      <c r="P56" t="n">
        <v>162.6936412056705</v>
      </c>
      <c r="Q56" t="n">
        <v>0.0432</v>
      </c>
      <c r="R56" t="n">
        <v>-613.9669773477065</v>
      </c>
      <c r="S56" t="n">
        <v>-15189.07876100729</v>
      </c>
    </row>
    <row r="57">
      <c r="A57" s="1" t="n">
        <v>44931</v>
      </c>
      <c r="B57" t="inlineStr">
        <is>
          <t>TARK</t>
        </is>
      </c>
      <c r="C57" t="inlineStr">
        <is>
          <t>ARKK</t>
        </is>
      </c>
      <c r="D57" t="n">
        <v>30.7634391784668</v>
      </c>
      <c r="E57" t="n">
        <v>-16.05270004272461</v>
      </c>
      <c r="F57" t="n">
        <v>20537</v>
      </c>
      <c r="G57" t="n">
        <v>-20077</v>
      </c>
      <c r="H57">
        <f>D57*F57</f>
        <v/>
      </c>
      <c r="I57">
        <f>E57*G57</f>
        <v/>
      </c>
      <c r="J57">
        <f>H57-I57</f>
        <v/>
      </c>
      <c r="K57" t="n">
        <v>-0.02</v>
      </c>
      <c r="L57" t="n">
        <v>-15479.66815391969</v>
      </c>
      <c r="M57" t="n">
        <v>17490.6895889217</v>
      </c>
      <c r="N57" t="n">
        <v>-0</v>
      </c>
      <c r="O57" t="n">
        <v>0</v>
      </c>
      <c r="P57" t="n">
        <v>162.6936412056705</v>
      </c>
      <c r="Q57" t="n">
        <v>0.0432</v>
      </c>
      <c r="R57" t="n">
        <v>-613.9669773477065</v>
      </c>
      <c r="S57" t="n">
        <v>2906.569864184776</v>
      </c>
    </row>
    <row r="58">
      <c r="A58" s="1" t="n">
        <v>44931</v>
      </c>
      <c r="B58" t="inlineStr">
        <is>
          <t>CHAU</t>
        </is>
      </c>
      <c r="C58" t="inlineStr">
        <is>
          <t>ASHR</t>
        </is>
      </c>
      <c r="D58" t="n">
        <v>27.47062301635742</v>
      </c>
      <c r="E58" t="n">
        <v>-20.08732604980469</v>
      </c>
      <c r="F58" t="n">
        <v>5713</v>
      </c>
      <c r="G58" t="n">
        <v>-4099</v>
      </c>
      <c r="H58">
        <f>D58*F58</f>
        <v/>
      </c>
      <c r="I58">
        <f>E58*G58</f>
        <v/>
      </c>
      <c r="J58">
        <f>H58-I58</f>
        <v/>
      </c>
      <c r="K58" t="n">
        <v>-0.01</v>
      </c>
      <c r="L58" t="n">
        <v>1884.43179577324</v>
      </c>
      <c r="M58" t="n">
        <v>-2098.399498561248</v>
      </c>
      <c r="N58" t="n">
        <v>-0</v>
      </c>
      <c r="O58" t="n">
        <v>0</v>
      </c>
      <c r="P58" t="n">
        <v>162.6936412056705</v>
      </c>
      <c r="Q58" t="n">
        <v>0.0432</v>
      </c>
      <c r="R58" t="n">
        <v>-613.9669773477065</v>
      </c>
      <c r="S58" t="n">
        <v>469.9455974426741</v>
      </c>
    </row>
    <row r="59">
      <c r="A59" s="1" t="n">
        <v>44931</v>
      </c>
      <c r="B59" t="inlineStr">
        <is>
          <t>BABX</t>
        </is>
      </c>
      <c r="C59" t="inlineStr">
        <is>
          <t>BABA</t>
        </is>
      </c>
      <c r="D59" t="n">
        <v>99.31910705566406</v>
      </c>
      <c r="E59" t="n">
        <v>-32.3489990234375</v>
      </c>
      <c r="F59" t="n">
        <v>5330</v>
      </c>
      <c r="G59" t="n">
        <v>-8920</v>
      </c>
      <c r="H59">
        <f>D59*F59</f>
        <v/>
      </c>
      <c r="I59">
        <f>E59*G59</f>
        <v/>
      </c>
      <c r="J59">
        <f>H59-I59</f>
        <v/>
      </c>
      <c r="K59" t="n">
        <v>-0.0275</v>
      </c>
      <c r="L59" t="n">
        <v>3341.028205634393</v>
      </c>
      <c r="M59" t="n">
        <v>-3640.139372220003</v>
      </c>
      <c r="N59" t="n">
        <v>-0</v>
      </c>
      <c r="O59" t="n">
        <v>0</v>
      </c>
      <c r="P59" t="n">
        <v>162.6936412056705</v>
      </c>
      <c r="Q59" t="n">
        <v>0.0432</v>
      </c>
      <c r="R59" t="n">
        <v>-613.9669773477065</v>
      </c>
      <c r="S59" t="n">
        <v>550.7907015952646</v>
      </c>
    </row>
    <row r="60">
      <c r="A60" s="1" t="n">
        <v>44931</v>
      </c>
      <c r="B60" t="inlineStr">
        <is>
          <t>CONL</t>
        </is>
      </c>
      <c r="C60" t="inlineStr">
        <is>
          <t>COIN</t>
        </is>
      </c>
      <c r="D60" t="n">
        <v>33.52999877929688</v>
      </c>
      <c r="E60" t="n">
        <v>-4.179644107818604</v>
      </c>
      <c r="F60" t="n">
        <v>98778</v>
      </c>
      <c r="G60" t="n">
        <v>-394919</v>
      </c>
      <c r="H60">
        <f>D60*F60</f>
        <v/>
      </c>
      <c r="I60">
        <f>E60*G60</f>
        <v/>
      </c>
      <c r="J60">
        <f>H60-I60</f>
        <v/>
      </c>
      <c r="K60" t="n">
        <v>0.03</v>
      </c>
      <c r="L60" t="n">
        <v>-411921.8004225173</v>
      </c>
      <c r="M60" t="n">
        <v>324510.314020553</v>
      </c>
      <c r="N60" t="n">
        <v>-1022.440249386293</v>
      </c>
      <c r="O60" t="n">
        <v>0</v>
      </c>
      <c r="P60" t="n">
        <v>-10168.7640595158</v>
      </c>
      <c r="Q60" t="n">
        <v>0.0432</v>
      </c>
      <c r="R60" t="n">
        <v>-613.9669773477065</v>
      </c>
      <c r="S60" t="n">
        <v>-84298.94470658408</v>
      </c>
    </row>
    <row r="61">
      <c r="A61" s="1" t="n">
        <v>44931</v>
      </c>
      <c r="B61" t="inlineStr">
        <is>
          <t>MEXX</t>
        </is>
      </c>
      <c r="C61" t="inlineStr">
        <is>
          <t>EWW</t>
        </is>
      </c>
      <c r="D61" t="n">
        <v>47.31735610961914</v>
      </c>
      <c r="E61" t="n">
        <v>-17.93195533752441</v>
      </c>
      <c r="F61" t="n">
        <v>9067</v>
      </c>
      <c r="G61" t="n">
        <v>-8695</v>
      </c>
      <c r="H61">
        <f>D61*F61</f>
        <v/>
      </c>
      <c r="I61">
        <f>E61*G61</f>
        <v/>
      </c>
      <c r="J61">
        <f>H61-I61</f>
        <v/>
      </c>
      <c r="K61" t="n">
        <v>0.0075</v>
      </c>
      <c r="L61" t="n">
        <v>5503.644510963501</v>
      </c>
      <c r="M61" t="n">
        <v>-5481.140187103258</v>
      </c>
      <c r="N61" t="n">
        <v>-24.14503553111495</v>
      </c>
      <c r="O61" t="n">
        <v>0</v>
      </c>
      <c r="P61" t="n">
        <v>-36.72882851902105</v>
      </c>
      <c r="Q61" t="n">
        <v>0.0432</v>
      </c>
      <c r="R61" t="n">
        <v>-613.9669773477065</v>
      </c>
      <c r="S61" t="n">
        <v>851.8288197306852</v>
      </c>
    </row>
    <row r="62">
      <c r="A62" s="1" t="n">
        <v>44931</v>
      </c>
      <c r="B62" t="inlineStr">
        <is>
          <t>KORU</t>
        </is>
      </c>
      <c r="C62" t="inlineStr">
        <is>
          <t>EWY</t>
        </is>
      </c>
      <c r="D62" t="n">
        <v>53.0704231262207</v>
      </c>
      <c r="E62" t="n">
        <v>-71.47477722167969</v>
      </c>
      <c r="F62" t="n">
        <v>12826</v>
      </c>
      <c r="G62" t="n">
        <v>-3410</v>
      </c>
      <c r="H62">
        <f>D62*F62</f>
        <v/>
      </c>
      <c r="I62">
        <f>E62*G62</f>
        <v/>
      </c>
      <c r="J62">
        <f>H62-I62</f>
        <v/>
      </c>
      <c r="K62" t="n">
        <v>0.0225</v>
      </c>
      <c r="L62" t="n">
        <v>-7283.527766635072</v>
      </c>
      <c r="M62" t="n">
        <v>7239.865799535268</v>
      </c>
      <c r="N62" t="n">
        <v>-113.2293614331581</v>
      </c>
      <c r="O62" t="n">
        <v>0</v>
      </c>
      <c r="P62" t="n">
        <v>-830.984290267428</v>
      </c>
      <c r="Q62" t="n">
        <v>0.0432</v>
      </c>
      <c r="R62" t="n">
        <v>-613.9669773477065</v>
      </c>
      <c r="S62" t="n">
        <v>986.9066834673799</v>
      </c>
    </row>
    <row r="63">
      <c r="A63" s="1" t="n">
        <v>44931</v>
      </c>
      <c r="B63" t="inlineStr">
        <is>
          <t>YINN</t>
        </is>
      </c>
      <c r="C63" t="inlineStr">
        <is>
          <t>FXI</t>
        </is>
      </c>
      <c r="D63" t="n">
        <v>28.90707397460938</v>
      </c>
      <c r="E63" t="n">
        <v>-56.48868942260742</v>
      </c>
      <c r="F63" t="n">
        <v>35048</v>
      </c>
      <c r="G63" t="n">
        <v>-6728</v>
      </c>
      <c r="H63">
        <f>D63*F63</f>
        <v/>
      </c>
      <c r="I63">
        <f>E63*G63</f>
        <v/>
      </c>
      <c r="J63">
        <f>H63-I63</f>
        <v/>
      </c>
      <c r="K63" t="n">
        <v>-0.02</v>
      </c>
      <c r="L63" t="n">
        <v>-2279.036864405721</v>
      </c>
      <c r="M63" t="n">
        <v>1667.624332210923</v>
      </c>
      <c r="N63" t="n">
        <v>-0</v>
      </c>
      <c r="O63" t="n">
        <v>0</v>
      </c>
      <c r="P63" t="n">
        <v>162.6936412056705</v>
      </c>
      <c r="Q63" t="n">
        <v>0.0432</v>
      </c>
      <c r="R63" t="n">
        <v>-613.9669773477065</v>
      </c>
      <c r="S63" t="n">
        <v>454.0978767975307</v>
      </c>
    </row>
    <row r="64">
      <c r="A64" s="1" t="n">
        <v>44931</v>
      </c>
      <c r="B64" t="inlineStr">
        <is>
          <t>JNUG</t>
        </is>
      </c>
      <c r="C64" t="inlineStr">
        <is>
          <t>GDXJ</t>
        </is>
      </c>
      <c r="D64" t="n">
        <v>36.07041168212891</v>
      </c>
      <c r="E64" t="n">
        <v>-38.6065673828125</v>
      </c>
      <c r="F64" t="n">
        <v>13873</v>
      </c>
      <c r="G64" t="n">
        <v>-6778</v>
      </c>
      <c r="H64">
        <f>D64*F64</f>
        <v/>
      </c>
      <c r="I64">
        <f>E64*G64</f>
        <v/>
      </c>
      <c r="J64">
        <f>H64-I64</f>
        <v/>
      </c>
      <c r="K64" t="n">
        <v>-0.005</v>
      </c>
      <c r="L64" t="n">
        <v>-6693.343873846193</v>
      </c>
      <c r="M64" t="n">
        <v>6007.830117144069</v>
      </c>
      <c r="N64" t="n">
        <v>-0</v>
      </c>
      <c r="O64" t="n">
        <v>0</v>
      </c>
      <c r="P64" t="n">
        <v>162.6936412056705</v>
      </c>
      <c r="Q64" t="n">
        <v>0.0432</v>
      </c>
      <c r="R64" t="n">
        <v>-613.9669773477065</v>
      </c>
      <c r="S64" t="n">
        <v>151.4782681576801</v>
      </c>
    </row>
    <row r="65">
      <c r="A65" s="1" t="n">
        <v>44931</v>
      </c>
      <c r="B65" t="inlineStr">
        <is>
          <t>GDXU</t>
        </is>
      </c>
      <c r="C65" t="inlineStr">
        <is>
          <t>GDX</t>
        </is>
      </c>
      <c r="D65" t="n">
        <v>29.59003257751465</v>
      </c>
      <c r="E65" t="n">
        <v>-51.41999816894531</v>
      </c>
      <c r="F65" t="n">
        <v>53188</v>
      </c>
      <c r="G65" t="n">
        <v>-10762</v>
      </c>
      <c r="H65">
        <f>D65*F65</f>
        <v/>
      </c>
      <c r="I65">
        <f>E65*G65</f>
        <v/>
      </c>
      <c r="J65">
        <f>H65-I65</f>
        <v/>
      </c>
      <c r="K65" t="n">
        <v>-0.005</v>
      </c>
      <c r="L65" t="n">
        <v>-13864.67843988382</v>
      </c>
      <c r="M65" t="n">
        <v>9986.117793884427</v>
      </c>
      <c r="N65" t="n">
        <v>-0</v>
      </c>
      <c r="O65" t="n">
        <v>0</v>
      </c>
      <c r="P65" t="n">
        <v>162.6936412056705</v>
      </c>
      <c r="Q65" t="n">
        <v>0.0432</v>
      </c>
      <c r="R65" t="n">
        <v>-613.9669773477065</v>
      </c>
      <c r="S65" t="n">
        <v>-2563.152488860931</v>
      </c>
    </row>
    <row r="66">
      <c r="A66" s="1" t="n">
        <v>44931</v>
      </c>
      <c r="B66" t="inlineStr">
        <is>
          <t>NUGT</t>
        </is>
      </c>
      <c r="C66" t="inlineStr">
        <is>
          <t>GDX</t>
        </is>
      </c>
      <c r="D66" t="n">
        <v>29.59003257751465</v>
      </c>
      <c r="E66" t="n">
        <v>-37.83975982666016</v>
      </c>
      <c r="F66" t="n">
        <v>15820</v>
      </c>
      <c r="G66" t="n">
        <v>-6494</v>
      </c>
      <c r="H66">
        <f>D66*F66</f>
        <v/>
      </c>
      <c r="I66">
        <f>E66*G66</f>
        <v/>
      </c>
      <c r="J66">
        <f>H66-I66</f>
        <v/>
      </c>
      <c r="K66" t="n">
        <v>-0.0175</v>
      </c>
      <c r="L66" t="n">
        <v>-4123.847727287397</v>
      </c>
      <c r="M66" t="n">
        <v>2893.566168917439</v>
      </c>
      <c r="N66" t="n">
        <v>-0</v>
      </c>
      <c r="O66" t="n">
        <v>0</v>
      </c>
      <c r="P66" t="n">
        <v>162.6936412056705</v>
      </c>
      <c r="Q66" t="n">
        <v>0.0432</v>
      </c>
      <c r="R66" t="n">
        <v>-613.9669773477065</v>
      </c>
      <c r="S66" t="n">
        <v>-407.6810647349344</v>
      </c>
    </row>
    <row r="67">
      <c r="A67" s="1" t="n">
        <v>44931</v>
      </c>
      <c r="B67" t="inlineStr">
        <is>
          <t>GGLL</t>
        </is>
      </c>
      <c r="C67" t="inlineStr">
        <is>
          <t>GOOGL</t>
        </is>
      </c>
      <c r="D67" t="n">
        <v>85.49338531494141</v>
      </c>
      <c r="E67" t="n">
        <v>-15.45850658416748</v>
      </c>
      <c r="F67" t="n">
        <v>20098</v>
      </c>
      <c r="G67" t="n">
        <v>-54856</v>
      </c>
      <c r="H67">
        <f>D67*F67</f>
        <v/>
      </c>
      <c r="I67">
        <f>E67*G67</f>
        <v/>
      </c>
      <c r="J67">
        <f>H67-I67</f>
        <v/>
      </c>
      <c r="K67" t="n">
        <v>-0</v>
      </c>
      <c r="L67" t="n">
        <v>-37476.48494614507</v>
      </c>
      <c r="M67" t="n">
        <v>25498.83478097547</v>
      </c>
      <c r="N67" t="n">
        <v>-0</v>
      </c>
      <c r="O67" t="n">
        <v>0</v>
      </c>
      <c r="P67" t="n">
        <v>162.6936412056705</v>
      </c>
      <c r="Q67" t="n">
        <v>0.0432</v>
      </c>
      <c r="R67" t="n">
        <v>-613.9669773477065</v>
      </c>
      <c r="S67" t="n">
        <v>-10597.87939766936</v>
      </c>
    </row>
    <row r="68">
      <c r="A68" s="1" t="n">
        <v>44931</v>
      </c>
      <c r="B68" t="inlineStr">
        <is>
          <t>CWEB</t>
        </is>
      </c>
      <c r="C68" t="inlineStr">
        <is>
          <t>KWEB</t>
        </is>
      </c>
      <c r="D68" t="n">
        <v>31.14062118530273</v>
      </c>
      <c r="E68" t="n">
        <v>-60.14630508422852</v>
      </c>
      <c r="F68" t="n">
        <v>14605</v>
      </c>
      <c r="G68" t="n">
        <v>-4138</v>
      </c>
      <c r="H68">
        <f>D68*F68</f>
        <v/>
      </c>
      <c r="I68">
        <f>E68*G68</f>
        <v/>
      </c>
      <c r="J68">
        <f>H68-I68</f>
        <v/>
      </c>
      <c r="K68" t="n">
        <v>-0.02</v>
      </c>
      <c r="L68" t="n">
        <v>2093.58439932581</v>
      </c>
      <c r="M68" t="n">
        <v>-2575.250837069609</v>
      </c>
      <c r="N68" t="n">
        <v>-0</v>
      </c>
      <c r="O68" t="n">
        <v>0</v>
      </c>
      <c r="P68" t="n">
        <v>162.6936412056705</v>
      </c>
      <c r="Q68" t="n">
        <v>0.0432</v>
      </c>
      <c r="R68" t="n">
        <v>-613.9669773477065</v>
      </c>
      <c r="S68" t="n">
        <v>335.0039184788379</v>
      </c>
    </row>
    <row r="69">
      <c r="A69" s="1" t="n">
        <v>44931</v>
      </c>
      <c r="B69" t="inlineStr">
        <is>
          <t>FBL</t>
        </is>
      </c>
      <c r="C69" t="inlineStr">
        <is>
          <t>META</t>
        </is>
      </c>
      <c r="D69" t="n">
        <v>125.9516067504883</v>
      </c>
      <c r="E69" t="n">
        <v>-3.737596273422241</v>
      </c>
      <c r="F69" t="n">
        <v>25964</v>
      </c>
      <c r="G69" t="n">
        <v>-441819</v>
      </c>
      <c r="H69">
        <f>D69*F69</f>
        <v/>
      </c>
      <c r="I69">
        <f>E69*G69</f>
        <v/>
      </c>
      <c r="J69">
        <f>H69-I69</f>
        <v/>
      </c>
      <c r="K69" t="n">
        <v>-0.01</v>
      </c>
      <c r="L69" t="n">
        <v>-11077.83494584252</v>
      </c>
      <c r="M69" t="n">
        <v>7058.95633259312</v>
      </c>
      <c r="N69" t="n">
        <v>-0</v>
      </c>
      <c r="O69" t="n">
        <v>0</v>
      </c>
      <c r="P69" t="n">
        <v>162.6936412056705</v>
      </c>
      <c r="Q69" t="n">
        <v>0.0432</v>
      </c>
      <c r="R69" t="n">
        <v>-613.9669773477065</v>
      </c>
      <c r="S69" t="n">
        <v>-1947.415312910129</v>
      </c>
    </row>
    <row r="70">
      <c r="A70" s="1" t="n">
        <v>44931</v>
      </c>
      <c r="B70" t="inlineStr">
        <is>
          <t>MSFU</t>
        </is>
      </c>
      <c r="C70" t="inlineStr">
        <is>
          <t>MSFT</t>
        </is>
      </c>
      <c r="D70" t="n">
        <v>216.6244659423828</v>
      </c>
      <c r="E70" t="n">
        <v>-16.76129722595215</v>
      </c>
      <c r="F70" t="n">
        <v>8314</v>
      </c>
      <c r="G70" t="n">
        <v>-51898</v>
      </c>
      <c r="H70">
        <f>D70*F70</f>
        <v/>
      </c>
      <c r="I70">
        <f>E70*G70</f>
        <v/>
      </c>
      <c r="J70">
        <f>H70-I70</f>
        <v/>
      </c>
      <c r="K70" t="n">
        <v>-0.005</v>
      </c>
      <c r="L70" t="n">
        <v>-55010.8895139314</v>
      </c>
      <c r="M70" t="n">
        <v>37451.13013902851</v>
      </c>
      <c r="N70" t="n">
        <v>-0</v>
      </c>
      <c r="O70" t="n">
        <v>0</v>
      </c>
      <c r="P70" t="n">
        <v>162.6936412056705</v>
      </c>
      <c r="Q70" t="n">
        <v>0.0432</v>
      </c>
      <c r="R70" t="n">
        <v>-613.9669773477065</v>
      </c>
      <c r="S70" t="n">
        <v>-16143.09901913336</v>
      </c>
    </row>
    <row r="71">
      <c r="A71" s="1" t="n">
        <v>44931</v>
      </c>
      <c r="B71" t="inlineStr">
        <is>
          <t>NVDL</t>
        </is>
      </c>
      <c r="C71" t="inlineStr">
        <is>
          <t>NVDA</t>
        </is>
      </c>
      <c r="D71" t="n">
        <v>14.24996280670166</v>
      </c>
      <c r="E71" t="n">
        <v>-2.711843490600586</v>
      </c>
      <c r="F71" t="n">
        <v>307781</v>
      </c>
      <c r="G71" t="n">
        <v>-767265</v>
      </c>
      <c r="H71">
        <f>D71*F71</f>
        <v/>
      </c>
      <c r="I71">
        <f>E71*G71</f>
        <v/>
      </c>
      <c r="J71">
        <f>H71-I71</f>
        <v/>
      </c>
      <c r="K71" t="n">
        <v>-0</v>
      </c>
      <c r="L71" t="n">
        <v>-148814.7116680959</v>
      </c>
      <c r="M71" t="n">
        <v>95025.54668996148</v>
      </c>
      <c r="N71" t="n">
        <v>-0</v>
      </c>
      <c r="O71" t="n">
        <v>0</v>
      </c>
      <c r="P71" t="n">
        <v>162.6936412056705</v>
      </c>
      <c r="Q71" t="n">
        <v>0.0432</v>
      </c>
      <c r="R71" t="n">
        <v>-613.9669773477065</v>
      </c>
      <c r="S71" t="n">
        <v>-51220.46388654756</v>
      </c>
    </row>
    <row r="72">
      <c r="A72" s="1" t="n">
        <v>44931</v>
      </c>
      <c r="B72" t="inlineStr">
        <is>
          <t>SOXL</t>
        </is>
      </c>
      <c r="C72" t="inlineStr">
        <is>
          <t>SOXX</t>
        </is>
      </c>
      <c r="D72" t="n">
        <v>113.1609268188477</v>
      </c>
      <c r="E72" t="n">
        <v>-9.364391326904297</v>
      </c>
      <c r="F72" t="n">
        <v>8941</v>
      </c>
      <c r="G72" t="n">
        <v>-36957</v>
      </c>
      <c r="H72">
        <f>D72*F72</f>
        <v/>
      </c>
      <c r="I72">
        <f>E72*G72</f>
        <v/>
      </c>
      <c r="J72">
        <f>H72-I72</f>
        <v/>
      </c>
      <c r="K72" t="n">
        <v>-0.0175</v>
      </c>
      <c r="L72" t="n">
        <v>-17353.79611770487</v>
      </c>
      <c r="M72" t="n">
        <v>17120.27012397395</v>
      </c>
      <c r="N72" t="n">
        <v>-0</v>
      </c>
      <c r="O72" t="n">
        <v>0</v>
      </c>
      <c r="P72" t="n">
        <v>162.6936412056705</v>
      </c>
      <c r="Q72" t="n">
        <v>0.0432</v>
      </c>
      <c r="R72" t="n">
        <v>-613.9669773477065</v>
      </c>
      <c r="S72" t="n">
        <v>831.3768151459033</v>
      </c>
    </row>
    <row r="73">
      <c r="A73" s="1" t="n">
        <v>44931</v>
      </c>
      <c r="B73" t="inlineStr">
        <is>
          <t>SOXS</t>
        </is>
      </c>
      <c r="C73" t="inlineStr">
        <is>
          <t>SOXX</t>
        </is>
      </c>
      <c r="D73" t="n">
        <v>-0</v>
      </c>
      <c r="E73" t="n">
        <v>-28295.5203645036</v>
      </c>
      <c r="F73" t="n">
        <v>-6997</v>
      </c>
      <c r="G73" t="n">
        <v>-37</v>
      </c>
      <c r="H73">
        <f>D73*F73</f>
        <v/>
      </c>
      <c r="I73">
        <f>E73*G73</f>
        <v/>
      </c>
      <c r="J73">
        <f>H73-I73</f>
        <v/>
      </c>
      <c r="K73" t="n">
        <v>0.07000000000000001</v>
      </c>
      <c r="L73" t="n">
        <v>13580.64102847344</v>
      </c>
      <c r="M73" t="n">
        <v>-12618.65220925932</v>
      </c>
      <c r="N73" t="n">
        <v>-368.7722897852092</v>
      </c>
      <c r="O73" t="n">
        <v>0</v>
      </c>
      <c r="P73" t="n">
        <v>-2841.131042656804</v>
      </c>
      <c r="Q73" t="n">
        <v>0.0432</v>
      </c>
      <c r="R73" t="n">
        <v>-613.9669773477065</v>
      </c>
      <c r="S73" t="n">
        <v>1944.728086347033</v>
      </c>
    </row>
    <row r="74">
      <c r="A74" s="1" t="n">
        <v>44931</v>
      </c>
      <c r="B74" t="inlineStr">
        <is>
          <t>HIBL</t>
        </is>
      </c>
      <c r="C74" t="inlineStr">
        <is>
          <t>SPHB</t>
        </is>
      </c>
      <c r="D74" t="n">
        <v>61.43576049804688</v>
      </c>
      <c r="E74" t="n">
        <v>-23.39136695861816</v>
      </c>
      <c r="F74" t="n">
        <v>6521</v>
      </c>
      <c r="G74" t="n">
        <v>-5851</v>
      </c>
      <c r="H74">
        <f>D74*F74</f>
        <v/>
      </c>
      <c r="I74">
        <f>E74*G74</f>
        <v/>
      </c>
      <c r="J74">
        <f>H74-I74</f>
        <v/>
      </c>
      <c r="K74" t="n">
        <v>0.12</v>
      </c>
      <c r="L74" t="n">
        <v>-5721.588563258514</v>
      </c>
      <c r="M74" t="n">
        <v>5364.084016806246</v>
      </c>
      <c r="N74" t="n">
        <v>-339.1066424478013</v>
      </c>
      <c r="O74" t="n">
        <v>0</v>
      </c>
      <c r="P74" t="n">
        <v>-2838.858144819616</v>
      </c>
      <c r="Q74" t="n">
        <v>0.0432</v>
      </c>
      <c r="R74" t="n">
        <v>-613.9669773477065</v>
      </c>
      <c r="S74" t="n">
        <v>774.1222553080472</v>
      </c>
    </row>
    <row r="75">
      <c r="A75" s="1" t="n">
        <v>44931</v>
      </c>
      <c r="B75" t="inlineStr">
        <is>
          <t>TSLL</t>
        </is>
      </c>
      <c r="C75" t="inlineStr">
        <is>
          <t>TSLA</t>
        </is>
      </c>
      <c r="D75" t="n">
        <v>110.3399963378906</v>
      </c>
      <c r="E75" t="n">
        <v>-4.545461177825928</v>
      </c>
      <c r="F75" t="n">
        <v>16893</v>
      </c>
      <c r="G75" t="n">
        <v>-207812</v>
      </c>
      <c r="H75">
        <f>D75*F75</f>
        <v/>
      </c>
      <c r="I75">
        <f>E75*G75</f>
        <v/>
      </c>
      <c r="J75">
        <f>H75-I75</f>
        <v/>
      </c>
      <c r="K75" t="n">
        <v>0.01</v>
      </c>
      <c r="L75" t="n">
        <v>-55749.29894725834</v>
      </c>
      <c r="M75" t="n">
        <v>39182.75926310723</v>
      </c>
      <c r="N75" t="n">
        <v>-195.0374119845481</v>
      </c>
      <c r="O75" t="n">
        <v>0</v>
      </c>
      <c r="P75" t="n">
        <v>-1567.203533294906</v>
      </c>
      <c r="Q75" t="n">
        <v>0.0432</v>
      </c>
      <c r="R75" t="n">
        <v>-613.9669773477065</v>
      </c>
      <c r="S75" t="n">
        <v>-14926.78232502793</v>
      </c>
    </row>
    <row r="76">
      <c r="A76" s="1" t="n">
        <v>44931</v>
      </c>
      <c r="B76" t="inlineStr">
        <is>
          <t>TSLQ</t>
        </is>
      </c>
      <c r="C76" t="inlineStr">
        <is>
          <t>TSLA</t>
        </is>
      </c>
      <c r="D76" t="n">
        <v>-0</v>
      </c>
      <c r="E76" t="n">
        <v>-3466.018689793467</v>
      </c>
      <c r="F76" t="n">
        <v>-6277</v>
      </c>
      <c r="G76" t="n">
        <v>-302</v>
      </c>
      <c r="H76">
        <f>D76*F76</f>
        <v/>
      </c>
      <c r="I76">
        <f>E76*G76</f>
        <v/>
      </c>
      <c r="J76">
        <f>H76-I76</f>
        <v/>
      </c>
      <c r="K76" t="n">
        <v>-0.02</v>
      </c>
      <c r="L76" t="n">
        <v>20714.99138648793</v>
      </c>
      <c r="M76" t="n">
        <v>-9573.655003025413</v>
      </c>
      <c r="N76" t="n">
        <v>-0</v>
      </c>
      <c r="O76" t="n">
        <v>0</v>
      </c>
      <c r="P76" t="n">
        <v>162.6936412056705</v>
      </c>
      <c r="Q76" t="n">
        <v>0.0432</v>
      </c>
      <c r="R76" t="n">
        <v>-613.9669773477065</v>
      </c>
      <c r="S76" t="n">
        <v>11755.30336081022</v>
      </c>
    </row>
    <row r="77">
      <c r="A77" s="1" t="n">
        <v>44931</v>
      </c>
      <c r="B77" t="inlineStr">
        <is>
          <t>LABU</t>
        </is>
      </c>
      <c r="C77" t="inlineStr">
        <is>
          <t>XBI</t>
        </is>
      </c>
      <c r="D77" t="n">
        <v>82.07958984375</v>
      </c>
      <c r="E77" t="n">
        <v>-136.1209869384766</v>
      </c>
      <c r="F77" t="n">
        <v>3382</v>
      </c>
      <c r="G77" t="n">
        <v>-699</v>
      </c>
      <c r="H77">
        <f>D77*F77</f>
        <v/>
      </c>
      <c r="I77">
        <f>E77*G77</f>
        <v/>
      </c>
      <c r="J77">
        <f>H77-I77</f>
        <v/>
      </c>
      <c r="K77" t="n">
        <v>0.1</v>
      </c>
      <c r="L77" t="n">
        <v>-2422.141599115888</v>
      </c>
      <c r="M77" t="n">
        <v>2080.016618701778</v>
      </c>
      <c r="N77" t="n">
        <v>-196.4588581814346</v>
      </c>
      <c r="O77" t="n">
        <v>0</v>
      </c>
      <c r="P77" t="n">
        <v>-1549.11921593452</v>
      </c>
      <c r="Q77" t="n">
        <v>0.0432</v>
      </c>
      <c r="R77" t="n">
        <v>-613.9669773477065</v>
      </c>
      <c r="S77" t="n">
        <v>592.0211470330865</v>
      </c>
    </row>
    <row r="78">
      <c r="A78" s="1" t="n">
        <v>44931</v>
      </c>
      <c r="B78" t="inlineStr">
        <is>
          <t>ERX</t>
        </is>
      </c>
      <c r="C78" t="inlineStr">
        <is>
          <t>XLE</t>
        </is>
      </c>
      <c r="D78" t="n">
        <v>38.56432342529297</v>
      </c>
      <c r="E78" t="n">
        <v>-58.78803253173828</v>
      </c>
      <c r="F78" t="n">
        <v>1856</v>
      </c>
      <c r="G78" t="n">
        <v>-625</v>
      </c>
      <c r="H78">
        <f>D78*F78</f>
        <v/>
      </c>
      <c r="I78">
        <f>E78*G78</f>
        <v/>
      </c>
      <c r="J78">
        <f>H78-I78</f>
        <v/>
      </c>
      <c r="K78" t="n">
        <v>0.12</v>
      </c>
      <c r="L78" t="n">
        <v>1282.80132840644</v>
      </c>
      <c r="M78" t="n">
        <v>-1300.326112256319</v>
      </c>
      <c r="N78" t="n">
        <v>-91.0373358346221</v>
      </c>
      <c r="O78" t="n">
        <v>0</v>
      </c>
      <c r="P78" t="n">
        <v>-589.0449200049334</v>
      </c>
      <c r="Q78" t="n">
        <v>0.0432</v>
      </c>
      <c r="R78" t="n">
        <v>-613.9669773477065</v>
      </c>
      <c r="S78" t="n">
        <v>719.3799083870707</v>
      </c>
    </row>
    <row r="79">
      <c r="A79" s="1" t="n">
        <v>44931</v>
      </c>
      <c r="B79" t="inlineStr">
        <is>
          <t>GUSH</t>
        </is>
      </c>
      <c r="C79" t="inlineStr">
        <is>
          <t>XOP</t>
        </is>
      </c>
      <c r="D79" t="n">
        <v>118.9384307861328</v>
      </c>
      <c r="E79" t="n">
        <v>-29.97429847717285</v>
      </c>
      <c r="F79" t="n">
        <v>3057</v>
      </c>
      <c r="G79" t="n">
        <v>-6059</v>
      </c>
      <c r="H79">
        <f>D79*F79</f>
        <v/>
      </c>
      <c r="I79">
        <f>E79*G79</f>
        <v/>
      </c>
      <c r="J79">
        <f>H79-I79</f>
        <v/>
      </c>
      <c r="K79" t="n">
        <v>-0.01</v>
      </c>
      <c r="L79" t="n">
        <v>535.939818002826</v>
      </c>
      <c r="M79" t="n">
        <v>-474.7301015397112</v>
      </c>
      <c r="N79" t="n">
        <v>-0</v>
      </c>
      <c r="O79" t="n">
        <v>0</v>
      </c>
      <c r="P79" t="n">
        <v>162.6936412056705</v>
      </c>
      <c r="Q79" t="n">
        <v>0.0432</v>
      </c>
      <c r="R79" t="n">
        <v>-613.9669773477065</v>
      </c>
      <c r="S79" t="n">
        <v>837.2269784767145</v>
      </c>
    </row>
    <row r="80">
      <c r="A80" s="1" t="n">
        <v>44932</v>
      </c>
      <c r="B80" t="inlineStr">
        <is>
          <t>AAPB</t>
        </is>
      </c>
      <c r="C80" t="inlineStr">
        <is>
          <t>AAPL</t>
        </is>
      </c>
      <c r="D80" t="n">
        <v>127.5741806030273</v>
      </c>
      <c r="E80" t="n">
        <v>-12.35453224182129</v>
      </c>
      <c r="F80" t="n">
        <v>9028</v>
      </c>
      <c r="G80" t="n">
        <v>-47878</v>
      </c>
      <c r="H80">
        <f>D80*F80</f>
        <v/>
      </c>
      <c r="I80">
        <f>E80*G80</f>
        <v/>
      </c>
      <c r="J80">
        <f>H80-I80</f>
        <v/>
      </c>
      <c r="K80" t="n">
        <v>-0.005</v>
      </c>
      <c r="L80" t="n">
        <v>40874.78709352174</v>
      </c>
      <c r="M80" t="n">
        <v>-32296.6323661549</v>
      </c>
      <c r="N80" t="n">
        <v>0</v>
      </c>
      <c r="O80" t="n">
        <v>1</v>
      </c>
      <c r="P80" t="n">
        <v>162.6936412056705</v>
      </c>
      <c r="Q80" t="n">
        <v>0.0432</v>
      </c>
      <c r="R80" t="n">
        <v>0</v>
      </c>
      <c r="S80" t="n">
        <v>8092.158891019216</v>
      </c>
    </row>
    <row r="81">
      <c r="A81" s="1" t="n">
        <v>44932</v>
      </c>
      <c r="B81" t="inlineStr">
        <is>
          <t>AAPU</t>
        </is>
      </c>
      <c r="C81" t="inlineStr">
        <is>
          <t>AAPL</t>
        </is>
      </c>
      <c r="D81" t="n">
        <v>127.5741806030273</v>
      </c>
      <c r="E81" t="n">
        <v>-12.78497695922852</v>
      </c>
      <c r="F81" t="n">
        <v>7633</v>
      </c>
      <c r="G81" t="n">
        <v>-38936</v>
      </c>
      <c r="H81">
        <f>D81*F81</f>
        <v/>
      </c>
      <c r="I81">
        <f>E81*G81</f>
        <v/>
      </c>
      <c r="J81">
        <f>H81-I81</f>
        <v/>
      </c>
      <c r="K81" t="n">
        <v>0.02</v>
      </c>
      <c r="L81" t="n">
        <v>34558.84469260649</v>
      </c>
      <c r="M81" t="n">
        <v>-23637.75179370777</v>
      </c>
      <c r="N81" t="n">
        <v>199.1704467438601</v>
      </c>
      <c r="O81" t="n">
        <v>1</v>
      </c>
      <c r="P81" t="n">
        <v>-1329.830828607828</v>
      </c>
      <c r="Q81" t="n">
        <v>0.0432</v>
      </c>
      <c r="R81" t="n">
        <v>0</v>
      </c>
      <c r="S81" t="n">
        <v>10311.02233930136</v>
      </c>
    </row>
    <row r="82">
      <c r="A82" s="1" t="n">
        <v>44932</v>
      </c>
      <c r="B82" t="inlineStr">
        <is>
          <t>AMZU</t>
        </is>
      </c>
      <c r="C82" t="inlineStr">
        <is>
          <t>AMZN</t>
        </is>
      </c>
      <c r="D82" t="n">
        <v>86.08000183105469</v>
      </c>
      <c r="E82" t="n">
        <v>-11.53771591186523</v>
      </c>
      <c r="F82" t="n">
        <v>27599</v>
      </c>
      <c r="G82" t="n">
        <v>-103312</v>
      </c>
      <c r="H82">
        <f>D82*F82</f>
        <v/>
      </c>
      <c r="I82">
        <f>E82*G82</f>
        <v/>
      </c>
      <c r="J82">
        <f>H82-I82</f>
        <v/>
      </c>
      <c r="K82" t="n">
        <v>-0.0025</v>
      </c>
      <c r="L82" t="n">
        <v>81696.45466369741</v>
      </c>
      <c r="M82" t="n">
        <v>-55597.37702560904</v>
      </c>
      <c r="N82" t="n">
        <v>0</v>
      </c>
      <c r="O82" t="n">
        <v>1</v>
      </c>
      <c r="P82" t="n">
        <v>162.6936412056705</v>
      </c>
      <c r="Q82" t="n">
        <v>0.0432</v>
      </c>
      <c r="R82" t="n">
        <v>0</v>
      </c>
      <c r="S82" t="n">
        <v>25096.60200621649</v>
      </c>
    </row>
    <row r="83">
      <c r="A83" s="1" t="n">
        <v>44932</v>
      </c>
      <c r="B83" t="inlineStr">
        <is>
          <t>TARK</t>
        </is>
      </c>
      <c r="C83" t="inlineStr">
        <is>
          <t>ARKK</t>
        </is>
      </c>
      <c r="D83" t="n">
        <v>31.11054420471191</v>
      </c>
      <c r="E83" t="n">
        <v>-16.42073822021484</v>
      </c>
      <c r="F83" t="n">
        <v>20537</v>
      </c>
      <c r="G83" t="n">
        <v>-20077</v>
      </c>
      <c r="H83">
        <f>D83*F83</f>
        <v/>
      </c>
      <c r="I83">
        <f>E83*G83</f>
        <v/>
      </c>
      <c r="J83">
        <f>H83-I83</f>
        <v/>
      </c>
      <c r="K83" t="n">
        <v>-0.02</v>
      </c>
      <c r="L83" t="n">
        <v>7128.796090865709</v>
      </c>
      <c r="M83" t="n">
        <v>-6996.290338808429</v>
      </c>
      <c r="N83" t="n">
        <v>0</v>
      </c>
      <c r="O83" t="n">
        <v>1</v>
      </c>
      <c r="P83" t="n">
        <v>162.6936412056705</v>
      </c>
      <c r="Q83" t="n">
        <v>0.0432</v>
      </c>
      <c r="R83" t="n">
        <v>0</v>
      </c>
      <c r="S83" t="n">
        <v>-137.0960692730039</v>
      </c>
    </row>
    <row r="84">
      <c r="A84" s="1" t="n">
        <v>44932</v>
      </c>
      <c r="B84" t="inlineStr">
        <is>
          <t>CHAU</t>
        </is>
      </c>
      <c r="C84" t="inlineStr">
        <is>
          <t>ASHR</t>
        </is>
      </c>
      <c r="D84" t="n">
        <v>28.00778579711914</v>
      </c>
      <c r="E84" t="n">
        <v>-20.86626243591309</v>
      </c>
      <c r="F84" t="n">
        <v>5713</v>
      </c>
      <c r="G84" t="n">
        <v>-4099</v>
      </c>
      <c r="H84">
        <f>D84*F84</f>
        <v/>
      </c>
      <c r="I84">
        <f>E84*G84</f>
        <v/>
      </c>
      <c r="J84">
        <f>H84-I84</f>
        <v/>
      </c>
      <c r="K84" t="n">
        <v>-0.01</v>
      </c>
      <c r="L84" t="n">
        <v>3068.940188054207</v>
      </c>
      <c r="M84" t="n">
        <v>-3023.124571446979</v>
      </c>
      <c r="N84" t="n">
        <v>0</v>
      </c>
      <c r="O84" t="n">
        <v>1</v>
      </c>
      <c r="P84" t="n">
        <v>162.6936412056705</v>
      </c>
      <c r="Q84" t="n">
        <v>0.0432</v>
      </c>
      <c r="R84" t="n">
        <v>155.3301801378966</v>
      </c>
      <c r="S84" t="n">
        <v>-177.0328187565949</v>
      </c>
    </row>
    <row r="85">
      <c r="A85" s="1" t="n">
        <v>44932</v>
      </c>
      <c r="B85" t="inlineStr">
        <is>
          <t>BABX</t>
        </is>
      </c>
      <c r="C85" t="inlineStr">
        <is>
          <t>BABA</t>
        </is>
      </c>
      <c r="D85" t="n">
        <v>101.9972457885742</v>
      </c>
      <c r="E85" t="n">
        <v>-33.72999954223633</v>
      </c>
      <c r="F85" t="n">
        <v>5330</v>
      </c>
      <c r="G85" t="n">
        <v>-8920</v>
      </c>
      <c r="H85">
        <f>D85*F85</f>
        <v/>
      </c>
      <c r="I85">
        <f>E85*G85</f>
        <v/>
      </c>
      <c r="J85">
        <f>H85-I85</f>
        <v/>
      </c>
      <c r="K85" t="n">
        <v>-0.0275</v>
      </c>
      <c r="L85" t="n">
        <v>14275.0805165188</v>
      </c>
      <c r="M85" t="n">
        <v>-11663.65941788623</v>
      </c>
      <c r="N85" t="n">
        <v>0</v>
      </c>
      <c r="O85" t="n">
        <v>1</v>
      </c>
      <c r="P85" t="n">
        <v>162.6936412056705</v>
      </c>
      <c r="Q85" t="n">
        <v>0.0432</v>
      </c>
      <c r="R85" t="n">
        <v>1016.455331533911</v>
      </c>
      <c r="S85" t="n">
        <v>1365.565528984256</v>
      </c>
    </row>
    <row r="86">
      <c r="A86" s="1" t="n">
        <v>44932</v>
      </c>
      <c r="B86" t="inlineStr">
        <is>
          <t>CONL</t>
        </is>
      </c>
      <c r="C86" t="inlineStr">
        <is>
          <t>COIN</t>
        </is>
      </c>
      <c r="D86" t="n">
        <v>33.2599983215332</v>
      </c>
      <c r="E86" t="n">
        <v>-4.105826854705811</v>
      </c>
      <c r="F86" t="n">
        <v>98778</v>
      </c>
      <c r="G86" t="n">
        <v>-394919</v>
      </c>
      <c r="H86">
        <f>D86*F86</f>
        <v/>
      </c>
      <c r="I86">
        <f>E86*G86</f>
        <v/>
      </c>
      <c r="J86">
        <f>H86-I86</f>
        <v/>
      </c>
      <c r="K86" t="n">
        <v>0.03</v>
      </c>
      <c r="L86" t="n">
        <v>-26671.22824238168</v>
      </c>
      <c r="M86" t="n">
        <v>27602.09475116962</v>
      </c>
      <c r="N86" t="n">
        <v>973.135986919774</v>
      </c>
      <c r="O86" t="n">
        <v>1</v>
      </c>
      <c r="P86" t="n">
        <v>-9195.628072596022</v>
      </c>
      <c r="Q86" t="n">
        <v>0.0432</v>
      </c>
      <c r="R86" t="n">
        <v>0</v>
      </c>
      <c r="S86" t="n">
        <v>-1428.580455324649</v>
      </c>
    </row>
    <row r="87">
      <c r="A87" s="1" t="n">
        <v>44932</v>
      </c>
      <c r="B87" t="inlineStr">
        <is>
          <t>MEXX</t>
        </is>
      </c>
      <c r="C87" t="inlineStr">
        <is>
          <t>EWW</t>
        </is>
      </c>
      <c r="D87" t="n">
        <v>48.64909362792969</v>
      </c>
      <c r="E87" t="n">
        <v>-19.48874282836914</v>
      </c>
      <c r="F87" t="n">
        <v>9067</v>
      </c>
      <c r="G87" t="n">
        <v>-8695</v>
      </c>
      <c r="H87">
        <f>D87*F87</f>
        <v/>
      </c>
      <c r="I87">
        <f>E87*G87</f>
        <v/>
      </c>
      <c r="J87">
        <f>H87-I87</f>
        <v/>
      </c>
      <c r="K87" t="n">
        <v>0.0075</v>
      </c>
      <c r="L87" t="n">
        <v>12075.37252717508</v>
      </c>
      <c r="M87" t="n">
        <v>-12816.66559639317</v>
      </c>
      <c r="N87" t="n">
        <v>25.42484379447296</v>
      </c>
      <c r="O87" t="n">
        <v>1</v>
      </c>
      <c r="P87" t="n">
        <v>-11.30398472454808</v>
      </c>
      <c r="Q87" t="n">
        <v>0.0432</v>
      </c>
      <c r="R87" t="n">
        <v>713.8865582287464</v>
      </c>
      <c r="S87" t="n">
        <v>-1666.734557979049</v>
      </c>
    </row>
    <row r="88">
      <c r="A88" s="1" t="n">
        <v>44932</v>
      </c>
      <c r="B88" t="inlineStr">
        <is>
          <t>KORU</t>
        </is>
      </c>
      <c r="C88" t="inlineStr">
        <is>
          <t>EWY</t>
        </is>
      </c>
      <c r="D88" t="n">
        <v>55.75141143798828</v>
      </c>
      <c r="E88" t="n">
        <v>-82.59306335449219</v>
      </c>
      <c r="F88" t="n">
        <v>12826</v>
      </c>
      <c r="G88" t="n">
        <v>-3410</v>
      </c>
      <c r="H88">
        <f>D88*F88</f>
        <v/>
      </c>
      <c r="I88">
        <f>E88*G88</f>
        <v/>
      </c>
      <c r="J88">
        <f>H88-I88</f>
        <v/>
      </c>
      <c r="K88" t="n">
        <v>0.0225</v>
      </c>
      <c r="L88" t="n">
        <v>34387.80402820112</v>
      </c>
      <c r="M88" t="n">
        <v>-35897.843434146</v>
      </c>
      <c r="N88" t="n">
        <v>126.7722184394636</v>
      </c>
      <c r="O88" t="n">
        <v>1</v>
      </c>
      <c r="P88" t="n">
        <v>-704.2120718279645</v>
      </c>
      <c r="Q88" t="n">
        <v>0.0432</v>
      </c>
      <c r="R88" t="n">
        <v>1326.401818271849</v>
      </c>
      <c r="S88" t="n">
        <v>-3264.948181040129</v>
      </c>
    </row>
    <row r="89">
      <c r="A89" s="1" t="n">
        <v>44932</v>
      </c>
      <c r="B89" t="inlineStr">
        <is>
          <t>YINN</t>
        </is>
      </c>
      <c r="C89" t="inlineStr">
        <is>
          <t>FXI</t>
        </is>
      </c>
      <c r="D89" t="n">
        <v>28.98138809204102</v>
      </c>
      <c r="E89" t="n">
        <v>-56.95615005493164</v>
      </c>
      <c r="F89" t="n">
        <v>35048</v>
      </c>
      <c r="G89" t="n">
        <v>-6728</v>
      </c>
      <c r="H89">
        <f>D89*F89</f>
        <v/>
      </c>
      <c r="I89">
        <f>E89*G89</f>
        <v/>
      </c>
      <c r="J89">
        <f>H89-I89</f>
        <v/>
      </c>
      <c r="K89" t="n">
        <v>-0.02</v>
      </c>
      <c r="L89" t="n">
        <v>2604.670860666325</v>
      </c>
      <c r="M89" t="n">
        <v>-2977.879763898796</v>
      </c>
      <c r="N89" t="n">
        <v>0</v>
      </c>
      <c r="O89" t="n">
        <v>1</v>
      </c>
      <c r="P89" t="n">
        <v>162.6936412056705</v>
      </c>
      <c r="Q89" t="n">
        <v>0.0432</v>
      </c>
      <c r="R89" t="n">
        <v>1540.408879436505</v>
      </c>
      <c r="S89" t="n">
        <v>-2342.22613837238</v>
      </c>
    </row>
    <row r="90">
      <c r="A90" s="1" t="n">
        <v>44932</v>
      </c>
      <c r="B90" t="inlineStr">
        <is>
          <t>JNUG</t>
        </is>
      </c>
      <c r="C90" t="inlineStr">
        <is>
          <t>GDXJ</t>
        </is>
      </c>
      <c r="D90" t="n">
        <v>37.34749221801758</v>
      </c>
      <c r="E90" t="n">
        <v>-41.25585174560547</v>
      </c>
      <c r="F90" t="n">
        <v>13873</v>
      </c>
      <c r="G90" t="n">
        <v>-6778</v>
      </c>
      <c r="H90">
        <f>D90*F90</f>
        <v/>
      </c>
      <c r="I90">
        <f>E90*G90</f>
        <v/>
      </c>
      <c r="J90">
        <f>H90-I90</f>
        <v/>
      </c>
      <c r="K90" t="n">
        <v>-0.005</v>
      </c>
      <c r="L90" t="n">
        <v>17717.68429962643</v>
      </c>
      <c r="M90" t="n">
        <v>-17002.24516153369</v>
      </c>
      <c r="N90" t="n">
        <v>0</v>
      </c>
      <c r="O90" t="n">
        <v>1</v>
      </c>
      <c r="P90" t="n">
        <v>162.6936412056705</v>
      </c>
      <c r="Q90" t="n">
        <v>0.0432</v>
      </c>
      <c r="R90" t="n">
        <v>617.9578548251098</v>
      </c>
      <c r="S90" t="n">
        <v>-121.1488614731539</v>
      </c>
    </row>
    <row r="91">
      <c r="A91" s="1" t="n">
        <v>44932</v>
      </c>
      <c r="B91" t="inlineStr">
        <is>
          <t>GDXU</t>
        </is>
      </c>
      <c r="C91" t="inlineStr">
        <is>
          <t>GDX</t>
        </is>
      </c>
      <c r="D91" t="n">
        <v>30.46856307983398</v>
      </c>
      <c r="E91" t="n">
        <v>-55.40000152587891</v>
      </c>
      <c r="F91" t="n">
        <v>53188</v>
      </c>
      <c r="G91" t="n">
        <v>-10762</v>
      </c>
      <c r="H91">
        <f>D91*F91</f>
        <v/>
      </c>
      <c r="I91">
        <f>E91*G91</f>
        <v/>
      </c>
      <c r="J91">
        <f>H91-I91</f>
        <v/>
      </c>
      <c r="K91" t="n">
        <v>-0.005</v>
      </c>
      <c r="L91" t="n">
        <v>46729.24795075302</v>
      </c>
      <c r="M91" t="n">
        <v>-40555.76142795546</v>
      </c>
      <c r="N91" t="n">
        <v>0</v>
      </c>
      <c r="O91" t="n">
        <v>1</v>
      </c>
      <c r="P91" t="n">
        <v>162.6936412056705</v>
      </c>
      <c r="Q91" t="n">
        <v>0.0432</v>
      </c>
      <c r="R91" t="n">
        <v>2330.212955370083</v>
      </c>
      <c r="S91" t="n">
        <v>3159.450347366039</v>
      </c>
    </row>
    <row r="92">
      <c r="A92" s="1" t="n">
        <v>44932</v>
      </c>
      <c r="B92" t="inlineStr">
        <is>
          <t>NUGT</t>
        </is>
      </c>
      <c r="C92" t="inlineStr">
        <is>
          <t>GDX</t>
        </is>
      </c>
      <c r="D92" t="n">
        <v>30.46856307983398</v>
      </c>
      <c r="E92" t="n">
        <v>-39.73173522949219</v>
      </c>
      <c r="F92" t="n">
        <v>15820</v>
      </c>
      <c r="G92" t="n">
        <v>-6494</v>
      </c>
      <c r="H92">
        <f>D92*F92</f>
        <v/>
      </c>
      <c r="I92">
        <f>E92*G92</f>
        <v/>
      </c>
      <c r="J92">
        <f>H92-I92</f>
        <v/>
      </c>
      <c r="K92" t="n">
        <v>-0.0175</v>
      </c>
      <c r="L92" t="n">
        <v>13898.93777883945</v>
      </c>
      <c r="M92" t="n">
        <v>-11633.32614153338</v>
      </c>
      <c r="N92" t="n">
        <v>0</v>
      </c>
      <c r="O92" t="n">
        <v>1</v>
      </c>
      <c r="P92" t="n">
        <v>162.6936412056705</v>
      </c>
      <c r="Q92" t="n">
        <v>0.0432</v>
      </c>
      <c r="R92" t="n">
        <v>522.0616329966693</v>
      </c>
      <c r="S92" t="n">
        <v>1540.156694890512</v>
      </c>
    </row>
    <row r="93">
      <c r="A93" s="1" t="n">
        <v>44932</v>
      </c>
      <c r="B93" t="inlineStr">
        <is>
          <t>GGLL</t>
        </is>
      </c>
      <c r="C93" t="inlineStr">
        <is>
          <t>GOOGL</t>
        </is>
      </c>
      <c r="D93" t="n">
        <v>86.62405395507812</v>
      </c>
      <c r="E93" t="n">
        <v>-15.72580051422119</v>
      </c>
      <c r="F93" t="n">
        <v>20098</v>
      </c>
      <c r="G93" t="n">
        <v>-54856</v>
      </c>
      <c r="H93">
        <f>D93*F93</f>
        <v/>
      </c>
      <c r="I93">
        <f>E93*G93</f>
        <v/>
      </c>
      <c r="J93">
        <f>H93-I93</f>
        <v/>
      </c>
      <c r="K93" t="n">
        <v>-0</v>
      </c>
      <c r="L93" t="n">
        <v>22725.13519968966</v>
      </c>
      <c r="M93" t="n">
        <v>-13883.19317209019</v>
      </c>
      <c r="N93" t="n">
        <v>0</v>
      </c>
      <c r="O93" t="n">
        <v>1</v>
      </c>
      <c r="P93" t="n">
        <v>162.6936412056705</v>
      </c>
      <c r="Q93" t="n">
        <v>0.0432</v>
      </c>
      <c r="R93" t="n">
        <v>0</v>
      </c>
      <c r="S93" t="n">
        <v>8107.31050950094</v>
      </c>
    </row>
    <row r="94">
      <c r="A94" s="1" t="n">
        <v>44932</v>
      </c>
      <c r="B94" t="inlineStr">
        <is>
          <t>CWEB</t>
        </is>
      </c>
      <c r="C94" t="inlineStr">
        <is>
          <t>KWEB</t>
        </is>
      </c>
      <c r="D94" t="n">
        <v>30.97040176391602</v>
      </c>
      <c r="E94" t="n">
        <v>-59.43499374389648</v>
      </c>
      <c r="F94" t="n">
        <v>14605</v>
      </c>
      <c r="G94" t="n">
        <v>-4138</v>
      </c>
      <c r="H94">
        <f>D94*F94</f>
        <v/>
      </c>
      <c r="I94">
        <f>E94*G94</f>
        <v/>
      </c>
      <c r="J94">
        <f>H94-I94</f>
        <v/>
      </c>
      <c r="K94" t="n">
        <v>-0.02</v>
      </c>
      <c r="L94" t="n">
        <v>-2486.159332199177</v>
      </c>
      <c r="M94" t="n">
        <v>2786.931873414982</v>
      </c>
      <c r="N94" t="n">
        <v>0</v>
      </c>
      <c r="O94" t="n">
        <v>1</v>
      </c>
      <c r="P94" t="n">
        <v>162.6936412056705</v>
      </c>
      <c r="Q94" t="n">
        <v>0.0432</v>
      </c>
      <c r="R94" t="n">
        <v>675.11760999957</v>
      </c>
      <c r="S94" t="n">
        <v>-565.2102070121638</v>
      </c>
    </row>
    <row r="95">
      <c r="A95" s="1" t="n">
        <v>44932</v>
      </c>
      <c r="B95" t="inlineStr">
        <is>
          <t>FBL</t>
        </is>
      </c>
      <c r="C95" t="inlineStr">
        <is>
          <t>META</t>
        </is>
      </c>
      <c r="D95" t="n">
        <v>129.0076141357422</v>
      </c>
      <c r="E95" t="n">
        <v>-3.868824481964111</v>
      </c>
      <c r="F95" t="n">
        <v>25964</v>
      </c>
      <c r="G95" t="n">
        <v>-441819</v>
      </c>
      <c r="H95">
        <f>D95*F95</f>
        <v/>
      </c>
      <c r="I95">
        <f>E95*G95</f>
        <v/>
      </c>
      <c r="J95">
        <f>H95-I95</f>
        <v/>
      </c>
      <c r="K95" t="n">
        <v>-0.01</v>
      </c>
      <c r="L95" t="n">
        <v>79349.51686131938</v>
      </c>
      <c r="M95" t="n">
        <v>-54896.88751648056</v>
      </c>
      <c r="N95" t="n">
        <v>0</v>
      </c>
      <c r="O95" t="n">
        <v>1</v>
      </c>
      <c r="P95" t="n">
        <v>162.6936412056705</v>
      </c>
      <c r="Q95" t="n">
        <v>0.0432</v>
      </c>
      <c r="R95" t="n">
        <v>0</v>
      </c>
      <c r="S95" t="n">
        <v>23039.22912505474</v>
      </c>
    </row>
    <row r="96">
      <c r="A96" s="1" t="n">
        <v>44932</v>
      </c>
      <c r="B96" t="inlineStr">
        <is>
          <t>MSFU</t>
        </is>
      </c>
      <c r="C96" t="inlineStr">
        <is>
          <t>MSFT</t>
        </is>
      </c>
      <c r="D96" t="n">
        <v>219.1774597167969</v>
      </c>
      <c r="E96" t="n">
        <v>-17.01280212402344</v>
      </c>
      <c r="F96" t="n">
        <v>8314</v>
      </c>
      <c r="G96" t="n">
        <v>-51898</v>
      </c>
      <c r="H96">
        <f>D96*F96</f>
        <v/>
      </c>
      <c r="I96">
        <f>E96*G96</f>
        <v/>
      </c>
      <c r="J96">
        <f>H96-I96</f>
        <v/>
      </c>
      <c r="K96" t="n">
        <v>-0.005</v>
      </c>
      <c r="L96" t="n">
        <v>21226.4840081188</v>
      </c>
      <c r="M96" t="n">
        <v>-12358.71173836399</v>
      </c>
      <c r="N96" t="n">
        <v>0</v>
      </c>
      <c r="O96" t="n">
        <v>1</v>
      </c>
      <c r="P96" t="n">
        <v>162.6936412056705</v>
      </c>
      <c r="Q96" t="n">
        <v>0.0432</v>
      </c>
      <c r="R96" t="n">
        <v>1065.216977338953</v>
      </c>
      <c r="S96" t="n">
        <v>7033.630047109411</v>
      </c>
    </row>
    <row r="97">
      <c r="A97" s="1" t="n">
        <v>44932</v>
      </c>
      <c r="B97" t="inlineStr">
        <is>
          <t>NVDL</t>
        </is>
      </c>
      <c r="C97" t="inlineStr">
        <is>
          <t>NVDA</t>
        </is>
      </c>
      <c r="D97" t="n">
        <v>14.84333610534668</v>
      </c>
      <c r="E97" t="n">
        <v>-2.874823570251465</v>
      </c>
      <c r="F97" t="n">
        <v>307781</v>
      </c>
      <c r="G97" t="n">
        <v>-767265</v>
      </c>
      <c r="H97">
        <f>D97*F97</f>
        <v/>
      </c>
      <c r="I97">
        <f>E97*G97</f>
        <v/>
      </c>
      <c r="J97">
        <f>H97-I97</f>
        <v/>
      </c>
      <c r="K97" t="n">
        <v>-0</v>
      </c>
      <c r="L97" t="n">
        <v>182636.7173775268</v>
      </c>
      <c r="M97" t="n">
        <v>-118401.1844264474</v>
      </c>
      <c r="N97" t="n">
        <v>0</v>
      </c>
      <c r="O97" t="n">
        <v>1</v>
      </c>
      <c r="P97" t="n">
        <v>162.6936412056705</v>
      </c>
      <c r="Q97" t="n">
        <v>0.0432</v>
      </c>
      <c r="R97" t="n">
        <v>3754.504040132879</v>
      </c>
      <c r="S97" t="n">
        <v>58553.27524153621</v>
      </c>
    </row>
    <row r="98">
      <c r="A98" s="1" t="n">
        <v>44932</v>
      </c>
      <c r="B98" t="inlineStr">
        <is>
          <t>SOXL</t>
        </is>
      </c>
      <c r="C98" t="inlineStr">
        <is>
          <t>SOXX</t>
        </is>
      </c>
      <c r="D98" t="n">
        <v>118.4265823364258</v>
      </c>
      <c r="E98" t="n">
        <v>-10.63646030426025</v>
      </c>
      <c r="F98" t="n">
        <v>8941</v>
      </c>
      <c r="G98" t="n">
        <v>-36957</v>
      </c>
      <c r="H98">
        <f>D98*F98</f>
        <v/>
      </c>
      <c r="I98">
        <f>E98*G98</f>
        <v/>
      </c>
      <c r="J98">
        <f>H98-I98</f>
        <v/>
      </c>
      <c r="K98" t="n">
        <v>-0.0175</v>
      </c>
      <c r="L98" t="n">
        <v>47082.20843790067</v>
      </c>
      <c r="M98" t="n">
        <v>-44512.65560253326</v>
      </c>
      <c r="N98" t="n">
        <v>0</v>
      </c>
      <c r="O98" t="n">
        <v>1</v>
      </c>
      <c r="P98" t="n">
        <v>162.6936412056705</v>
      </c>
      <c r="Q98" t="n">
        <v>0.0432</v>
      </c>
      <c r="R98" t="n">
        <v>1215.293277851037</v>
      </c>
      <c r="S98" t="n">
        <v>907.459210601397</v>
      </c>
    </row>
    <row r="99">
      <c r="A99" s="1" t="n">
        <v>44932</v>
      </c>
      <c r="B99" t="inlineStr">
        <is>
          <t>SOXS</t>
        </is>
      </c>
      <c r="C99" t="inlineStr">
        <is>
          <t>SOXX</t>
        </is>
      </c>
      <c r="D99" t="n">
        <v>-0</v>
      </c>
      <c r="E99" t="n">
        <v>-28327.30291191307</v>
      </c>
      <c r="F99" t="n">
        <v>-6997</v>
      </c>
      <c r="G99" t="n">
        <v>-37</v>
      </c>
      <c r="H99">
        <f>D99*F99</f>
        <v/>
      </c>
      <c r="I99">
        <f>E99*G99</f>
        <v/>
      </c>
      <c r="J99">
        <f>H99-I99</f>
        <v/>
      </c>
      <c r="K99" t="n">
        <v>0.07000000000000001</v>
      </c>
      <c r="L99" t="n">
        <v>-36845.34307571759</v>
      </c>
      <c r="M99" t="n">
        <v>33771.69914475743</v>
      </c>
      <c r="N99" t="n">
        <v>307.3515765997801</v>
      </c>
      <c r="O99" t="n">
        <v>1</v>
      </c>
      <c r="P99" t="n">
        <v>-2533.779466057024</v>
      </c>
      <c r="Q99" t="n">
        <v>0.0432</v>
      </c>
      <c r="R99" t="n">
        <v>0</v>
      </c>
      <c r="S99" t="n">
        <v>-3380.995507559936</v>
      </c>
    </row>
    <row r="100">
      <c r="A100" s="1" t="n">
        <v>44932</v>
      </c>
      <c r="B100" t="inlineStr">
        <is>
          <t>HIBL</t>
        </is>
      </c>
      <c r="C100" t="inlineStr">
        <is>
          <t>SPHB</t>
        </is>
      </c>
      <c r="D100" t="n">
        <v>63.11251068115234</v>
      </c>
      <c r="E100" t="n">
        <v>-25.28951835632324</v>
      </c>
      <c r="F100" t="n">
        <v>6521</v>
      </c>
      <c r="G100" t="n">
        <v>-5851</v>
      </c>
      <c r="H100">
        <f>D100*F100</f>
        <v/>
      </c>
      <c r="I100">
        <f>E100*G100</f>
        <v/>
      </c>
      <c r="J100">
        <f>H100-I100</f>
        <v/>
      </c>
      <c r="K100" t="n">
        <v>0.12</v>
      </c>
      <c r="L100" t="n">
        <v>10934.54835685649</v>
      </c>
      <c r="M100" t="n">
        <v>-10515.67319554098</v>
      </c>
      <c r="N100" t="n">
        <v>355.2184552199437</v>
      </c>
      <c r="O100" t="n">
        <v>1</v>
      </c>
      <c r="P100" t="n">
        <v>-2483.639689599672</v>
      </c>
      <c r="Q100" t="n">
        <v>0.0432</v>
      </c>
      <c r="R100" t="n">
        <v>387.5212377543825</v>
      </c>
      <c r="S100" t="n">
        <v>-497.5277591358303</v>
      </c>
    </row>
    <row r="101">
      <c r="A101" s="1" t="n">
        <v>44932</v>
      </c>
      <c r="B101" t="inlineStr">
        <is>
          <t>TSLL</t>
        </is>
      </c>
      <c r="C101" t="inlineStr">
        <is>
          <t>TSLA</t>
        </is>
      </c>
      <c r="D101" t="n">
        <v>113.0599975585938</v>
      </c>
      <c r="E101" t="n">
        <v>-4.709963321685791</v>
      </c>
      <c r="F101" t="n">
        <v>16893</v>
      </c>
      <c r="G101" t="n">
        <v>-207812</v>
      </c>
      <c r="H101">
        <f>D101*F101</f>
        <v/>
      </c>
      <c r="I101">
        <f>E101*G101</f>
        <v/>
      </c>
      <c r="J101">
        <f>H101-I101</f>
        <v/>
      </c>
      <c r="K101" t="n">
        <v>0.01</v>
      </c>
      <c r="L101" t="n">
        <v>45950.91544206694</v>
      </c>
      <c r="M101" t="n">
        <v>-32368.1827778618</v>
      </c>
      <c r="N101" t="n">
        <v>195.8086017162367</v>
      </c>
      <c r="O101" t="n">
        <v>1</v>
      </c>
      <c r="P101" t="n">
        <v>-1371.394931578669</v>
      </c>
      <c r="Q101" t="n">
        <v>0.0432</v>
      </c>
      <c r="R101" t="n">
        <v>0</v>
      </c>
      <c r="S101" t="n">
        <v>12581.00029379316</v>
      </c>
    </row>
    <row r="102">
      <c r="A102" s="1" t="n">
        <v>44932</v>
      </c>
      <c r="B102" t="inlineStr">
        <is>
          <t>TSLQ</t>
        </is>
      </c>
      <c r="C102" t="inlineStr">
        <is>
          <t>TSLA</t>
        </is>
      </c>
      <c r="D102" t="n">
        <v>-0</v>
      </c>
      <c r="E102" t="n">
        <v>-3493.913147983172</v>
      </c>
      <c r="F102" t="n">
        <v>-6277</v>
      </c>
      <c r="G102" t="n">
        <v>-302</v>
      </c>
      <c r="H102">
        <f>D102*F102</f>
        <v/>
      </c>
      <c r="I102">
        <f>E102*G102</f>
        <v/>
      </c>
      <c r="J102">
        <f>H102-I102</f>
        <v/>
      </c>
      <c r="K102" t="n">
        <v>-0.02</v>
      </c>
      <c r="L102" t="n">
        <v>-17074.16659147897</v>
      </c>
      <c r="M102" t="n">
        <v>8189.514634306652</v>
      </c>
      <c r="N102" t="n">
        <v>0</v>
      </c>
      <c r="O102" t="n">
        <v>1</v>
      </c>
      <c r="P102" t="n">
        <v>162.6936412056705</v>
      </c>
      <c r="Q102" t="n">
        <v>0.0432</v>
      </c>
      <c r="R102" t="n">
        <v>0</v>
      </c>
      <c r="S102" t="n">
        <v>-8884.651957172315</v>
      </c>
    </row>
    <row r="103">
      <c r="A103" s="1" t="n">
        <v>44932</v>
      </c>
      <c r="B103" t="inlineStr">
        <is>
          <t>LABU</t>
        </is>
      </c>
      <c r="C103" t="inlineStr">
        <is>
          <t>XBI</t>
        </is>
      </c>
      <c r="D103" t="n">
        <v>82.71616363525391</v>
      </c>
      <c r="E103" t="n">
        <v>-138.4780426025391</v>
      </c>
      <c r="F103" t="n">
        <v>3382</v>
      </c>
      <c r="G103" t="n">
        <v>-699</v>
      </c>
      <c r="H103">
        <f>D103*F103</f>
        <v/>
      </c>
      <c r="I103">
        <f>E103*G103</f>
        <v/>
      </c>
      <c r="J103">
        <f>H103-I103</f>
        <v/>
      </c>
      <c r="K103" t="n">
        <v>0.1</v>
      </c>
      <c r="L103" t="n">
        <v>2152.983216915587</v>
      </c>
      <c r="M103" t="n">
        <v>-1559.99479097954</v>
      </c>
      <c r="N103" t="n">
        <v>193.6429591964794</v>
      </c>
      <c r="O103" t="n">
        <v>1</v>
      </c>
      <c r="P103" t="n">
        <v>-1355.47625673804</v>
      </c>
      <c r="Q103" t="n">
        <v>0.0432</v>
      </c>
      <c r="R103" t="n">
        <v>109.2906673443935</v>
      </c>
      <c r="S103" t="n">
        <v>172.0112668740622</v>
      </c>
    </row>
    <row r="104">
      <c r="A104" s="1" t="n">
        <v>44932</v>
      </c>
      <c r="B104" t="inlineStr">
        <is>
          <t>ERX</t>
        </is>
      </c>
      <c r="C104" t="inlineStr">
        <is>
          <t>XLE</t>
        </is>
      </c>
      <c r="D104" t="n">
        <v>39.29584503173828</v>
      </c>
      <c r="E104" t="n">
        <v>-60.77478408813477</v>
      </c>
      <c r="F104" t="n">
        <v>1856</v>
      </c>
      <c r="G104" t="n">
        <v>-625</v>
      </c>
      <c r="H104">
        <f>D104*F104</f>
        <v/>
      </c>
      <c r="I104">
        <f>E104*G104</f>
        <v/>
      </c>
      <c r="J104">
        <f>H104-I104</f>
        <v/>
      </c>
      <c r="K104" t="n">
        <v>0.12</v>
      </c>
      <c r="L104" t="n">
        <v>1357.761271797924</v>
      </c>
      <c r="M104" t="n">
        <v>-1175.708648262337</v>
      </c>
      <c r="N104" t="n">
        <v>91.1860297571676</v>
      </c>
      <c r="O104" t="n">
        <v>1</v>
      </c>
      <c r="P104" t="n">
        <v>-497.8588902477658</v>
      </c>
      <c r="Q104" t="n">
        <v>0.0432</v>
      </c>
      <c r="R104" t="n">
        <v>45.7587032355098</v>
      </c>
      <c r="S104" t="n">
        <v>14.33255371318012</v>
      </c>
    </row>
    <row r="105">
      <c r="A105" s="1" t="n">
        <v>44932</v>
      </c>
      <c r="B105" t="inlineStr">
        <is>
          <t>GUSH</t>
        </is>
      </c>
      <c r="C105" t="inlineStr">
        <is>
          <t>XOP</t>
        </is>
      </c>
      <c r="D105" t="n">
        <v>121.3740234375</v>
      </c>
      <c r="E105" t="n">
        <v>-31.25464820861816</v>
      </c>
      <c r="F105" t="n">
        <v>3057</v>
      </c>
      <c r="G105" t="n">
        <v>-6059</v>
      </c>
      <c r="H105">
        <f>D105*F105</f>
        <v/>
      </c>
      <c r="I105">
        <f>E105*G105</f>
        <v/>
      </c>
      <c r="J105">
        <f>H105-I105</f>
        <v/>
      </c>
      <c r="K105" t="n">
        <v>-0.01</v>
      </c>
      <c r="L105" t="n">
        <v>7445.920255008537</v>
      </c>
      <c r="M105" t="n">
        <v>-7345.23509786251</v>
      </c>
      <c r="N105" t="n">
        <v>0</v>
      </c>
      <c r="O105" t="n">
        <v>1</v>
      </c>
      <c r="P105" t="n">
        <v>162.6936412056705</v>
      </c>
      <c r="Q105" t="n">
        <v>0.0432</v>
      </c>
      <c r="R105" t="n">
        <v>0</v>
      </c>
      <c r="S105" t="n">
        <v>-55.88154286180267</v>
      </c>
    </row>
    <row r="106">
      <c r="A106" s="1" t="n">
        <v>44935</v>
      </c>
      <c r="B106" t="inlineStr">
        <is>
          <t>AAPB</t>
        </is>
      </c>
      <c r="C106" t="inlineStr">
        <is>
          <t>AAPL</t>
        </is>
      </c>
      <c r="D106" t="n">
        <v>128.0958251953125</v>
      </c>
      <c r="E106" t="n">
        <v>-12.46357917785645</v>
      </c>
      <c r="F106" t="n">
        <v>9028</v>
      </c>
      <c r="G106" t="n">
        <v>-47878</v>
      </c>
      <c r="H106">
        <f>D106*F106</f>
        <v/>
      </c>
      <c r="I106">
        <f>E106*G106</f>
        <v/>
      </c>
      <c r="J106">
        <f>H106-I106</f>
        <v/>
      </c>
      <c r="K106" t="n">
        <v>-0.005</v>
      </c>
      <c r="L106" t="n">
        <v>4709.605682984241</v>
      </c>
      <c r="M106" t="n">
        <v>-4943.398271148899</v>
      </c>
      <c r="N106" t="n">
        <v>0</v>
      </c>
      <c r="O106" t="n">
        <v>0</v>
      </c>
      <c r="P106" t="n">
        <v>162.6936412056705</v>
      </c>
      <c r="Q106" t="n">
        <v>0.0432</v>
      </c>
      <c r="R106" t="n">
        <v>834.3158466692043</v>
      </c>
      <c r="S106" t="n">
        <v>-1730.720687450721</v>
      </c>
    </row>
    <row r="107">
      <c r="A107" s="1" t="n">
        <v>44935</v>
      </c>
      <c r="B107" t="inlineStr">
        <is>
          <t>AAPU</t>
        </is>
      </c>
      <c r="C107" t="inlineStr">
        <is>
          <t>AAPL</t>
        </is>
      </c>
      <c r="D107" t="n">
        <v>128.0958251953125</v>
      </c>
      <c r="E107" t="n">
        <v>-12.87768077850342</v>
      </c>
      <c r="F107" t="n">
        <v>7633</v>
      </c>
      <c r="G107" t="n">
        <v>-38936</v>
      </c>
      <c r="H107">
        <f>D107*F107</f>
        <v/>
      </c>
      <c r="I107">
        <f>E107*G107</f>
        <v/>
      </c>
      <c r="J107">
        <f>H107-I107</f>
        <v/>
      </c>
      <c r="K107" t="n">
        <v>0.02</v>
      </c>
      <c r="L107" t="n">
        <v>3981.880834982135</v>
      </c>
      <c r="M107" t="n">
        <v>-3417.630396372807</v>
      </c>
      <c r="N107" t="n">
        <v>262.1560850797389</v>
      </c>
      <c r="O107" t="n">
        <v>0</v>
      </c>
      <c r="P107" t="n">
        <v>-1067.674743528089</v>
      </c>
      <c r="Q107" t="n">
        <v>0.0432</v>
      </c>
      <c r="R107" t="n">
        <v>834.3158466692043</v>
      </c>
      <c r="S107" t="n">
        <v>-1092.447381954911</v>
      </c>
    </row>
    <row r="108">
      <c r="A108" s="1" t="n">
        <v>44935</v>
      </c>
      <c r="B108" t="inlineStr">
        <is>
          <t>AMZU</t>
        </is>
      </c>
      <c r="C108" t="inlineStr">
        <is>
          <t>AMZN</t>
        </is>
      </c>
      <c r="D108" t="n">
        <v>87.36000061035156</v>
      </c>
      <c r="E108" t="n">
        <v>-11.81714153289795</v>
      </c>
      <c r="F108" t="n">
        <v>27599</v>
      </c>
      <c r="G108" t="n">
        <v>-103312</v>
      </c>
      <c r="H108">
        <f>D108*F108</f>
        <v/>
      </c>
      <c r="I108">
        <f>E108*G108</f>
        <v/>
      </c>
      <c r="J108">
        <f>H108-I108</f>
        <v/>
      </c>
      <c r="K108" t="n">
        <v>-0.0025</v>
      </c>
      <c r="L108" t="n">
        <v>35328.1738467312</v>
      </c>
      <c r="M108" t="n">
        <v>-27333.36667560401</v>
      </c>
      <c r="N108" t="n">
        <v>0</v>
      </c>
      <c r="O108" t="n">
        <v>0</v>
      </c>
      <c r="P108" t="n">
        <v>162.6936412056705</v>
      </c>
      <c r="Q108" t="n">
        <v>0.0432</v>
      </c>
      <c r="R108" t="n">
        <v>834.3158466692043</v>
      </c>
      <c r="S108" t="n">
        <v>5779.029426951872</v>
      </c>
    </row>
    <row r="109">
      <c r="A109" s="1" t="n">
        <v>44935</v>
      </c>
      <c r="B109" t="inlineStr">
        <is>
          <t>TARK</t>
        </is>
      </c>
      <c r="C109" t="inlineStr">
        <is>
          <t>ARKK</t>
        </is>
      </c>
      <c r="D109" t="n">
        <v>32.53863525390625</v>
      </c>
      <c r="E109" t="n">
        <v>-17.93987083435059</v>
      </c>
      <c r="F109" t="n">
        <v>20537</v>
      </c>
      <c r="G109" t="n">
        <v>-20077</v>
      </c>
      <c r="H109">
        <f>D109*F109</f>
        <v/>
      </c>
      <c r="I109">
        <f>E109*G109</f>
        <v/>
      </c>
      <c r="J109">
        <f>H109-I109</f>
        <v/>
      </c>
      <c r="K109" t="n">
        <v>-0.02</v>
      </c>
      <c r="L109" t="n">
        <v>29329.94085112331</v>
      </c>
      <c r="M109" t="n">
        <v>-28878.23460088919</v>
      </c>
      <c r="N109" t="n">
        <v>0</v>
      </c>
      <c r="O109" t="n">
        <v>0</v>
      </c>
      <c r="P109" t="n">
        <v>162.6936412056705</v>
      </c>
      <c r="Q109" t="n">
        <v>0.0432</v>
      </c>
      <c r="R109" t="n">
        <v>834.3158466692043</v>
      </c>
      <c r="S109" t="n">
        <v>-765.4954077683394</v>
      </c>
    </row>
    <row r="110">
      <c r="A110" s="1" t="n">
        <v>44935</v>
      </c>
      <c r="B110" t="inlineStr">
        <is>
          <t>CHAU</t>
        </is>
      </c>
      <c r="C110" t="inlineStr">
        <is>
          <t>ASHR</t>
        </is>
      </c>
      <c r="D110" t="n">
        <v>28.21511077880859</v>
      </c>
      <c r="E110" t="n">
        <v>-21.12285232543945</v>
      </c>
      <c r="F110" t="n">
        <v>5713</v>
      </c>
      <c r="G110" t="n">
        <v>-3898</v>
      </c>
      <c r="H110">
        <f>D110*F110</f>
        <v/>
      </c>
      <c r="I110">
        <f>E110*G110</f>
        <v/>
      </c>
      <c r="J110">
        <f>H110-I110</f>
        <v/>
      </c>
      <c r="K110" t="n">
        <v>-0.01</v>
      </c>
      <c r="L110" t="n">
        <v>1184.49749513939</v>
      </c>
      <c r="M110" t="n">
        <v>-947.0164176562065</v>
      </c>
      <c r="N110" t="n">
        <v>0</v>
      </c>
      <c r="O110" t="n">
        <v>0</v>
      </c>
      <c r="P110" t="n">
        <v>162.6936412056705</v>
      </c>
      <c r="Q110" t="n">
        <v>0.0432</v>
      </c>
      <c r="R110" t="n">
        <v>834.3158466692043</v>
      </c>
      <c r="S110" t="n">
        <v>-689.1937049464185</v>
      </c>
    </row>
    <row r="111">
      <c r="A111" s="1" t="n">
        <v>44935</v>
      </c>
      <c r="B111" t="inlineStr">
        <is>
          <t>BABX</t>
        </is>
      </c>
      <c r="C111" t="inlineStr">
        <is>
          <t>BABA</t>
        </is>
      </c>
      <c r="D111" t="n">
        <v>105.2546997070312</v>
      </c>
      <c r="E111" t="n">
        <v>-35.60800170898438</v>
      </c>
      <c r="F111" t="n">
        <v>5330</v>
      </c>
      <c r="G111" t="n">
        <v>-8035</v>
      </c>
      <c r="H111">
        <f>D111*F111</f>
        <v/>
      </c>
      <c r="I111">
        <f>E111*G111</f>
        <v/>
      </c>
      <c r="J111">
        <f>H111-I111</f>
        <v/>
      </c>
      <c r="K111" t="n">
        <v>-0.0275</v>
      </c>
      <c r="L111" t="n">
        <v>17362.96047452884</v>
      </c>
      <c r="M111" t="n">
        <v>-14287.56119823951</v>
      </c>
      <c r="N111" t="n">
        <v>0</v>
      </c>
      <c r="O111" t="n">
        <v>0</v>
      </c>
      <c r="P111" t="n">
        <v>162.6936412056705</v>
      </c>
      <c r="Q111" t="n">
        <v>0.0432</v>
      </c>
      <c r="R111" t="n">
        <v>834.3158466692043</v>
      </c>
      <c r="S111" t="n">
        <v>1919.642154861013</v>
      </c>
    </row>
    <row r="112">
      <c r="A112" s="1" t="n">
        <v>44935</v>
      </c>
      <c r="B112" t="inlineStr">
        <is>
          <t>CONL</t>
        </is>
      </c>
      <c r="C112" t="inlineStr">
        <is>
          <t>COIN</t>
        </is>
      </c>
      <c r="D112" t="n">
        <v>38.27000045776367</v>
      </c>
      <c r="E112" t="n">
        <v>-5.057468891143799</v>
      </c>
      <c r="F112" t="n">
        <v>98778</v>
      </c>
      <c r="G112" t="n">
        <v>-394919</v>
      </c>
      <c r="H112">
        <f>D112*F112</f>
        <v/>
      </c>
      <c r="I112">
        <f>E112*G112</f>
        <v/>
      </c>
      <c r="J112">
        <f>H112-I112</f>
        <v/>
      </c>
      <c r="K112" t="n">
        <v>0.03</v>
      </c>
      <c r="L112" t="n">
        <v>494898.8293463603</v>
      </c>
      <c r="M112" t="n">
        <v>-355842.4697654467</v>
      </c>
      <c r="N112" t="n">
        <v>1566.402840922432</v>
      </c>
      <c r="O112" t="n">
        <v>0</v>
      </c>
      <c r="P112" t="n">
        <v>-7629.225231673592</v>
      </c>
      <c r="Q112" t="n">
        <v>0.0432</v>
      </c>
      <c r="R112" t="n">
        <v>834.3158466692043</v>
      </c>
      <c r="S112" t="n">
        <v>134489.6749078641</v>
      </c>
    </row>
    <row r="113">
      <c r="A113" s="1" t="n">
        <v>44935</v>
      </c>
      <c r="B113" t="inlineStr">
        <is>
          <t>MEXX</t>
        </is>
      </c>
      <c r="C113" t="inlineStr">
        <is>
          <t>EWW</t>
        </is>
      </c>
      <c r="D113" t="n">
        <v>49.05677032470703</v>
      </c>
      <c r="E113" t="n">
        <v>-19.98886108398438</v>
      </c>
      <c r="F113" t="n">
        <v>9067</v>
      </c>
      <c r="G113" t="n">
        <v>-7657</v>
      </c>
      <c r="H113">
        <f>D113*F113</f>
        <v/>
      </c>
      <c r="I113">
        <f>E113*G113</f>
        <v/>
      </c>
      <c r="J113">
        <f>H113-I113</f>
        <v/>
      </c>
      <c r="K113" t="n">
        <v>0.0075</v>
      </c>
      <c r="L113" t="n">
        <v>3696.560257970194</v>
      </c>
      <c r="M113" t="n">
        <v>-3625.830420404609</v>
      </c>
      <c r="N113" t="n">
        <v>30.00882003029932</v>
      </c>
      <c r="O113" t="n">
        <v>0</v>
      </c>
      <c r="P113" t="n">
        <v>18.70483530575124</v>
      </c>
      <c r="Q113" t="n">
        <v>0.0432</v>
      </c>
      <c r="R113" t="n">
        <v>834.3158466692043</v>
      </c>
      <c r="S113" t="n">
        <v>-1048.451205994805</v>
      </c>
    </row>
    <row r="114">
      <c r="A114" s="1" t="n">
        <v>44935</v>
      </c>
      <c r="B114" t="inlineStr">
        <is>
          <t>KORU</t>
        </is>
      </c>
      <c r="C114" t="inlineStr">
        <is>
          <t>EWY</t>
        </is>
      </c>
      <c r="D114" t="n">
        <v>56.92433929443359</v>
      </c>
      <c r="E114" t="n">
        <v>-87.73178863525391</v>
      </c>
      <c r="F114" t="n">
        <v>12826</v>
      </c>
      <c r="G114" t="n">
        <v>-2951</v>
      </c>
      <c r="H114">
        <f>D114*F114</f>
        <v/>
      </c>
      <c r="I114">
        <f>E114*G114</f>
        <v/>
      </c>
      <c r="J114">
        <f>H114-I114</f>
        <v/>
      </c>
      <c r="K114" t="n">
        <v>0.0225</v>
      </c>
      <c r="L114" t="n">
        <v>15044.60615871425</v>
      </c>
      <c r="M114" t="n">
        <v>-14358.22463826688</v>
      </c>
      <c r="N114" t="n">
        <v>152.2823849871754</v>
      </c>
      <c r="O114" t="n">
        <v>0</v>
      </c>
      <c r="P114" t="n">
        <v>-551.929686840789</v>
      </c>
      <c r="Q114" t="n">
        <v>0.0432</v>
      </c>
      <c r="R114" t="n">
        <v>834.3158466692043</v>
      </c>
      <c r="S114" t="n">
        <v>-718.5497548077244</v>
      </c>
    </row>
    <row r="115">
      <c r="A115" s="1" t="n">
        <v>44935</v>
      </c>
      <c r="B115" t="inlineStr">
        <is>
          <t>YINN</t>
        </is>
      </c>
      <c r="C115" t="inlineStr">
        <is>
          <t>FXI</t>
        </is>
      </c>
      <c r="D115" t="n">
        <v>28.98138809204102</v>
      </c>
      <c r="E115" t="n">
        <v>-57.05900192260742</v>
      </c>
      <c r="F115" t="n">
        <v>35048</v>
      </c>
      <c r="G115" t="n">
        <v>-5995</v>
      </c>
      <c r="H115">
        <f>D115*F115</f>
        <v/>
      </c>
      <c r="I115">
        <f>E115*G115</f>
        <v/>
      </c>
      <c r="J115">
        <f>H115-I115</f>
        <v/>
      </c>
      <c r="K115" t="n">
        <v>-0.02</v>
      </c>
      <c r="L115" t="n">
        <v>0</v>
      </c>
      <c r="M115" t="n">
        <v>-583.8180303219303</v>
      </c>
      <c r="N115" t="n">
        <v>0</v>
      </c>
      <c r="O115" t="n">
        <v>0</v>
      </c>
      <c r="P115" t="n">
        <v>162.6936412056705</v>
      </c>
      <c r="Q115" t="n">
        <v>0.0432</v>
      </c>
      <c r="R115" t="n">
        <v>834.3158466692043</v>
      </c>
      <c r="S115" t="n">
        <v>-2000.123657798117</v>
      </c>
    </row>
    <row r="116">
      <c r="A116" s="1" t="n">
        <v>44935</v>
      </c>
      <c r="B116" t="inlineStr">
        <is>
          <t>JNUG</t>
        </is>
      </c>
      <c r="C116" t="inlineStr">
        <is>
          <t>GDXJ</t>
        </is>
      </c>
      <c r="D116" t="n">
        <v>36.80828094482422</v>
      </c>
      <c r="E116" t="n">
        <v>-40.16992568969727</v>
      </c>
      <c r="F116" t="n">
        <v>13873</v>
      </c>
      <c r="G116" t="n">
        <v>-6362</v>
      </c>
      <c r="H116">
        <f>D116*F116</f>
        <v/>
      </c>
      <c r="I116">
        <f>E116*G116</f>
        <v/>
      </c>
      <c r="J116">
        <f>H116-I116</f>
        <v/>
      </c>
      <c r="K116" t="n">
        <v>-0.005</v>
      </c>
      <c r="L116" t="n">
        <v>-7480.792981150241</v>
      </c>
      <c r="M116" t="n">
        <v>6541.390141628704</v>
      </c>
      <c r="N116" t="n">
        <v>0</v>
      </c>
      <c r="O116" t="n">
        <v>0</v>
      </c>
      <c r="P116" t="n">
        <v>162.6936412056705</v>
      </c>
      <c r="Q116" t="n">
        <v>0.0432</v>
      </c>
      <c r="R116" t="n">
        <v>834.3158466692043</v>
      </c>
      <c r="S116" t="n">
        <v>-2066.301530485014</v>
      </c>
    </row>
    <row r="117">
      <c r="A117" s="1" t="n">
        <v>44935</v>
      </c>
      <c r="B117" t="inlineStr">
        <is>
          <t>GDXU</t>
        </is>
      </c>
      <c r="C117" t="inlineStr">
        <is>
          <t>GDX</t>
        </is>
      </c>
      <c r="D117" t="n">
        <v>30.1789379119873</v>
      </c>
      <c r="E117" t="n">
        <v>-54.38999938964844</v>
      </c>
      <c r="F117" t="n">
        <v>53188</v>
      </c>
      <c r="G117" t="n">
        <v>-9616</v>
      </c>
      <c r="H117">
        <f>D117*F117</f>
        <v/>
      </c>
      <c r="I117">
        <f>E117*G117</f>
        <v/>
      </c>
      <c r="J117">
        <f>H117-I117</f>
        <v/>
      </c>
      <c r="K117" t="n">
        <v>-0.005</v>
      </c>
      <c r="L117" t="n">
        <v>-15405.2320839812</v>
      </c>
      <c r="M117" t="n">
        <v>9195.871215959241</v>
      </c>
      <c r="N117" t="n">
        <v>0</v>
      </c>
      <c r="O117" t="n">
        <v>0</v>
      </c>
      <c r="P117" t="n">
        <v>162.6936412056705</v>
      </c>
      <c r="Q117" t="n">
        <v>0.0432</v>
      </c>
      <c r="R117" t="n">
        <v>834.3158466692043</v>
      </c>
      <c r="S117" t="n">
        <v>-7963.385950655989</v>
      </c>
    </row>
    <row r="118">
      <c r="A118" s="1" t="n">
        <v>44935</v>
      </c>
      <c r="B118" t="inlineStr">
        <is>
          <t>NUGT</t>
        </is>
      </c>
      <c r="C118" t="inlineStr">
        <is>
          <t>GDX</t>
        </is>
      </c>
      <c r="D118" t="n">
        <v>30.1789379119873</v>
      </c>
      <c r="E118" t="n">
        <v>-39.24193954467773</v>
      </c>
      <c r="F118" t="n">
        <v>15820</v>
      </c>
      <c r="G118" t="n">
        <v>-6136</v>
      </c>
      <c r="H118">
        <f>D118*F118</f>
        <v/>
      </c>
      <c r="I118">
        <f>E118*G118</f>
        <v/>
      </c>
      <c r="J118">
        <f>H118-I118</f>
        <v/>
      </c>
      <c r="K118" t="n">
        <v>-0.0175</v>
      </c>
      <c r="L118" t="n">
        <v>-4582.06308882798</v>
      </c>
      <c r="M118" t="n">
        <v>2845.616949975476</v>
      </c>
      <c r="N118" t="n">
        <v>0</v>
      </c>
      <c r="O118" t="n">
        <v>0</v>
      </c>
      <c r="P118" t="n">
        <v>162.6936412056705</v>
      </c>
      <c r="Q118" t="n">
        <v>0.0432</v>
      </c>
      <c r="R118" t="n">
        <v>834.3158466692043</v>
      </c>
      <c r="S118" t="n">
        <v>-2844.316172800108</v>
      </c>
    </row>
    <row r="119">
      <c r="A119" s="1" t="n">
        <v>44935</v>
      </c>
      <c r="B119" t="inlineStr">
        <is>
          <t>GGLL</t>
        </is>
      </c>
      <c r="C119" t="inlineStr">
        <is>
          <t>GOOGL</t>
        </is>
      </c>
      <c r="D119" t="n">
        <v>87.29847717285156</v>
      </c>
      <c r="E119" t="n">
        <v>-15.9396390914917</v>
      </c>
      <c r="F119" t="n">
        <v>20098</v>
      </c>
      <c r="G119" t="n">
        <v>-54856</v>
      </c>
      <c r="H119">
        <f>D119*F119</f>
        <v/>
      </c>
      <c r="I119">
        <f>E119*G119</f>
        <v/>
      </c>
      <c r="J119">
        <f>H119-I119</f>
        <v/>
      </c>
      <c r="K119" t="n">
        <v>-0</v>
      </c>
      <c r="L119" t="n">
        <v>13555.12858644233</v>
      </c>
      <c r="M119" t="n">
        <v>-11106.73285882265</v>
      </c>
      <c r="N119" t="n">
        <v>0</v>
      </c>
      <c r="O119" t="n">
        <v>0</v>
      </c>
      <c r="P119" t="n">
        <v>162.6936412056705</v>
      </c>
      <c r="Q119" t="n">
        <v>0.0432</v>
      </c>
      <c r="R119" t="n">
        <v>834.3158466692043</v>
      </c>
      <c r="S119" t="n">
        <v>608.7873728282029</v>
      </c>
    </row>
    <row r="120">
      <c r="A120" s="1" t="n">
        <v>44935</v>
      </c>
      <c r="B120" t="inlineStr">
        <is>
          <t>CWEB</t>
        </is>
      </c>
      <c r="C120" t="inlineStr">
        <is>
          <t>KWEB</t>
        </is>
      </c>
      <c r="D120" t="n">
        <v>31.00623893737793</v>
      </c>
      <c r="E120" t="n">
        <v>-59.54303741455078</v>
      </c>
      <c r="F120" t="n">
        <v>14605</v>
      </c>
      <c r="G120" t="n">
        <v>-3828</v>
      </c>
      <c r="H120">
        <f>D120*F120</f>
        <v/>
      </c>
      <c r="I120">
        <f>E120*G120</f>
        <v/>
      </c>
      <c r="J120">
        <f>H120-I120</f>
        <v/>
      </c>
      <c r="K120" t="n">
        <v>-0.02</v>
      </c>
      <c r="L120" t="n">
        <v>523.4239578312306</v>
      </c>
      <c r="M120" t="n">
        <v>-391.604246910684</v>
      </c>
      <c r="N120" t="n">
        <v>0</v>
      </c>
      <c r="O120" t="n">
        <v>0</v>
      </c>
      <c r="P120" t="n">
        <v>162.6936412056705</v>
      </c>
      <c r="Q120" t="n">
        <v>0.0432</v>
      </c>
      <c r="R120" t="n">
        <v>834.3158466692043</v>
      </c>
      <c r="S120" t="n">
        <v>-961.9640058788968</v>
      </c>
    </row>
    <row r="121">
      <c r="A121" s="1" t="n">
        <v>44935</v>
      </c>
      <c r="B121" t="inlineStr">
        <is>
          <t>FBL</t>
        </is>
      </c>
      <c r="C121" t="inlineStr">
        <is>
          <t>META</t>
        </is>
      </c>
      <c r="D121" t="n">
        <v>128.4618988037109</v>
      </c>
      <c r="E121" t="n">
        <v>-3.844032287597656</v>
      </c>
      <c r="F121" t="n">
        <v>25964</v>
      </c>
      <c r="G121" t="n">
        <v>-441819</v>
      </c>
      <c r="H121">
        <f>D121*F121</f>
        <v/>
      </c>
      <c r="I121">
        <f>E121*G121</f>
        <v/>
      </c>
      <c r="J121">
        <f>H121-I121</f>
        <v/>
      </c>
      <c r="K121" t="n">
        <v>-0.01</v>
      </c>
      <c r="L121" t="n">
        <v>-14169.549507452</v>
      </c>
      <c r="M121" t="n">
        <v>10371.35476087641</v>
      </c>
      <c r="N121" t="n">
        <v>0</v>
      </c>
      <c r="O121" t="n">
        <v>0</v>
      </c>
      <c r="P121" t="n">
        <v>162.6936412056705</v>
      </c>
      <c r="Q121" t="n">
        <v>0.0432</v>
      </c>
      <c r="R121" t="n">
        <v>834.3158466692043</v>
      </c>
      <c r="S121" t="n">
        <v>-6543.590620392801</v>
      </c>
    </row>
    <row r="122">
      <c r="A122" s="1" t="n">
        <v>44935</v>
      </c>
      <c r="B122" t="inlineStr">
        <is>
          <t>MSFU</t>
        </is>
      </c>
      <c r="C122" t="inlineStr">
        <is>
          <t>MSFT</t>
        </is>
      </c>
      <c r="D122" t="n">
        <v>221.3114471435547</v>
      </c>
      <c r="E122" t="n">
        <v>-17.30919456481934</v>
      </c>
      <c r="F122" t="n">
        <v>8314</v>
      </c>
      <c r="G122" t="n">
        <v>-53770</v>
      </c>
      <c r="H122">
        <f>D122*F122</f>
        <v/>
      </c>
      <c r="I122">
        <f>E122*G122</f>
        <v/>
      </c>
      <c r="J122">
        <f>H122-I122</f>
        <v/>
      </c>
      <c r="K122" t="n">
        <v>-0.005</v>
      </c>
      <c r="L122" t="n">
        <v>17742.71854540555</v>
      </c>
      <c r="M122" t="n">
        <v>-15089.79338149931</v>
      </c>
      <c r="N122" t="n">
        <v>0</v>
      </c>
      <c r="O122" t="n">
        <v>0</v>
      </c>
      <c r="P122" t="n">
        <v>162.6936412056705</v>
      </c>
      <c r="Q122" t="n">
        <v>0.0432</v>
      </c>
      <c r="R122" t="n">
        <v>834.3158466692043</v>
      </c>
      <c r="S122" t="n">
        <v>764.351489371667</v>
      </c>
    </row>
    <row r="123">
      <c r="A123" s="1" t="n">
        <v>44935</v>
      </c>
      <c r="B123" t="inlineStr">
        <is>
          <t>NVDL</t>
        </is>
      </c>
      <c r="C123" t="inlineStr">
        <is>
          <t>NVDA</t>
        </is>
      </c>
      <c r="D123" t="n">
        <v>15.61152362823486</v>
      </c>
      <c r="E123" t="n">
        <v>-3.111436367034912</v>
      </c>
      <c r="F123" t="n">
        <v>307781</v>
      </c>
      <c r="G123" t="n">
        <v>-799366</v>
      </c>
      <c r="H123">
        <f>D123*F123</f>
        <v/>
      </c>
      <c r="I123">
        <f>E123*G123</f>
        <v/>
      </c>
      <c r="J123">
        <f>H123-I123</f>
        <v/>
      </c>
      <c r="K123" t="n">
        <v>-0</v>
      </c>
      <c r="L123" t="n">
        <v>236443.4797302944</v>
      </c>
      <c r="M123" t="n">
        <v>-179085.3395427339</v>
      </c>
      <c r="N123" t="n">
        <v>0</v>
      </c>
      <c r="O123" t="n">
        <v>0</v>
      </c>
      <c r="P123" t="n">
        <v>162.6936412056705</v>
      </c>
      <c r="Q123" t="n">
        <v>0.0432</v>
      </c>
      <c r="R123" t="n">
        <v>834.3158466692043</v>
      </c>
      <c r="S123" t="n">
        <v>53770.73672271725</v>
      </c>
    </row>
    <row r="124">
      <c r="A124" s="1" t="n">
        <v>44935</v>
      </c>
      <c r="B124" t="inlineStr">
        <is>
          <t>SOXL</t>
        </is>
      </c>
      <c r="C124" t="inlineStr">
        <is>
          <t>SOXX</t>
        </is>
      </c>
      <c r="D124" t="n">
        <v>120.6083908081055</v>
      </c>
      <c r="E124" t="n">
        <v>-11.28228092193604</v>
      </c>
      <c r="F124" t="n">
        <v>8941</v>
      </c>
      <c r="G124" t="n">
        <v>-33586</v>
      </c>
      <c r="H124">
        <f>D124*F124</f>
        <v/>
      </c>
      <c r="I124">
        <f>E124*G124</f>
        <v/>
      </c>
      <c r="J124">
        <f>H124-I124</f>
        <v/>
      </c>
      <c r="K124" t="n">
        <v>-0.0175</v>
      </c>
      <c r="L124" t="n">
        <v>19508.37096963141</v>
      </c>
      <c r="M124" t="n">
        <v>-20537.4407177302</v>
      </c>
      <c r="N124" t="n">
        <v>0</v>
      </c>
      <c r="O124" t="n">
        <v>0</v>
      </c>
      <c r="P124" t="n">
        <v>162.6936412056705</v>
      </c>
      <c r="Q124" t="n">
        <v>0.0432</v>
      </c>
      <c r="R124" t="n">
        <v>834.3158466692043</v>
      </c>
      <c r="S124" t="n">
        <v>-2481.254805192305</v>
      </c>
    </row>
    <row r="125">
      <c r="A125" s="1" t="n">
        <v>44935</v>
      </c>
      <c r="B125" t="inlineStr">
        <is>
          <t>SOXS</t>
        </is>
      </c>
      <c r="C125" t="inlineStr">
        <is>
          <t>SOXX</t>
        </is>
      </c>
      <c r="D125" t="n">
        <v>-0</v>
      </c>
      <c r="E125" t="n">
        <v>-28395.36933424666</v>
      </c>
      <c r="F125" t="n">
        <v>-6997</v>
      </c>
      <c r="G125" t="n">
        <v>-37</v>
      </c>
      <c r="H125">
        <f>D125*F125</f>
        <v/>
      </c>
      <c r="I125">
        <f>E125*G125</f>
        <v/>
      </c>
      <c r="J125">
        <f>H125-I125</f>
        <v/>
      </c>
      <c r="K125" t="n">
        <v>0.07000000000000001</v>
      </c>
      <c r="L125" t="n">
        <v>-15266.75670221574</v>
      </c>
      <c r="M125" t="n">
        <v>12069.97796977447</v>
      </c>
      <c r="N125" t="n">
        <v>378.3085789449789</v>
      </c>
      <c r="O125" t="n">
        <v>0</v>
      </c>
      <c r="P125" t="n">
        <v>-2155.470887112046</v>
      </c>
      <c r="Q125" t="n">
        <v>0.0432</v>
      </c>
      <c r="R125" t="n">
        <v>834.3158466692043</v>
      </c>
      <c r="S125" t="n">
        <v>-4409.403158055462</v>
      </c>
    </row>
    <row r="126">
      <c r="A126" s="1" t="n">
        <v>44935</v>
      </c>
      <c r="B126" t="inlineStr">
        <is>
          <t>HIBL</t>
        </is>
      </c>
      <c r="C126" t="inlineStr">
        <is>
          <t>SPHB</t>
        </is>
      </c>
      <c r="D126" t="n">
        <v>63.97040176391602</v>
      </c>
      <c r="E126" t="n">
        <v>-26.30570220947266</v>
      </c>
      <c r="F126" t="n">
        <v>6521</v>
      </c>
      <c r="G126" t="n">
        <v>-5410</v>
      </c>
      <c r="H126">
        <f>D126*F126</f>
        <v/>
      </c>
      <c r="I126">
        <f>E126*G126</f>
        <v/>
      </c>
      <c r="J126">
        <f>H126-I126</f>
        <v/>
      </c>
      <c r="K126" t="n">
        <v>0.12</v>
      </c>
      <c r="L126" t="n">
        <v>5594.54331594088</v>
      </c>
      <c r="M126" t="n">
        <v>-5205.299088550408</v>
      </c>
      <c r="N126" t="n">
        <v>446.4464451990281</v>
      </c>
      <c r="O126" t="n">
        <v>0</v>
      </c>
      <c r="P126" t="n">
        <v>-2037.193244400644</v>
      </c>
      <c r="Q126" t="n">
        <v>0.0432</v>
      </c>
      <c r="R126" t="n">
        <v>834.3158466692043</v>
      </c>
      <c r="S126" t="n">
        <v>-1130.533646523842</v>
      </c>
    </row>
    <row r="127">
      <c r="A127" s="1" t="n">
        <v>44935</v>
      </c>
      <c r="B127" t="inlineStr">
        <is>
          <t>TSLL</t>
        </is>
      </c>
      <c r="C127" t="inlineStr">
        <is>
          <t>TSLA</t>
        </is>
      </c>
      <c r="D127" t="n">
        <v>119.7699966430664</v>
      </c>
      <c r="E127" t="n">
        <v>-5.125549793243408</v>
      </c>
      <c r="F127" t="n">
        <v>16893</v>
      </c>
      <c r="G127" t="n">
        <v>-207812</v>
      </c>
      <c r="H127">
        <f>D127*F127</f>
        <v/>
      </c>
      <c r="I127">
        <f>E127*G127</f>
        <v/>
      </c>
      <c r="J127">
        <f>H127-I127</f>
        <v/>
      </c>
      <c r="K127" t="n">
        <v>0.01</v>
      </c>
      <c r="L127" t="n">
        <v>113356.7875632224</v>
      </c>
      <c r="M127" t="n">
        <v>-81772.66603189663</v>
      </c>
      <c r="N127" t="n">
        <v>278.4530874650175</v>
      </c>
      <c r="O127" t="n">
        <v>0</v>
      </c>
      <c r="P127" t="n">
        <v>-1092.941844113652</v>
      </c>
      <c r="Q127" t="n">
        <v>0.0432</v>
      </c>
      <c r="R127" t="n">
        <v>834.3158466692043</v>
      </c>
      <c r="S127" t="n">
        <v>29312.07416636006</v>
      </c>
    </row>
    <row r="128">
      <c r="A128" s="1" t="n">
        <v>44935</v>
      </c>
      <c r="B128" t="inlineStr">
        <is>
          <t>TSLQ</t>
        </is>
      </c>
      <c r="C128" t="inlineStr">
        <is>
          <t>TSLA</t>
        </is>
      </c>
      <c r="D128" t="n">
        <v>-0</v>
      </c>
      <c r="E128" t="n">
        <v>-3564.804216624885</v>
      </c>
      <c r="F128" t="n">
        <v>-6277</v>
      </c>
      <c r="G128" t="n">
        <v>-302</v>
      </c>
      <c r="H128">
        <f>D128*F128</f>
        <v/>
      </c>
      <c r="I128">
        <f>E128*G128</f>
        <v/>
      </c>
      <c r="J128">
        <f>H128-I128</f>
        <v/>
      </c>
      <c r="K128" t="n">
        <v>-0.02</v>
      </c>
      <c r="L128" t="n">
        <v>-42120.43778691451</v>
      </c>
      <c r="M128" t="n">
        <v>19608.62031807451</v>
      </c>
      <c r="N128" t="n">
        <v>0</v>
      </c>
      <c r="O128" t="n">
        <v>0</v>
      </c>
      <c r="P128" t="n">
        <v>162.6936412056705</v>
      </c>
      <c r="Q128" t="n">
        <v>0.0432</v>
      </c>
      <c r="R128" t="n">
        <v>834.3158466692043</v>
      </c>
      <c r="S128" t="n">
        <v>-23346.1333155092</v>
      </c>
    </row>
    <row r="129">
      <c r="A129" s="1" t="n">
        <v>44935</v>
      </c>
      <c r="B129" t="inlineStr">
        <is>
          <t>LABU</t>
        </is>
      </c>
      <c r="C129" t="inlineStr">
        <is>
          <t>XBI</t>
        </is>
      </c>
      <c r="D129" t="n">
        <v>80.83625030517578</v>
      </c>
      <c r="E129" t="n">
        <v>-130.4246978759766</v>
      </c>
      <c r="F129" t="n">
        <v>3382</v>
      </c>
      <c r="G129" t="n">
        <v>-676</v>
      </c>
      <c r="H129">
        <f>D129*F129</f>
        <v/>
      </c>
      <c r="I129">
        <f>E129*G129</f>
        <v/>
      </c>
      <c r="J129">
        <f>H129-I129</f>
        <v/>
      </c>
      <c r="K129" t="n">
        <v>0.1</v>
      </c>
      <c r="L129" t="n">
        <v>-6358.134599528608</v>
      </c>
      <c r="M129" t="n">
        <v>5154.649252519929</v>
      </c>
      <c r="N129" t="n">
        <v>230.4875619212269</v>
      </c>
      <c r="O129" t="n">
        <v>0</v>
      </c>
      <c r="P129" t="n">
        <v>-1124.988694816813</v>
      </c>
      <c r="Q129" t="n">
        <v>0.0432</v>
      </c>
      <c r="R129" t="n">
        <v>834.3158466692043</v>
      </c>
      <c r="S129" t="n">
        <v>-2424.93237140823</v>
      </c>
    </row>
    <row r="130">
      <c r="A130" s="1" t="n">
        <v>44935</v>
      </c>
      <c r="B130" t="inlineStr">
        <is>
          <t>ERX</t>
        </is>
      </c>
      <c r="C130" t="inlineStr">
        <is>
          <t>XLE</t>
        </is>
      </c>
      <c r="D130" t="n">
        <v>39.15671920776367</v>
      </c>
      <c r="E130" t="n">
        <v>-60.4268798828125</v>
      </c>
      <c r="F130" t="n">
        <v>1856</v>
      </c>
      <c r="G130" t="n">
        <v>-604</v>
      </c>
      <c r="H130">
        <f>D130*F130</f>
        <v/>
      </c>
      <c r="I130">
        <f>E130*G130</f>
        <v/>
      </c>
      <c r="J130">
        <f>H130-I130</f>
        <v/>
      </c>
      <c r="K130" t="n">
        <v>0.12</v>
      </c>
      <c r="L130" t="n">
        <v>-258.2284023265164</v>
      </c>
      <c r="M130" t="n">
        <v>198.963196915065</v>
      </c>
      <c r="N130" t="n">
        <v>114.4957361044728</v>
      </c>
      <c r="O130" t="n">
        <v>0</v>
      </c>
      <c r="P130" t="n">
        <v>-383.3631541432929</v>
      </c>
      <c r="Q130" t="n">
        <v>0.0432</v>
      </c>
      <c r="R130" t="n">
        <v>834.3158466692043</v>
      </c>
      <c r="S130" t="n">
        <v>-1049.717409870584</v>
      </c>
    </row>
    <row r="131">
      <c r="A131" s="1" t="n">
        <v>44935</v>
      </c>
      <c r="B131" t="inlineStr">
        <is>
          <t>GUSH</t>
        </is>
      </c>
      <c r="C131" t="inlineStr">
        <is>
          <t>XOP</t>
        </is>
      </c>
      <c r="D131" t="n">
        <v>122.6102905273438</v>
      </c>
      <c r="E131" t="n">
        <v>-31.85918617248535</v>
      </c>
      <c r="F131" t="n">
        <v>3057</v>
      </c>
      <c r="G131" t="n">
        <v>-6059</v>
      </c>
      <c r="H131">
        <f>D131*F131</f>
        <v/>
      </c>
      <c r="I131">
        <f>E131*G131</f>
        <v/>
      </c>
      <c r="J131">
        <f>H131-I131</f>
        <v/>
      </c>
      <c r="K131" t="n">
        <v>-0.01</v>
      </c>
      <c r="L131" t="n">
        <v>3779.427631176687</v>
      </c>
      <c r="M131" t="n">
        <v>-3468.172297872872</v>
      </c>
      <c r="N131" t="n">
        <v>0</v>
      </c>
      <c r="O131" t="n">
        <v>0</v>
      </c>
      <c r="P131" t="n">
        <v>162.6936412056705</v>
      </c>
      <c r="Q131" t="n">
        <v>0.0432</v>
      </c>
      <c r="R131" t="n">
        <v>834.3158466692043</v>
      </c>
      <c r="S131" t="n">
        <v>-737.8214534606889</v>
      </c>
    </row>
    <row r="132">
      <c r="A132" s="1" t="n">
        <v>44936</v>
      </c>
      <c r="B132" t="inlineStr">
        <is>
          <t>AAPB</t>
        </is>
      </c>
      <c r="C132" t="inlineStr">
        <is>
          <t>AAPL</t>
        </is>
      </c>
      <c r="D132" t="n">
        <v>128.6666717529297</v>
      </c>
      <c r="E132" t="n">
        <v>-12.56858730316162</v>
      </c>
      <c r="F132" t="n">
        <v>9028</v>
      </c>
      <c r="G132" t="n">
        <v>-47878</v>
      </c>
      <c r="H132">
        <f>D132*F132</f>
        <v/>
      </c>
      <c r="I132">
        <f>E132*G132</f>
        <v/>
      </c>
      <c r="J132">
        <f>H132-I132</f>
        <v/>
      </c>
      <c r="K132" t="n">
        <v>-0.005</v>
      </c>
      <c r="L132" t="n">
        <v>5153.819730189503</v>
      </c>
      <c r="M132" t="n">
        <v>-4760.307845080932</v>
      </c>
      <c r="N132" t="n">
        <v>0</v>
      </c>
      <c r="O132" t="n">
        <v>0</v>
      </c>
      <c r="P132" t="n">
        <v>162.6936412056705</v>
      </c>
      <c r="Q132" t="n">
        <v>0.0432</v>
      </c>
      <c r="R132" t="n">
        <v>777.5101857280951</v>
      </c>
      <c r="S132" t="n">
        <v>-986.8745946472159</v>
      </c>
    </row>
    <row r="133">
      <c r="A133" s="1" t="n">
        <v>44936</v>
      </c>
      <c r="B133" t="inlineStr">
        <is>
          <t>AAPU</t>
        </is>
      </c>
      <c r="C133" t="inlineStr">
        <is>
          <t>AAPL</t>
        </is>
      </c>
      <c r="D133" t="n">
        <v>128.6666717529297</v>
      </c>
      <c r="E133" t="n">
        <v>-12.97038173675537</v>
      </c>
      <c r="F133" t="n">
        <v>7633</v>
      </c>
      <c r="G133" t="n">
        <v>-38936</v>
      </c>
      <c r="H133">
        <f>D133*F133</f>
        <v/>
      </c>
      <c r="I133">
        <f>E133*G133</f>
        <v/>
      </c>
      <c r="J133">
        <f>H133-I133</f>
        <v/>
      </c>
      <c r="K133" t="n">
        <v>0.02</v>
      </c>
      <c r="L133" t="n">
        <v>4357.455250391723</v>
      </c>
      <c r="M133" t="n">
        <v>-3417.524921549089</v>
      </c>
      <c r="N133" t="n">
        <v>225.2240062088321</v>
      </c>
      <c r="O133" t="n">
        <v>0</v>
      </c>
      <c r="P133" t="n">
        <v>-842.4507373192571</v>
      </c>
      <c r="Q133" t="n">
        <v>0.0432</v>
      </c>
      <c r="R133" t="n">
        <v>777.5101857280951</v>
      </c>
      <c r="S133" t="n">
        <v>-572.5241502357842</v>
      </c>
    </row>
    <row r="134">
      <c r="A134" s="1" t="n">
        <v>44936</v>
      </c>
      <c r="B134" t="inlineStr">
        <is>
          <t>AMZU</t>
        </is>
      </c>
      <c r="C134" t="inlineStr">
        <is>
          <t>AMZN</t>
        </is>
      </c>
      <c r="D134" t="n">
        <v>89.87000274658203</v>
      </c>
      <c r="E134" t="n">
        <v>-12.32754325866699</v>
      </c>
      <c r="F134" t="n">
        <v>27599</v>
      </c>
      <c r="G134" t="n">
        <v>-103312</v>
      </c>
      <c r="H134">
        <f>D134*F134</f>
        <v/>
      </c>
      <c r="I134">
        <f>E134*G134</f>
        <v/>
      </c>
      <c r="J134">
        <f>H134-I134</f>
        <v/>
      </c>
      <c r="K134" t="n">
        <v>-0.0025</v>
      </c>
      <c r="L134" t="n">
        <v>69276.46593001182</v>
      </c>
      <c r="M134" t="n">
        <v>-49927.40991590377</v>
      </c>
      <c r="N134" t="n">
        <v>0</v>
      </c>
      <c r="O134" t="n">
        <v>0</v>
      </c>
      <c r="P134" t="n">
        <v>162.6936412056705</v>
      </c>
      <c r="Q134" t="n">
        <v>0.0432</v>
      </c>
      <c r="R134" t="n">
        <v>777.5101857280951</v>
      </c>
      <c r="S134" t="n">
        <v>17284.2490243799</v>
      </c>
    </row>
    <row r="135">
      <c r="A135" s="1" t="n">
        <v>44936</v>
      </c>
      <c r="B135" t="inlineStr">
        <is>
          <t>TARK</t>
        </is>
      </c>
      <c r="C135" t="inlineStr">
        <is>
          <t>ARKK</t>
        </is>
      </c>
      <c r="D135" t="n">
        <v>33.34193420410156</v>
      </c>
      <c r="E135" t="n">
        <v>-18.72293090820312</v>
      </c>
      <c r="F135" t="n">
        <v>20537</v>
      </c>
      <c r="G135" t="n">
        <v>-20077</v>
      </c>
      <c r="H135">
        <f>D135*F135</f>
        <v/>
      </c>
      <c r="I135">
        <f>E135*G135</f>
        <v/>
      </c>
      <c r="J135">
        <f>H135-I135</f>
        <v/>
      </c>
      <c r="K135" t="n">
        <v>-0.02</v>
      </c>
      <c r="L135" t="n">
        <v>16498.04521097576</v>
      </c>
      <c r="M135" t="n">
        <v>-14885.72643947108</v>
      </c>
      <c r="N135" t="n">
        <v>0</v>
      </c>
      <c r="O135" t="n">
        <v>0</v>
      </c>
      <c r="P135" t="n">
        <v>162.6936412056705</v>
      </c>
      <c r="Q135" t="n">
        <v>0.0432</v>
      </c>
      <c r="R135" t="n">
        <v>777.5101857280951</v>
      </c>
      <c r="S135" t="n">
        <v>479.4241671200939</v>
      </c>
    </row>
    <row r="136">
      <c r="A136" s="1" t="n">
        <v>44936</v>
      </c>
      <c r="B136" t="inlineStr">
        <is>
          <t>CHAU</t>
        </is>
      </c>
      <c r="C136" t="inlineStr">
        <is>
          <t>ASHR</t>
        </is>
      </c>
      <c r="D136" t="n">
        <v>28.29050254821777</v>
      </c>
      <c r="E136" t="n">
        <v>-21.27863883972168</v>
      </c>
      <c r="F136" t="n">
        <v>5713</v>
      </c>
      <c r="G136" t="n">
        <v>-3898</v>
      </c>
      <c r="H136">
        <f>D136*F136</f>
        <v/>
      </c>
      <c r="I136">
        <f>E136*G136</f>
        <v/>
      </c>
      <c r="J136">
        <f>H136-I136</f>
        <v/>
      </c>
      <c r="K136" t="n">
        <v>-0.01</v>
      </c>
      <c r="L136" t="n">
        <v>430.7313151150405</v>
      </c>
      <c r="M136" t="n">
        <v>-574.9734993340071</v>
      </c>
      <c r="N136" t="n">
        <v>0</v>
      </c>
      <c r="O136" t="n">
        <v>0</v>
      </c>
      <c r="P136" t="n">
        <v>162.6936412056705</v>
      </c>
      <c r="Q136" t="n">
        <v>0.0432</v>
      </c>
      <c r="R136" t="n">
        <v>777.5101857280951</v>
      </c>
      <c r="S136" t="n">
        <v>-1005.635663858638</v>
      </c>
    </row>
    <row r="137">
      <c r="A137" s="1" t="n">
        <v>44936</v>
      </c>
      <c r="B137" t="inlineStr">
        <is>
          <t>BABX</t>
        </is>
      </c>
      <c r="C137" t="inlineStr">
        <is>
          <t>BABA</t>
        </is>
      </c>
      <c r="D137" t="n">
        <v>109.100959777832</v>
      </c>
      <c r="E137" t="n">
        <v>-37.84999847412109</v>
      </c>
      <c r="F137" t="n">
        <v>5330</v>
      </c>
      <c r="G137" t="n">
        <v>-8035</v>
      </c>
      <c r="H137">
        <f>D137*F137</f>
        <v/>
      </c>
      <c r="I137">
        <f>E137*G137</f>
        <v/>
      </c>
      <c r="J137">
        <f>H137-I137</f>
        <v/>
      </c>
      <c r="K137" t="n">
        <v>-0.0275</v>
      </c>
      <c r="L137" t="n">
        <v>20501.42941567859</v>
      </c>
      <c r="M137" t="n">
        <v>-17056.77797146194</v>
      </c>
      <c r="N137" t="n">
        <v>0</v>
      </c>
      <c r="O137" t="n">
        <v>0</v>
      </c>
      <c r="P137" t="n">
        <v>162.6936412056705</v>
      </c>
      <c r="Q137" t="n">
        <v>0.0432</v>
      </c>
      <c r="R137" t="n">
        <v>777.5101857280951</v>
      </c>
      <c r="S137" t="n">
        <v>2365.336300656447</v>
      </c>
    </row>
    <row r="138">
      <c r="A138" s="1" t="n">
        <v>44936</v>
      </c>
      <c r="B138" t="inlineStr">
        <is>
          <t>CONL</t>
        </is>
      </c>
      <c r="C138" t="inlineStr">
        <is>
          <t>COIN</t>
        </is>
      </c>
      <c r="D138" t="n">
        <v>43.22999954223633</v>
      </c>
      <c r="E138" t="n">
        <v>-6.015096187591553</v>
      </c>
      <c r="F138" t="n">
        <v>98778</v>
      </c>
      <c r="G138" t="n">
        <v>-394919</v>
      </c>
      <c r="H138">
        <f>D138*F138</f>
        <v/>
      </c>
      <c r="I138">
        <f>E138*G138</f>
        <v/>
      </c>
      <c r="J138">
        <f>H138-I138</f>
        <v/>
      </c>
      <c r="K138" t="n">
        <v>0.03</v>
      </c>
      <c r="L138" t="n">
        <v>489959.4199198194</v>
      </c>
      <c r="M138" t="n">
        <v>-358080.5063616812</v>
      </c>
      <c r="N138" t="n">
        <v>1589.104480370088</v>
      </c>
      <c r="O138" t="n">
        <v>0</v>
      </c>
      <c r="P138" t="n">
        <v>-6040.120751303504</v>
      </c>
      <c r="Q138" t="n">
        <v>0.0432</v>
      </c>
      <c r="R138" t="n">
        <v>777.5101857280951</v>
      </c>
      <c r="S138" t="n">
        <v>127296.0626679231</v>
      </c>
    </row>
    <row r="139">
      <c r="A139" s="1" t="n">
        <v>44936</v>
      </c>
      <c r="B139" t="inlineStr">
        <is>
          <t>MEXX</t>
        </is>
      </c>
      <c r="C139" t="inlineStr">
        <is>
          <t>EWW</t>
        </is>
      </c>
      <c r="D139" t="n">
        <v>49.36479187011719</v>
      </c>
      <c r="E139" t="n">
        <v>-20.35855102539062</v>
      </c>
      <c r="F139" t="n">
        <v>9067</v>
      </c>
      <c r="G139" t="n">
        <v>-7657</v>
      </c>
      <c r="H139">
        <f>D139*F139</f>
        <v/>
      </c>
      <c r="I139">
        <f>E139*G139</f>
        <v/>
      </c>
      <c r="J139">
        <f>H139-I139</f>
        <v/>
      </c>
      <c r="K139" t="n">
        <v>0.0075</v>
      </c>
      <c r="L139" t="n">
        <v>2792.948952840472</v>
      </c>
      <c r="M139" t="n">
        <v>-2680.232166329157</v>
      </c>
      <c r="N139" t="n">
        <v>26.07038036380619</v>
      </c>
      <c r="O139" t="n">
        <v>0</v>
      </c>
      <c r="P139" t="n">
        <v>44.77521566955743</v>
      </c>
      <c r="Q139" t="n">
        <v>0.0432</v>
      </c>
      <c r="R139" t="n">
        <v>777.5101857280951</v>
      </c>
      <c r="S139" t="n">
        <v>-923.1650129415789</v>
      </c>
    </row>
    <row r="140">
      <c r="A140" s="1" t="n">
        <v>44936</v>
      </c>
      <c r="B140" t="inlineStr">
        <is>
          <t>KORU</t>
        </is>
      </c>
      <c r="C140" t="inlineStr">
        <is>
          <t>EWY</t>
        </is>
      </c>
      <c r="D140" t="n">
        <v>57.11051559448242</v>
      </c>
      <c r="E140" t="n">
        <v>-88.57266235351562</v>
      </c>
      <c r="F140" t="n">
        <v>12826</v>
      </c>
      <c r="G140" t="n">
        <v>-2951</v>
      </c>
      <c r="H140">
        <f>D140*F140</f>
        <v/>
      </c>
      <c r="I140">
        <f>E140*G140</f>
        <v/>
      </c>
      <c r="J140">
        <f>H140-I140</f>
        <v/>
      </c>
      <c r="K140" t="n">
        <v>0.0225</v>
      </c>
      <c r="L140" t="n">
        <v>2387.997774057321</v>
      </c>
      <c r="M140" t="n">
        <v>-2349.503637490976</v>
      </c>
      <c r="N140" t="n">
        <v>131.1390456772348</v>
      </c>
      <c r="O140" t="n">
        <v>0</v>
      </c>
      <c r="P140" t="n">
        <v>-420.7906411635542</v>
      </c>
      <c r="Q140" t="n">
        <v>0.0432</v>
      </c>
      <c r="R140" t="n">
        <v>777.5101857280951</v>
      </c>
      <c r="S140" t="n">
        <v>-1250.325150300984</v>
      </c>
    </row>
    <row r="141">
      <c r="A141" s="1" t="n">
        <v>44936</v>
      </c>
      <c r="B141" t="inlineStr">
        <is>
          <t>YINN</t>
        </is>
      </c>
      <c r="C141" t="inlineStr">
        <is>
          <t>FXI</t>
        </is>
      </c>
      <c r="D141" t="n">
        <v>29.34365272521973</v>
      </c>
      <c r="E141" t="n">
        <v>-58.95691680908203</v>
      </c>
      <c r="F141" t="n">
        <v>35048</v>
      </c>
      <c r="G141" t="n">
        <v>-5995</v>
      </c>
      <c r="H141">
        <f>D141*F141</f>
        <v/>
      </c>
      <c r="I141">
        <f>E141*G141</f>
        <v/>
      </c>
      <c r="J141">
        <f>H141-I141</f>
        <v/>
      </c>
      <c r="K141" t="n">
        <v>-0.02</v>
      </c>
      <c r="L141" t="n">
        <v>12697.18549451301</v>
      </c>
      <c r="M141" t="n">
        <v>-10773.13378725536</v>
      </c>
      <c r="N141" t="n">
        <v>0</v>
      </c>
      <c r="O141" t="n">
        <v>0</v>
      </c>
      <c r="P141" t="n">
        <v>162.6936412056705</v>
      </c>
      <c r="Q141" t="n">
        <v>0.0432</v>
      </c>
      <c r="R141" t="n">
        <v>777.5101857280951</v>
      </c>
      <c r="S141" t="n">
        <v>612.7790888018078</v>
      </c>
    </row>
    <row r="142">
      <c r="A142" s="1" t="n">
        <v>44936</v>
      </c>
      <c r="B142" t="inlineStr">
        <is>
          <t>JNUG</t>
        </is>
      </c>
      <c r="C142" t="inlineStr">
        <is>
          <t>GDXJ</t>
        </is>
      </c>
      <c r="D142" t="n">
        <v>37.53668594360352</v>
      </c>
      <c r="E142" t="n">
        <v>-41.63966751098633</v>
      </c>
      <c r="F142" t="n">
        <v>13873</v>
      </c>
      <c r="G142" t="n">
        <v>-6362</v>
      </c>
      <c r="H142">
        <f>D142*F142</f>
        <v/>
      </c>
      <c r="I142">
        <f>E142*G142</f>
        <v/>
      </c>
      <c r="J142">
        <f>H142-I142</f>
        <v/>
      </c>
      <c r="K142" t="n">
        <v>-0.005</v>
      </c>
      <c r="L142" t="n">
        <v>10105.58805648135</v>
      </c>
      <c r="M142" t="n">
        <v>-8853.415578539543</v>
      </c>
      <c r="N142" t="n">
        <v>0</v>
      </c>
      <c r="O142" t="n">
        <v>0</v>
      </c>
      <c r="P142" t="n">
        <v>162.6936412056705</v>
      </c>
      <c r="Q142" t="n">
        <v>0.0432</v>
      </c>
      <c r="R142" t="n">
        <v>777.5101857280951</v>
      </c>
      <c r="S142" t="n">
        <v>204.3928765666899</v>
      </c>
    </row>
    <row r="143">
      <c r="A143" s="1" t="n">
        <v>44936</v>
      </c>
      <c r="B143" t="inlineStr">
        <is>
          <t>GDXU</t>
        </is>
      </c>
      <c r="C143" t="inlineStr">
        <is>
          <t>GDX</t>
        </is>
      </c>
      <c r="D143" t="n">
        <v>30.73887825012207</v>
      </c>
      <c r="E143" t="n">
        <v>-57</v>
      </c>
      <c r="F143" t="n">
        <v>53188</v>
      </c>
      <c r="G143" t="n">
        <v>-9616</v>
      </c>
      <c r="H143">
        <f>D143*F143</f>
        <v/>
      </c>
      <c r="I143">
        <f>E143*G143</f>
        <v/>
      </c>
      <c r="J143">
        <f>H143-I143</f>
        <v/>
      </c>
      <c r="K143" t="n">
        <v>-0.005</v>
      </c>
      <c r="L143" t="n">
        <v>29783.36077034358</v>
      </c>
      <c r="M143" t="n">
        <v>-23763.54328907204</v>
      </c>
      <c r="N143" t="n">
        <v>0</v>
      </c>
      <c r="O143" t="n">
        <v>0</v>
      </c>
      <c r="P143" t="n">
        <v>162.6936412056705</v>
      </c>
      <c r="Q143" t="n">
        <v>0.0432</v>
      </c>
      <c r="R143" t="n">
        <v>777.5101857280951</v>
      </c>
      <c r="S143" t="n">
        <v>4393.767403431249</v>
      </c>
    </row>
    <row r="144">
      <c r="A144" s="1" t="n">
        <v>44936</v>
      </c>
      <c r="B144" t="inlineStr">
        <is>
          <t>NUGT</t>
        </is>
      </c>
      <c r="C144" t="inlineStr">
        <is>
          <t>GDX</t>
        </is>
      </c>
      <c r="D144" t="n">
        <v>30.73887825012207</v>
      </c>
      <c r="E144" t="n">
        <v>-40.57689666748047</v>
      </c>
      <c r="F144" t="n">
        <v>15820</v>
      </c>
      <c r="G144" t="n">
        <v>-6136</v>
      </c>
      <c r="H144">
        <f>D144*F144</f>
        <v/>
      </c>
      <c r="I144">
        <f>E144*G144</f>
        <v/>
      </c>
      <c r="J144">
        <f>H144-I144</f>
        <v/>
      </c>
      <c r="K144" t="n">
        <v>-0.0175</v>
      </c>
      <c r="L144" t="n">
        <v>8858.629152944939</v>
      </c>
      <c r="M144" t="n">
        <v>-7755.839289554023</v>
      </c>
      <c r="N144" t="n">
        <v>0</v>
      </c>
      <c r="O144" t="n">
        <v>0</v>
      </c>
      <c r="P144" t="n">
        <v>162.6936412056705</v>
      </c>
      <c r="Q144" t="n">
        <v>0.0432</v>
      </c>
      <c r="R144" t="n">
        <v>777.5101857280951</v>
      </c>
      <c r="S144" t="n">
        <v>72.89378059553451</v>
      </c>
    </row>
    <row r="145">
      <c r="A145" s="1" t="n">
        <v>44936</v>
      </c>
      <c r="B145" t="inlineStr">
        <is>
          <t>GGLL</t>
        </is>
      </c>
      <c r="C145" t="inlineStr">
        <is>
          <t>GOOGL</t>
        </is>
      </c>
      <c r="D145" t="n">
        <v>87.6951904296875</v>
      </c>
      <c r="E145" t="n">
        <v>-15.99309921264648</v>
      </c>
      <c r="F145" t="n">
        <v>20098</v>
      </c>
      <c r="G145" t="n">
        <v>-54856</v>
      </c>
      <c r="H145">
        <f>D145*F145</f>
        <v/>
      </c>
      <c r="I145">
        <f>E145*G145</f>
        <v/>
      </c>
      <c r="J145">
        <f>H145-I145</f>
        <v/>
      </c>
      <c r="K145" t="n">
        <v>-0</v>
      </c>
      <c r="L145" t="n">
        <v>7973.478769178354</v>
      </c>
      <c r="M145" t="n">
        <v>-2776.70798153212</v>
      </c>
      <c r="N145" t="n">
        <v>0</v>
      </c>
      <c r="O145" t="n">
        <v>0</v>
      </c>
      <c r="P145" t="n">
        <v>162.6936412056705</v>
      </c>
      <c r="Q145" t="n">
        <v>0.0432</v>
      </c>
      <c r="R145" t="n">
        <v>777.5101857280951</v>
      </c>
      <c r="S145" t="n">
        <v>3504.517365584571</v>
      </c>
    </row>
    <row r="146">
      <c r="A146" s="1" t="n">
        <v>44936</v>
      </c>
      <c r="B146" t="inlineStr">
        <is>
          <t>CWEB</t>
        </is>
      </c>
      <c r="C146" t="inlineStr">
        <is>
          <t>KWEB</t>
        </is>
      </c>
      <c r="D146" t="n">
        <v>31.3914680480957</v>
      </c>
      <c r="E146" t="n">
        <v>-61.03770446777344</v>
      </c>
      <c r="F146" t="n">
        <v>14605</v>
      </c>
      <c r="G146" t="n">
        <v>-3828</v>
      </c>
      <c r="H146">
        <f>D146*F146</f>
        <v/>
      </c>
      <c r="I146">
        <f>E146*G146</f>
        <v/>
      </c>
      <c r="J146">
        <f>H146-I146</f>
        <v/>
      </c>
      <c r="K146" t="n">
        <v>-0.02</v>
      </c>
      <c r="L146" t="n">
        <v>5626.508073188113</v>
      </c>
      <c r="M146" t="n">
        <v>-5417.420217351636</v>
      </c>
      <c r="N146" t="n">
        <v>0</v>
      </c>
      <c r="O146" t="n">
        <v>0</v>
      </c>
      <c r="P146" t="n">
        <v>162.6936412056705</v>
      </c>
      <c r="Q146" t="n">
        <v>0.0432</v>
      </c>
      <c r="R146" t="n">
        <v>777.5101857280951</v>
      </c>
      <c r="S146" t="n">
        <v>-806.3712713932259</v>
      </c>
    </row>
    <row r="147">
      <c r="A147" s="1" t="n">
        <v>44936</v>
      </c>
      <c r="B147" t="inlineStr">
        <is>
          <t>FBL</t>
        </is>
      </c>
      <c r="C147" t="inlineStr">
        <is>
          <t>META</t>
        </is>
      </c>
      <c r="D147" t="n">
        <v>131.9544830322266</v>
      </c>
      <c r="E147" t="n">
        <v>-3.990317106246948</v>
      </c>
      <c r="F147" t="n">
        <v>25964</v>
      </c>
      <c r="G147" t="n">
        <v>-441819</v>
      </c>
      <c r="H147">
        <f>D147*F147</f>
        <v/>
      </c>
      <c r="I147">
        <f>E147*G147</f>
        <v/>
      </c>
      <c r="J147">
        <f>H147-I147</f>
        <v/>
      </c>
      <c r="K147" t="n">
        <v>-0.01</v>
      </c>
      <c r="L147" t="n">
        <v>90685.27532604543</v>
      </c>
      <c r="M147" t="n">
        <v>-61195.54114157304</v>
      </c>
      <c r="N147" t="n">
        <v>0</v>
      </c>
      <c r="O147" t="n">
        <v>0</v>
      </c>
      <c r="P147" t="n">
        <v>162.6936412056705</v>
      </c>
      <c r="Q147" t="n">
        <v>0.0432</v>
      </c>
      <c r="R147" t="n">
        <v>777.5101857280951</v>
      </c>
      <c r="S147" t="n">
        <v>26934.08241054661</v>
      </c>
    </row>
    <row r="148">
      <c r="A148" s="1" t="n">
        <v>44936</v>
      </c>
      <c r="B148" t="inlineStr">
        <is>
          <t>MSFU</t>
        </is>
      </c>
      <c r="C148" t="inlineStr">
        <is>
          <t>MSFT</t>
        </is>
      </c>
      <c r="D148" t="n">
        <v>222.9972381591797</v>
      </c>
      <c r="E148" t="n">
        <v>-17.46247100830078</v>
      </c>
      <c r="F148" t="n">
        <v>8314</v>
      </c>
      <c r="G148" t="n">
        <v>-53770</v>
      </c>
      <c r="H148">
        <f>D148*F148</f>
        <v/>
      </c>
      <c r="I148">
        <f>E148*G148</f>
        <v/>
      </c>
      <c r="J148">
        <f>H148-I148</f>
        <v/>
      </c>
      <c r="K148" t="n">
        <v>-0.005</v>
      </c>
      <c r="L148" t="n">
        <v>14016.25667591261</v>
      </c>
      <c r="M148" t="n">
        <v>-7803.538633357995</v>
      </c>
      <c r="N148" t="n">
        <v>0</v>
      </c>
      <c r="O148" t="n">
        <v>0</v>
      </c>
      <c r="P148" t="n">
        <v>162.6936412056705</v>
      </c>
      <c r="Q148" t="n">
        <v>0.0432</v>
      </c>
      <c r="R148" t="n">
        <v>777.5101857280951</v>
      </c>
      <c r="S148" t="n">
        <v>4472.975195793937</v>
      </c>
    </row>
    <row r="149">
      <c r="A149" s="1" t="n">
        <v>44936</v>
      </c>
      <c r="B149" t="inlineStr">
        <is>
          <t>NVDL</t>
        </is>
      </c>
      <c r="C149" t="inlineStr">
        <is>
          <t>NVDA</t>
        </is>
      </c>
      <c r="D149" t="n">
        <v>15.89223098754883</v>
      </c>
      <c r="E149" t="n">
        <v>-3.185817241668701</v>
      </c>
      <c r="F149" t="n">
        <v>307781</v>
      </c>
      <c r="G149" t="n">
        <v>-799366</v>
      </c>
      <c r="H149">
        <f>D149*F149</f>
        <v/>
      </c>
      <c r="I149">
        <f>E149*G149</f>
        <v/>
      </c>
      <c r="J149">
        <f>H149-I149</f>
        <v/>
      </c>
      <c r="K149" t="n">
        <v>-0</v>
      </c>
      <c r="L149" t="n">
        <v>86400.02973825553</v>
      </c>
      <c r="M149" t="n">
        <v>-56296.71924071312</v>
      </c>
      <c r="N149" t="n">
        <v>0</v>
      </c>
      <c r="O149" t="n">
        <v>0</v>
      </c>
      <c r="P149" t="n">
        <v>162.6936412056705</v>
      </c>
      <c r="Q149" t="n">
        <v>0.0432</v>
      </c>
      <c r="R149" t="n">
        <v>777.5101857280951</v>
      </c>
      <c r="S149" t="n">
        <v>26787.18284019221</v>
      </c>
    </row>
    <row r="150">
      <c r="A150" s="1" t="n">
        <v>44936</v>
      </c>
      <c r="B150" t="inlineStr">
        <is>
          <t>SOXL</t>
        </is>
      </c>
      <c r="C150" t="inlineStr">
        <is>
          <t>SOXX</t>
        </is>
      </c>
      <c r="D150" t="n">
        <v>122.168212890625</v>
      </c>
      <c r="E150" t="n">
        <v>-11.71282577514648</v>
      </c>
      <c r="F150" t="n">
        <v>8941</v>
      </c>
      <c r="G150" t="n">
        <v>-33586</v>
      </c>
      <c r="H150">
        <f>D150*F150</f>
        <v/>
      </c>
      <c r="I150">
        <f>E150*G150</f>
        <v/>
      </c>
      <c r="J150">
        <f>H150-I150</f>
        <v/>
      </c>
      <c r="K150" t="n">
        <v>-0.0175</v>
      </c>
      <c r="L150" t="n">
        <v>13946.9564938427</v>
      </c>
      <c r="M150" t="n">
        <v>-13691.55638133019</v>
      </c>
      <c r="N150" t="n">
        <v>0</v>
      </c>
      <c r="O150" t="n">
        <v>0</v>
      </c>
      <c r="P150" t="n">
        <v>162.6936412056705</v>
      </c>
      <c r="Q150" t="n">
        <v>0.0432</v>
      </c>
      <c r="R150" t="n">
        <v>777.5101857280951</v>
      </c>
      <c r="S150" t="n">
        <v>-1089.02110134754</v>
      </c>
    </row>
    <row r="151">
      <c r="A151" s="1" t="n">
        <v>44936</v>
      </c>
      <c r="B151" t="inlineStr">
        <is>
          <t>SOXS</t>
        </is>
      </c>
      <c r="C151" t="inlineStr">
        <is>
          <t>SOXX</t>
        </is>
      </c>
      <c r="D151" t="n">
        <v>-0</v>
      </c>
      <c r="E151" t="n">
        <v>-28474.57578256968</v>
      </c>
      <c r="F151" t="n">
        <v>-6997</v>
      </c>
      <c r="G151" t="n">
        <v>-37</v>
      </c>
      <c r="H151">
        <f>D151*F151</f>
        <v/>
      </c>
      <c r="I151">
        <f>E151*G151</f>
        <v/>
      </c>
      <c r="J151">
        <f>H151-I151</f>
        <v/>
      </c>
      <c r="K151" t="n">
        <v>0.07000000000000001</v>
      </c>
      <c r="L151" t="n">
        <v>-10914.53468151408</v>
      </c>
      <c r="M151" t="n">
        <v>7559.028975305438</v>
      </c>
      <c r="N151" t="n">
        <v>310.2287871339392</v>
      </c>
      <c r="O151" t="n">
        <v>0</v>
      </c>
      <c r="P151" t="n">
        <v>-1845.242099978106</v>
      </c>
      <c r="Q151" t="n">
        <v>0.0432</v>
      </c>
      <c r="R151" t="n">
        <v>777.5101857280951</v>
      </c>
      <c r="S151" t="n">
        <v>-4443.244679070673</v>
      </c>
    </row>
    <row r="152">
      <c r="A152" s="1" t="n">
        <v>44936</v>
      </c>
      <c r="B152" t="inlineStr">
        <is>
          <t>HIBL</t>
        </is>
      </c>
      <c r="C152" t="inlineStr">
        <is>
          <t>SPHB</t>
        </is>
      </c>
      <c r="D152" t="n">
        <v>64.85751342773438</v>
      </c>
      <c r="E152" t="n">
        <v>-27.33147239685059</v>
      </c>
      <c r="F152" t="n">
        <v>6521</v>
      </c>
      <c r="G152" t="n">
        <v>-5410</v>
      </c>
      <c r="H152">
        <f>D152*F152</f>
        <v/>
      </c>
      <c r="I152">
        <f>E152*G152</f>
        <v/>
      </c>
      <c r="J152">
        <f>H152-I152</f>
        <v/>
      </c>
      <c r="K152" t="n">
        <v>0.12</v>
      </c>
      <c r="L152" t="n">
        <v>5785.098748573165</v>
      </c>
      <c r="M152" t="n">
        <v>-5254.404116806446</v>
      </c>
      <c r="N152" t="n">
        <v>395.659986587349</v>
      </c>
      <c r="O152" t="n">
        <v>0</v>
      </c>
      <c r="P152" t="n">
        <v>-1641.533257813295</v>
      </c>
      <c r="Q152" t="n">
        <v>0.0432</v>
      </c>
      <c r="R152" t="n">
        <v>777.5101857280951</v>
      </c>
      <c r="S152" t="n">
        <v>-861.9808775456431</v>
      </c>
    </row>
    <row r="153">
      <c r="A153" s="1" t="n">
        <v>44936</v>
      </c>
      <c r="B153" t="inlineStr">
        <is>
          <t>TSLL</t>
        </is>
      </c>
      <c r="C153" t="inlineStr">
        <is>
          <t>TSLA</t>
        </is>
      </c>
      <c r="D153" t="n">
        <v>118.8499984741211</v>
      </c>
      <c r="E153" t="n">
        <v>-5.073600769042969</v>
      </c>
      <c r="F153" t="n">
        <v>16893</v>
      </c>
      <c r="G153" t="n">
        <v>-207812</v>
      </c>
      <c r="H153">
        <f>D153*F153</f>
        <v/>
      </c>
      <c r="I153">
        <f>E153*G153</f>
        <v/>
      </c>
      <c r="J153">
        <f>H153-I153</f>
        <v/>
      </c>
      <c r="K153" t="n">
        <v>0.01</v>
      </c>
      <c r="L153" t="n">
        <v>-15542.18349105534</v>
      </c>
      <c r="M153" t="n">
        <v>10221.72399092761</v>
      </c>
      <c r="N153" t="n">
        <v>235.108052896741</v>
      </c>
      <c r="O153" t="n">
        <v>0</v>
      </c>
      <c r="P153" t="n">
        <v>-857.8337912169105</v>
      </c>
      <c r="Q153" t="n">
        <v>0.0432</v>
      </c>
      <c r="R153" t="n">
        <v>777.5101857280951</v>
      </c>
      <c r="S153" t="n">
        <v>-7375.098932338344</v>
      </c>
    </row>
    <row r="154">
      <c r="A154" s="1" t="n">
        <v>44936</v>
      </c>
      <c r="B154" t="inlineStr">
        <is>
          <t>TSLQ</t>
        </is>
      </c>
      <c r="C154" t="inlineStr">
        <is>
          <t>TSLA</t>
        </is>
      </c>
      <c r="D154" t="n">
        <v>-0</v>
      </c>
      <c r="E154" t="n">
        <v>-3554.556657576403</v>
      </c>
      <c r="F154" t="n">
        <v>-6277</v>
      </c>
      <c r="G154" t="n">
        <v>-302</v>
      </c>
      <c r="H154">
        <f>D154*F154</f>
        <v/>
      </c>
      <c r="I154">
        <f>E154*G154</f>
        <v/>
      </c>
      <c r="J154">
        <f>H154-I154</f>
        <v/>
      </c>
      <c r="K154" t="n">
        <v>-0.02</v>
      </c>
      <c r="L154" t="n">
        <v>5775.071673080824</v>
      </c>
      <c r="M154" t="n">
        <v>-2537.590675984397</v>
      </c>
      <c r="N154" t="n">
        <v>0</v>
      </c>
      <c r="O154" t="n">
        <v>0</v>
      </c>
      <c r="P154" t="n">
        <v>162.6936412056705</v>
      </c>
      <c r="Q154" t="n">
        <v>0.0432</v>
      </c>
      <c r="R154" t="n">
        <v>777.5101857280951</v>
      </c>
      <c r="S154" t="n">
        <v>2459.970811368331</v>
      </c>
    </row>
    <row r="155">
      <c r="A155" s="1" t="n">
        <v>44936</v>
      </c>
      <c r="B155" t="inlineStr">
        <is>
          <t>LABU</t>
        </is>
      </c>
      <c r="C155" t="inlineStr">
        <is>
          <t>XBI</t>
        </is>
      </c>
      <c r="D155" t="n">
        <v>83.13392639160156</v>
      </c>
      <c r="E155" t="n">
        <v>-140.6387023925781</v>
      </c>
      <c r="F155" t="n">
        <v>3382</v>
      </c>
      <c r="G155" t="n">
        <v>-676</v>
      </c>
      <c r="H155">
        <f>D155*F155</f>
        <v/>
      </c>
      <c r="I155">
        <f>E155*G155</f>
        <v/>
      </c>
      <c r="J155">
        <f>H155-I155</f>
        <v/>
      </c>
      <c r="K155" t="n">
        <v>0.1</v>
      </c>
      <c r="L155" t="n">
        <v>7771.067734812077</v>
      </c>
      <c r="M155" t="n">
        <v>-6537.607979586445</v>
      </c>
      <c r="N155" t="n">
        <v>211.9981830932772</v>
      </c>
      <c r="O155" t="n">
        <v>0</v>
      </c>
      <c r="P155" t="n">
        <v>-912.9905117235363</v>
      </c>
      <c r="Q155" t="n">
        <v>0.0432</v>
      </c>
      <c r="R155" t="n">
        <v>777.5101857280951</v>
      </c>
      <c r="S155" t="n">
        <v>98.02881117731067</v>
      </c>
    </row>
    <row r="156">
      <c r="A156" s="1" t="n">
        <v>44936</v>
      </c>
      <c r="B156" t="inlineStr">
        <is>
          <t>ERX</t>
        </is>
      </c>
      <c r="C156" t="inlineStr">
        <is>
          <t>XLE</t>
        </is>
      </c>
      <c r="D156" t="n">
        <v>39.43497467041016</v>
      </c>
      <c r="E156" t="n">
        <v>-61.25088882446289</v>
      </c>
      <c r="F156" t="n">
        <v>1856</v>
      </c>
      <c r="G156" t="n">
        <v>-604</v>
      </c>
      <c r="H156">
        <f>D156*F156</f>
        <v/>
      </c>
      <c r="I156">
        <f>E156*G156</f>
        <v/>
      </c>
      <c r="J156">
        <f>H156-I156</f>
        <v/>
      </c>
      <c r="K156" t="n">
        <v>0.12</v>
      </c>
      <c r="L156" t="n">
        <v>516.463885029286</v>
      </c>
      <c r="M156" t="n">
        <v>-471.2430916593708</v>
      </c>
      <c r="N156" t="n">
        <v>98.99452408160717</v>
      </c>
      <c r="O156" t="n">
        <v>0</v>
      </c>
      <c r="P156" t="n">
        <v>-284.3686300616858</v>
      </c>
      <c r="Q156" t="n">
        <v>0.0432</v>
      </c>
      <c r="R156" t="n">
        <v>777.5101857280951</v>
      </c>
      <c r="S156" t="n">
        <v>-869.2704905509852</v>
      </c>
    </row>
    <row r="157">
      <c r="A157" s="1" t="n">
        <v>44936</v>
      </c>
      <c r="B157" t="inlineStr">
        <is>
          <t>GUSH</t>
        </is>
      </c>
      <c r="C157" t="inlineStr">
        <is>
          <t>XOP</t>
        </is>
      </c>
      <c r="D157" t="n">
        <v>123.0254516601562</v>
      </c>
      <c r="E157" t="n">
        <v>-32.02928161621094</v>
      </c>
      <c r="F157" t="n">
        <v>3057</v>
      </c>
      <c r="G157" t="n">
        <v>-6059</v>
      </c>
      <c r="H157">
        <f>D157*F157</f>
        <v/>
      </c>
      <c r="I157">
        <f>E157*G157</f>
        <v/>
      </c>
      <c r="J157">
        <f>H157-I157</f>
        <v/>
      </c>
      <c r="K157" t="n">
        <v>-0.01</v>
      </c>
      <c r="L157" t="n">
        <v>1269.201024303324</v>
      </c>
      <c r="M157" t="n">
        <v>-975.8201158282793</v>
      </c>
      <c r="N157" t="n">
        <v>0</v>
      </c>
      <c r="O157" t="n">
        <v>0</v>
      </c>
      <c r="P157" t="n">
        <v>162.6936412056705</v>
      </c>
      <c r="Q157" t="n">
        <v>0.0432</v>
      </c>
      <c r="R157" t="n">
        <v>777.5101857280951</v>
      </c>
      <c r="S157" t="n">
        <v>-679.3208199072423</v>
      </c>
    </row>
    <row r="158">
      <c r="A158" s="1" t="n">
        <v>44937</v>
      </c>
      <c r="B158" t="inlineStr">
        <is>
          <t>AAPB</t>
        </is>
      </c>
      <c r="C158" t="inlineStr">
        <is>
          <t>AAPL</t>
        </is>
      </c>
      <c r="D158" t="n">
        <v>131.3831634521484</v>
      </c>
      <c r="E158" t="n">
        <v>-12.97246074676514</v>
      </c>
      <c r="F158" t="n">
        <v>9028</v>
      </c>
      <c r="G158" t="n">
        <v>-47878</v>
      </c>
      <c r="H158">
        <f>D158*F158</f>
        <v/>
      </c>
      <c r="I158">
        <f>E158*G158</f>
        <v/>
      </c>
      <c r="J158">
        <f>H158-I158</f>
        <v/>
      </c>
      <c r="K158" t="n">
        <v>-0.005</v>
      </c>
      <c r="L158" t="n">
        <v>24525.51973821007</v>
      </c>
      <c r="M158" t="n">
        <v>-18308.69674530705</v>
      </c>
      <c r="N158" t="n">
        <v>0</v>
      </c>
      <c r="O158" t="n">
        <v>0</v>
      </c>
      <c r="P158" t="n">
        <v>162.6936412056705</v>
      </c>
      <c r="Q158" t="n">
        <v>0.0432</v>
      </c>
      <c r="R158" t="n">
        <v>476.2601307307756</v>
      </c>
      <c r="S158" t="n">
        <v>5369.399320567503</v>
      </c>
    </row>
    <row r="159">
      <c r="A159" s="1" t="n">
        <v>44937</v>
      </c>
      <c r="B159" t="inlineStr">
        <is>
          <t>AAPU</t>
        </is>
      </c>
      <c r="C159" t="inlineStr">
        <is>
          <t>AAPL</t>
        </is>
      </c>
      <c r="D159" t="n">
        <v>131.3831634521484</v>
      </c>
      <c r="E159" t="n">
        <v>-13.35663414001465</v>
      </c>
      <c r="F159" t="n">
        <v>7633</v>
      </c>
      <c r="G159" t="n">
        <v>-38936</v>
      </c>
      <c r="H159">
        <f>D159*F159</f>
        <v/>
      </c>
      <c r="I159">
        <f>E159*G159</f>
        <v/>
      </c>
      <c r="J159">
        <f>H159-I159</f>
        <v/>
      </c>
      <c r="K159" t="n">
        <v>0.02</v>
      </c>
      <c r="L159" t="n">
        <v>20735.85424919777</v>
      </c>
      <c r="M159" t="n">
        <v>-14239.62857599692</v>
      </c>
      <c r="N159" t="n">
        <v>139.5326473844569</v>
      </c>
      <c r="O159" t="n">
        <v>0</v>
      </c>
      <c r="P159" t="n">
        <v>-702.9180899348002</v>
      </c>
      <c r="Q159" t="n">
        <v>0.0432</v>
      </c>
      <c r="R159" t="n">
        <v>476.2601307307756</v>
      </c>
      <c r="S159" t="n">
        <v>5566.621274231721</v>
      </c>
    </row>
    <row r="160">
      <c r="A160" s="1" t="n">
        <v>44937</v>
      </c>
      <c r="B160" t="inlineStr">
        <is>
          <t>AMZU</t>
        </is>
      </c>
      <c r="C160" t="inlineStr">
        <is>
          <t>AMZN</t>
        </is>
      </c>
      <c r="D160" t="n">
        <v>95.08999633789062</v>
      </c>
      <c r="E160" t="n">
        <v>-13.40025806427002</v>
      </c>
      <c r="F160" t="n">
        <v>27599</v>
      </c>
      <c r="G160" t="n">
        <v>-103312</v>
      </c>
      <c r="H160">
        <f>D160*F160</f>
        <v/>
      </c>
      <c r="I160">
        <f>E160*G160</f>
        <v/>
      </c>
      <c r="J160">
        <f>H160-I160</f>
        <v/>
      </c>
      <c r="K160" t="n">
        <v>-0.0025</v>
      </c>
      <c r="L160" t="n">
        <v>144072.669486352</v>
      </c>
      <c r="M160" t="n">
        <v>-104932.779648234</v>
      </c>
      <c r="N160" t="n">
        <v>0</v>
      </c>
      <c r="O160" t="n">
        <v>0</v>
      </c>
      <c r="P160" t="n">
        <v>162.6936412056705</v>
      </c>
      <c r="Q160" t="n">
        <v>0.0432</v>
      </c>
      <c r="R160" t="n">
        <v>476.2601307307756</v>
      </c>
      <c r="S160" t="n">
        <v>37842.40459328407</v>
      </c>
    </row>
    <row r="161">
      <c r="A161" s="1" t="n">
        <v>44937</v>
      </c>
      <c r="B161" t="inlineStr">
        <is>
          <t>TARK</t>
        </is>
      </c>
      <c r="C161" t="inlineStr">
        <is>
          <t>ARKK</t>
        </is>
      </c>
      <c r="D161" t="n">
        <v>34.47250366210938</v>
      </c>
      <c r="E161" t="n">
        <v>-20.12460517883301</v>
      </c>
      <c r="F161" t="n">
        <v>20537</v>
      </c>
      <c r="G161" t="n">
        <v>-20077</v>
      </c>
      <c r="H161">
        <f>D161*F161</f>
        <v/>
      </c>
      <c r="I161">
        <f>E161*G161</f>
        <v/>
      </c>
      <c r="J161">
        <f>H161-I161</f>
        <v/>
      </c>
      <c r="K161" t="n">
        <v>-0.02</v>
      </c>
      <c r="L161" t="n">
        <v>23219.48264444538</v>
      </c>
      <c r="M161" t="n">
        <v>-26645.38832530331</v>
      </c>
      <c r="N161" t="n">
        <v>0</v>
      </c>
      <c r="O161" t="n">
        <v>0</v>
      </c>
      <c r="P161" t="n">
        <v>162.6936412056705</v>
      </c>
      <c r="Q161" t="n">
        <v>0.0432</v>
      </c>
      <c r="R161" t="n">
        <v>476.2601307307756</v>
      </c>
      <c r="S161" t="n">
        <v>-4123.701589495575</v>
      </c>
    </row>
    <row r="162">
      <c r="A162" s="1" t="n">
        <v>44937</v>
      </c>
      <c r="B162" t="inlineStr">
        <is>
          <t>CHAU</t>
        </is>
      </c>
      <c r="C162" t="inlineStr">
        <is>
          <t>ASHR</t>
        </is>
      </c>
      <c r="D162" t="n">
        <v>28.36589431762695</v>
      </c>
      <c r="E162" t="n">
        <v>-21.39776802062988</v>
      </c>
      <c r="F162" t="n">
        <v>5713</v>
      </c>
      <c r="G162" t="n">
        <v>-3898</v>
      </c>
      <c r="H162">
        <f>D162*F162</f>
        <v/>
      </c>
      <c r="I162">
        <f>E162*G162</f>
        <v/>
      </c>
      <c r="J162">
        <f>H162-I162</f>
        <v/>
      </c>
      <c r="K162" t="n">
        <v>-0.01</v>
      </c>
      <c r="L162" t="n">
        <v>430.7313151150405</v>
      </c>
      <c r="M162" t="n">
        <v>-439.6794057250318</v>
      </c>
      <c r="N162" t="n">
        <v>0</v>
      </c>
      <c r="O162" t="n">
        <v>0</v>
      </c>
      <c r="P162" t="n">
        <v>162.6936412056705</v>
      </c>
      <c r="Q162" t="n">
        <v>0.0432</v>
      </c>
      <c r="R162" t="n">
        <v>476.2601307307756</v>
      </c>
      <c r="S162" t="n">
        <v>-535.9183543424194</v>
      </c>
    </row>
    <row r="163">
      <c r="A163" s="1" t="n">
        <v>44937</v>
      </c>
      <c r="B163" t="inlineStr">
        <is>
          <t>BABX</t>
        </is>
      </c>
      <c r="C163" t="inlineStr">
        <is>
          <t>BABA</t>
        </is>
      </c>
      <c r="D163" t="n">
        <v>109.2339172363281</v>
      </c>
      <c r="E163" t="n">
        <v>-37.94800186157227</v>
      </c>
      <c r="F163" t="n">
        <v>5330</v>
      </c>
      <c r="G163" t="n">
        <v>-8035</v>
      </c>
      <c r="H163">
        <f>D163*F163</f>
        <v/>
      </c>
      <c r="I163">
        <f>E163*G163</f>
        <v/>
      </c>
      <c r="J163">
        <f>H163-I163</f>
        <v/>
      </c>
      <c r="K163" t="n">
        <v>-0.0275</v>
      </c>
      <c r="L163" t="n">
        <v>708.6930941927111</v>
      </c>
      <c r="M163" t="n">
        <v>-745.5951971919378</v>
      </c>
      <c r="N163" t="n">
        <v>0</v>
      </c>
      <c r="O163" t="n">
        <v>0</v>
      </c>
      <c r="P163" t="n">
        <v>162.6936412056705</v>
      </c>
      <c r="Q163" t="n">
        <v>0.0432</v>
      </c>
      <c r="R163" t="n">
        <v>476.2601307307756</v>
      </c>
      <c r="S163" t="n">
        <v>-695.3498116655297</v>
      </c>
    </row>
    <row r="164">
      <c r="A164" s="1" t="n">
        <v>44937</v>
      </c>
      <c r="B164" t="inlineStr">
        <is>
          <t>CONL</t>
        </is>
      </c>
      <c r="C164" t="inlineStr">
        <is>
          <t>COIN</t>
        </is>
      </c>
      <c r="D164" t="n">
        <v>43.79000091552734</v>
      </c>
      <c r="E164" t="n">
        <v>-6.104873657226562</v>
      </c>
      <c r="F164" t="n">
        <v>98778</v>
      </c>
      <c r="G164" t="n">
        <v>-394919</v>
      </c>
      <c r="H164">
        <f>D164*F164</f>
        <v/>
      </c>
      <c r="I164">
        <f>E164*G164</f>
        <v/>
      </c>
      <c r="J164">
        <f>H164-I164</f>
        <v/>
      </c>
      <c r="K164" t="n">
        <v>0.03</v>
      </c>
      <c r="L164" t="n">
        <v>55318.14489057309</v>
      </c>
      <c r="M164" t="n">
        <v>-33570.01403993361</v>
      </c>
      <c r="N164" t="n">
        <v>970.2942083735516</v>
      </c>
      <c r="O164" t="n">
        <v>0</v>
      </c>
      <c r="P164" t="n">
        <v>-5069.826542929953</v>
      </c>
      <c r="Q164" t="n">
        <v>0.0432</v>
      </c>
      <c r="R164" t="n">
        <v>476.2601307307756</v>
      </c>
      <c r="S164" t="n">
        <v>18948.04232952235</v>
      </c>
    </row>
    <row r="165">
      <c r="A165" s="1" t="n">
        <v>44937</v>
      </c>
      <c r="B165" t="inlineStr">
        <is>
          <t>MEXX</t>
        </is>
      </c>
      <c r="C165" t="inlineStr">
        <is>
          <t>EWW</t>
        </is>
      </c>
      <c r="D165" t="n">
        <v>50.45191955566406</v>
      </c>
      <c r="E165" t="n">
        <v>-21.49141502380371</v>
      </c>
      <c r="F165" t="n">
        <v>9067</v>
      </c>
      <c r="G165" t="n">
        <v>-7657</v>
      </c>
      <c r="H165">
        <f>D165*F165</f>
        <v/>
      </c>
      <c r="I165">
        <f>E165*G165</f>
        <v/>
      </c>
      <c r="J165">
        <f>H165-I165</f>
        <v/>
      </c>
      <c r="K165" t="n">
        <v>0.0075</v>
      </c>
      <c r="L165" t="n">
        <v>9857.401783076426</v>
      </c>
      <c r="M165" t="n">
        <v>-8213.202980511722</v>
      </c>
      <c r="N165" t="n">
        <v>16.55702851459348</v>
      </c>
      <c r="O165" t="n">
        <v>0</v>
      </c>
      <c r="P165" t="n">
        <v>61.3322441841509</v>
      </c>
      <c r="Q165" t="n">
        <v>0.0432</v>
      </c>
      <c r="R165" t="n">
        <v>476.2601307307756</v>
      </c>
      <c r="S165" t="n">
        <v>1008.2369160771</v>
      </c>
    </row>
    <row r="166">
      <c r="A166" s="1" t="n">
        <v>44937</v>
      </c>
      <c r="B166" t="inlineStr">
        <is>
          <t>KORU</t>
        </is>
      </c>
      <c r="C166" t="inlineStr">
        <is>
          <t>EWY</t>
        </is>
      </c>
      <c r="D166" t="n">
        <v>57.25946426391602</v>
      </c>
      <c r="E166" t="n">
        <v>-89.2266845703125</v>
      </c>
      <c r="F166" t="n">
        <v>12826</v>
      </c>
      <c r="G166" t="n">
        <v>-2951</v>
      </c>
      <c r="H166">
        <f>D166*F166</f>
        <v/>
      </c>
      <c r="I166">
        <f>E166*G166</f>
        <v/>
      </c>
      <c r="J166">
        <f>H166-I166</f>
        <v/>
      </c>
      <c r="K166" t="n">
        <v>0.0225</v>
      </c>
      <c r="L166" t="n">
        <v>1910.496077980579</v>
      </c>
      <c r="M166" t="n">
        <v>-1827.41777271947</v>
      </c>
      <c r="N166" t="n">
        <v>79.47745629894138</v>
      </c>
      <c r="O166" t="n">
        <v>0</v>
      </c>
      <c r="P166" t="n">
        <v>-341.3131848646128</v>
      </c>
      <c r="Q166" t="n">
        <v>0.0432</v>
      </c>
      <c r="R166" t="n">
        <v>476.2601307307756</v>
      </c>
      <c r="S166" t="n">
        <v>-702.4712069498648</v>
      </c>
    </row>
    <row r="167">
      <c r="A167" s="1" t="n">
        <v>44937</v>
      </c>
      <c r="B167" t="inlineStr">
        <is>
          <t>YINN</t>
        </is>
      </c>
      <c r="C167" t="inlineStr">
        <is>
          <t>FXI</t>
        </is>
      </c>
      <c r="D167" t="n">
        <v>29.64089965820312</v>
      </c>
      <c r="E167" t="n">
        <v>-60.72393035888672</v>
      </c>
      <c r="F167" t="n">
        <v>35048</v>
      </c>
      <c r="G167" t="n">
        <v>-5995</v>
      </c>
      <c r="H167">
        <f>D167*F167</f>
        <v/>
      </c>
      <c r="I167">
        <f>E167*G167</f>
        <v/>
      </c>
      <c r="J167">
        <f>H167-I167</f>
        <v/>
      </c>
      <c r="K167" t="n">
        <v>-0.02</v>
      </c>
      <c r="L167" t="n">
        <v>10418.34918481654</v>
      </c>
      <c r="M167" t="n">
        <v>-10030.09856321794</v>
      </c>
      <c r="N167" t="n">
        <v>0</v>
      </c>
      <c r="O167" t="n">
        <v>0</v>
      </c>
      <c r="P167" t="n">
        <v>162.6936412056705</v>
      </c>
      <c r="Q167" t="n">
        <v>0.0432</v>
      </c>
      <c r="R167" t="n">
        <v>476.2601307307756</v>
      </c>
      <c r="S167" t="n">
        <v>-413.0883229468214</v>
      </c>
    </row>
    <row r="168">
      <c r="A168" s="1" t="n">
        <v>44937</v>
      </c>
      <c r="B168" t="inlineStr">
        <is>
          <t>JNUG</t>
        </is>
      </c>
      <c r="C168" t="inlineStr">
        <is>
          <t>GDXJ</t>
        </is>
      </c>
      <c r="D168" t="n">
        <v>36.98801803588867</v>
      </c>
      <c r="E168" t="n">
        <v>-40.55373764038086</v>
      </c>
      <c r="F168" t="n">
        <v>13873</v>
      </c>
      <c r="G168" t="n">
        <v>-6362</v>
      </c>
      <c r="H168">
        <f>D168*F168</f>
        <v/>
      </c>
      <c r="I168">
        <f>E168*G168</f>
        <v/>
      </c>
      <c r="J168">
        <f>H168-I168</f>
        <v/>
      </c>
      <c r="K168" t="n">
        <v>-0.005</v>
      </c>
      <c r="L168" t="n">
        <v>-7611.990396097935</v>
      </c>
      <c r="M168" t="n">
        <v>6541.41312056263</v>
      </c>
      <c r="N168" t="n">
        <v>0</v>
      </c>
      <c r="O168" t="n">
        <v>0</v>
      </c>
      <c r="P168" t="n">
        <v>162.6936412056705</v>
      </c>
      <c r="Q168" t="n">
        <v>0.0432</v>
      </c>
      <c r="R168" t="n">
        <v>476.2601307307756</v>
      </c>
      <c r="S168" t="n">
        <v>-1707.407807293788</v>
      </c>
    </row>
    <row r="169">
      <c r="A169" s="1" t="n">
        <v>44937</v>
      </c>
      <c r="B169" t="inlineStr">
        <is>
          <t>GDXU</t>
        </is>
      </c>
      <c r="C169" t="inlineStr">
        <is>
          <t>GDX</t>
        </is>
      </c>
      <c r="D169" t="n">
        <v>30.47821617126465</v>
      </c>
      <c r="E169" t="n">
        <v>-55.5</v>
      </c>
      <c r="F169" t="n">
        <v>53188</v>
      </c>
      <c r="G169" t="n">
        <v>-9616</v>
      </c>
      <c r="H169">
        <f>D169*F169</f>
        <v/>
      </c>
      <c r="I169">
        <f>E169*G169</f>
        <v/>
      </c>
      <c r="J169">
        <f>H169-I169</f>
        <v/>
      </c>
      <c r="K169" t="n">
        <v>-0.005</v>
      </c>
      <c r="L169" t="n">
        <v>-13864.67843988382</v>
      </c>
      <c r="M169" t="n">
        <v>13657.20559306946</v>
      </c>
      <c r="N169" t="n">
        <v>0</v>
      </c>
      <c r="O169" t="n">
        <v>0</v>
      </c>
      <c r="P169" t="n">
        <v>162.6936412056705</v>
      </c>
      <c r="Q169" t="n">
        <v>0.0432</v>
      </c>
      <c r="R169" t="n">
        <v>476.2601307307756</v>
      </c>
      <c r="S169" t="n">
        <v>-1191.000724750259</v>
      </c>
    </row>
    <row r="170">
      <c r="A170" s="1" t="n">
        <v>44937</v>
      </c>
      <c r="B170" t="inlineStr">
        <is>
          <t>NUGT</t>
        </is>
      </c>
      <c r="C170" t="inlineStr">
        <is>
          <t>GDX</t>
        </is>
      </c>
      <c r="D170" t="n">
        <v>30.47821617126465</v>
      </c>
      <c r="E170" t="n">
        <v>-39.93342590332031</v>
      </c>
      <c r="F170" t="n">
        <v>15820</v>
      </c>
      <c r="G170" t="n">
        <v>-6136</v>
      </c>
      <c r="H170">
        <f>D170*F170</f>
        <v/>
      </c>
      <c r="I170">
        <f>E170*G170</f>
        <v/>
      </c>
      <c r="J170">
        <f>H170-I170</f>
        <v/>
      </c>
      <c r="K170" t="n">
        <v>-0.0175</v>
      </c>
      <c r="L170" t="n">
        <v>-4123.847727287397</v>
      </c>
      <c r="M170" t="n">
        <v>3738.43904729677</v>
      </c>
      <c r="N170" t="n">
        <v>0</v>
      </c>
      <c r="O170" t="n">
        <v>0</v>
      </c>
      <c r="P170" t="n">
        <v>162.6936412056705</v>
      </c>
      <c r="Q170" t="n">
        <v>0.0432</v>
      </c>
      <c r="R170" t="n">
        <v>476.2601307307756</v>
      </c>
      <c r="S170" t="n">
        <v>-1012.548252715557</v>
      </c>
    </row>
    <row r="171">
      <c r="A171" s="1" t="n">
        <v>44937</v>
      </c>
      <c r="B171" t="inlineStr">
        <is>
          <t>GGLL</t>
        </is>
      </c>
      <c r="C171" t="inlineStr">
        <is>
          <t>GOOGL</t>
        </is>
      </c>
      <c r="D171" t="n">
        <v>90.76979827880859</v>
      </c>
      <c r="E171" t="n">
        <v>-16.86269187927246</v>
      </c>
      <c r="F171" t="n">
        <v>20098</v>
      </c>
      <c r="G171" t="n">
        <v>-54856</v>
      </c>
      <c r="H171">
        <f>D171*F171</f>
        <v/>
      </c>
      <c r="I171">
        <f>E171*G171</f>
        <v/>
      </c>
      <c r="J171">
        <f>H171-I171</f>
        <v/>
      </c>
      <c r="K171" t="n">
        <v>-0</v>
      </c>
      <c r="L171" t="n">
        <v>61796.07055242568</v>
      </c>
      <c r="M171" t="n">
        <v>-45166.46887333179</v>
      </c>
      <c r="N171" t="n">
        <v>0</v>
      </c>
      <c r="O171" t="n">
        <v>0</v>
      </c>
      <c r="P171" t="n">
        <v>162.6936412056705</v>
      </c>
      <c r="Q171" t="n">
        <v>0.0432</v>
      </c>
      <c r="R171" t="n">
        <v>476.2601307307756</v>
      </c>
      <c r="S171" t="n">
        <v>15582.48333071101</v>
      </c>
    </row>
    <row r="172">
      <c r="A172" s="1" t="n">
        <v>44937</v>
      </c>
      <c r="B172" t="inlineStr">
        <is>
          <t>CWEB</t>
        </is>
      </c>
      <c r="C172" t="inlineStr">
        <is>
          <t>KWEB</t>
        </is>
      </c>
      <c r="D172" t="n">
        <v>31.23021125793457</v>
      </c>
      <c r="E172" t="n">
        <v>-60.36240005493164</v>
      </c>
      <c r="F172" t="n">
        <v>14605</v>
      </c>
      <c r="G172" t="n">
        <v>-3828</v>
      </c>
      <c r="H172">
        <f>D172*F172</f>
        <v/>
      </c>
      <c r="I172">
        <f>E172*G172</f>
        <v/>
      </c>
      <c r="J172">
        <f>H172-I172</f>
        <v/>
      </c>
      <c r="K172" t="n">
        <v>-0.02</v>
      </c>
      <c r="L172" t="n">
        <v>-2355.254591241758</v>
      </c>
      <c r="M172" t="n">
        <v>2447.640610735362</v>
      </c>
      <c r="N172" t="n">
        <v>0</v>
      </c>
      <c r="O172" t="n">
        <v>0</v>
      </c>
      <c r="P172" t="n">
        <v>162.6936412056705</v>
      </c>
      <c r="Q172" t="n">
        <v>0.0432</v>
      </c>
      <c r="R172" t="n">
        <v>476.2601307307756</v>
      </c>
      <c r="S172" t="n">
        <v>-526.6025543053075</v>
      </c>
    </row>
    <row r="173">
      <c r="A173" s="1" t="n">
        <v>44937</v>
      </c>
      <c r="B173" t="inlineStr">
        <is>
          <t>FBL</t>
        </is>
      </c>
      <c r="C173" t="inlineStr">
        <is>
          <t>META</t>
        </is>
      </c>
      <c r="D173" t="n">
        <v>131.8552703857422</v>
      </c>
      <c r="E173" t="n">
        <v>-3.994081497192383</v>
      </c>
      <c r="F173" t="n">
        <v>25964</v>
      </c>
      <c r="G173" t="n">
        <v>-441819</v>
      </c>
      <c r="H173">
        <f>D173*F173</f>
        <v/>
      </c>
      <c r="I173">
        <f>E173*G173</f>
        <v/>
      </c>
      <c r="J173">
        <f>H173-I173</f>
        <v/>
      </c>
      <c r="K173" t="n">
        <v>-0.01</v>
      </c>
      <c r="L173" t="n">
        <v>-2576.06562178316</v>
      </c>
      <c r="M173" t="n">
        <v>-1574.763144264398</v>
      </c>
      <c r="N173" t="n">
        <v>0</v>
      </c>
      <c r="O173" t="n">
        <v>0</v>
      </c>
      <c r="P173" t="n">
        <v>162.6936412056705</v>
      </c>
      <c r="Q173" t="n">
        <v>0.0432</v>
      </c>
      <c r="R173" t="n">
        <v>476.2601307307756</v>
      </c>
      <c r="S173" t="n">
        <v>-5698.369247331408</v>
      </c>
    </row>
    <row r="174">
      <c r="A174" s="1" t="n">
        <v>44937</v>
      </c>
      <c r="B174" t="inlineStr">
        <is>
          <t>MSFU</t>
        </is>
      </c>
      <c r="C174" t="inlineStr">
        <is>
          <t>MSFT</t>
        </is>
      </c>
      <c r="D174" t="n">
        <v>229.740234375</v>
      </c>
      <c r="E174" t="n">
        <v>-18.25510215759277</v>
      </c>
      <c r="F174" t="n">
        <v>8314</v>
      </c>
      <c r="G174" t="n">
        <v>-53770</v>
      </c>
      <c r="H174">
        <f>D174*F174</f>
        <v/>
      </c>
      <c r="I174">
        <f>E174*G174</f>
        <v/>
      </c>
      <c r="J174">
        <f>H174-I174</f>
        <v/>
      </c>
      <c r="K174" t="n">
        <v>-0.005</v>
      </c>
      <c r="L174" t="n">
        <v>56063.63116759471</v>
      </c>
      <c r="M174" t="n">
        <v>-40354.06651545753</v>
      </c>
      <c r="N174" t="n">
        <v>0</v>
      </c>
      <c r="O174" t="n">
        <v>0</v>
      </c>
      <c r="P174" t="n">
        <v>162.6936412056705</v>
      </c>
      <c r="Q174" t="n">
        <v>0.0432</v>
      </c>
      <c r="R174" t="n">
        <v>476.2601307307756</v>
      </c>
      <c r="S174" t="n">
        <v>14635.60745398574</v>
      </c>
    </row>
    <row r="175">
      <c r="A175" s="1" t="n">
        <v>44937</v>
      </c>
      <c r="B175" t="inlineStr">
        <is>
          <t>NVDL</t>
        </is>
      </c>
      <c r="C175" t="inlineStr">
        <is>
          <t>NVDA</t>
        </is>
      </c>
      <c r="D175" t="n">
        <v>15.984130859375</v>
      </c>
      <c r="E175" t="n">
        <v>-3.231164216995239</v>
      </c>
      <c r="F175" t="n">
        <v>307781</v>
      </c>
      <c r="G175" t="n">
        <v>-799366</v>
      </c>
      <c r="H175">
        <f>D175*F175</f>
        <v/>
      </c>
      <c r="I175">
        <f>E175*G175</f>
        <v/>
      </c>
      <c r="J175">
        <f>H175-I175</f>
        <v/>
      </c>
      <c r="K175" t="n">
        <v>-0</v>
      </c>
      <c r="L175" t="n">
        <v>28286.22547740988</v>
      </c>
      <c r="M175" t="n">
        <v>-34321.80585322074</v>
      </c>
      <c r="N175" t="n">
        <v>0</v>
      </c>
      <c r="O175" t="n">
        <v>0</v>
      </c>
      <c r="P175" t="n">
        <v>162.6936412056705</v>
      </c>
      <c r="Q175" t="n">
        <v>0.0432</v>
      </c>
      <c r="R175" t="n">
        <v>476.2601307307756</v>
      </c>
      <c r="S175" t="n">
        <v>-8051.287989190238</v>
      </c>
    </row>
    <row r="176">
      <c r="A176" s="1" t="n">
        <v>44937</v>
      </c>
      <c r="B176" t="inlineStr">
        <is>
          <t>SOXL</t>
        </is>
      </c>
      <c r="C176" t="inlineStr">
        <is>
          <t>SOXX</t>
        </is>
      </c>
      <c r="D176" t="n">
        <v>123.7443161010742</v>
      </c>
      <c r="E176" t="n">
        <v>-12.13358783721924</v>
      </c>
      <c r="F176" t="n">
        <v>8941</v>
      </c>
      <c r="G176" t="n">
        <v>-33586</v>
      </c>
      <c r="H176">
        <f>D176*F176</f>
        <v/>
      </c>
      <c r="I176">
        <f>E176*G176</f>
        <v/>
      </c>
      <c r="J176">
        <f>H176-I176</f>
        <v/>
      </c>
      <c r="K176" t="n">
        <v>-0.0175</v>
      </c>
      <c r="L176" t="n">
        <v>14092.53218830861</v>
      </c>
      <c r="M176" t="n">
        <v>-13380.45839599889</v>
      </c>
      <c r="N176" t="n">
        <v>0</v>
      </c>
      <c r="O176" t="n">
        <v>0</v>
      </c>
      <c r="P176" t="n">
        <v>162.6936412056705</v>
      </c>
      <c r="Q176" t="n">
        <v>0.0432</v>
      </c>
      <c r="R176" t="n">
        <v>476.2601307307756</v>
      </c>
      <c r="S176" t="n">
        <v>-110.40095548903</v>
      </c>
    </row>
    <row r="177">
      <c r="A177" s="1" t="n">
        <v>44937</v>
      </c>
      <c r="B177" t="inlineStr">
        <is>
          <t>SOXS</t>
        </is>
      </c>
      <c r="C177" t="inlineStr">
        <is>
          <t>SOXX</t>
        </is>
      </c>
      <c r="D177" t="n">
        <v>-0</v>
      </c>
      <c r="E177" t="n">
        <v>-28570.78299919335</v>
      </c>
      <c r="F177" t="n">
        <v>-6997</v>
      </c>
      <c r="G177" t="n">
        <v>-37</v>
      </c>
      <c r="H177">
        <f>D177*F177</f>
        <v/>
      </c>
      <c r="I177">
        <f>E177*G177</f>
        <v/>
      </c>
      <c r="J177">
        <f>H177-I177</f>
        <v/>
      </c>
      <c r="K177" t="n">
        <v>0.07000000000000001</v>
      </c>
      <c r="L177" t="n">
        <v>-11028.45853054416</v>
      </c>
      <c r="M177" t="n">
        <v>7071.303334894144</v>
      </c>
      <c r="N177" t="n">
        <v>179.6242874895382</v>
      </c>
      <c r="O177" t="n">
        <v>0</v>
      </c>
      <c r="P177" t="n">
        <v>-1665.617812488568</v>
      </c>
      <c r="Q177" t="n">
        <v>0.0432</v>
      </c>
      <c r="R177" t="n">
        <v>476.2601307307756</v>
      </c>
      <c r="S177" t="n">
        <v>-4613.039613870328</v>
      </c>
    </row>
    <row r="178">
      <c r="A178" s="1" t="n">
        <v>44937</v>
      </c>
      <c r="B178" t="inlineStr">
        <is>
          <t>HIBL</t>
        </is>
      </c>
      <c r="C178" t="inlineStr">
        <is>
          <t>SPHB</t>
        </is>
      </c>
      <c r="D178" t="n">
        <v>65.94935607910156</v>
      </c>
      <c r="E178" t="n">
        <v>-28.65442657470703</v>
      </c>
      <c r="F178" t="n">
        <v>6521</v>
      </c>
      <c r="G178" t="n">
        <v>-5410</v>
      </c>
      <c r="H178">
        <f>D178*F178</f>
        <v/>
      </c>
      <c r="I178">
        <f>E178*G178</f>
        <v/>
      </c>
      <c r="J178">
        <f>H178-I178</f>
        <v/>
      </c>
      <c r="K178" t="n">
        <v>0.12</v>
      </c>
      <c r="L178" t="n">
        <v>7120.205734727485</v>
      </c>
      <c r="M178" t="n">
        <v>-6776.699073546069</v>
      </c>
      <c r="N178" t="n">
        <v>249.555823232716</v>
      </c>
      <c r="O178" t="n">
        <v>0</v>
      </c>
      <c r="P178" t="n">
        <v>-1391.977434580579</v>
      </c>
      <c r="Q178" t="n">
        <v>0.0432</v>
      </c>
      <c r="R178" t="n">
        <v>476.2601307307756</v>
      </c>
      <c r="S178" t="n">
        <v>-516.8825625572309</v>
      </c>
    </row>
    <row r="179">
      <c r="A179" s="1" t="n">
        <v>44937</v>
      </c>
      <c r="B179" t="inlineStr">
        <is>
          <t>TSLL</t>
        </is>
      </c>
      <c r="C179" t="inlineStr">
        <is>
          <t>TSLA</t>
        </is>
      </c>
      <c r="D179" t="n">
        <v>123.2200012207031</v>
      </c>
      <c r="E179" t="n">
        <v>-5.341999530792236</v>
      </c>
      <c r="F179" t="n">
        <v>16893</v>
      </c>
      <c r="G179" t="n">
        <v>-207812</v>
      </c>
      <c r="H179">
        <f>D179*F179</f>
        <v/>
      </c>
      <c r="I179">
        <f>E179*G179</f>
        <v/>
      </c>
      <c r="J179">
        <f>H179-I179</f>
        <v/>
      </c>
      <c r="K179" t="n">
        <v>0.01</v>
      </c>
      <c r="L179" t="n">
        <v>73825.56491569612</v>
      </c>
      <c r="M179" t="n">
        <v>-52811.34928583595</v>
      </c>
      <c r="N179" t="n">
        <v>148.9264862269151</v>
      </c>
      <c r="O179" t="n">
        <v>0</v>
      </c>
      <c r="P179" t="n">
        <v>-708.9073049899954</v>
      </c>
      <c r="Q179" t="n">
        <v>0.0432</v>
      </c>
      <c r="R179" t="n">
        <v>476.2601307307756</v>
      </c>
      <c r="S179" t="n">
        <v>19737.66758685579</v>
      </c>
    </row>
    <row r="180">
      <c r="A180" s="1" t="n">
        <v>44937</v>
      </c>
      <c r="B180" t="inlineStr">
        <is>
          <t>TSLQ</t>
        </is>
      </c>
      <c r="C180" t="inlineStr">
        <is>
          <t>TSLA</t>
        </is>
      </c>
      <c r="D180" t="n">
        <v>-0</v>
      </c>
      <c r="E180" t="n">
        <v>-3604.510297257379</v>
      </c>
      <c r="F180" t="n">
        <v>-6277</v>
      </c>
      <c r="G180" t="n">
        <v>-302</v>
      </c>
      <c r="H180">
        <f>D180*F180</f>
        <v/>
      </c>
      <c r="I180">
        <f>E180*G180</f>
        <v/>
      </c>
      <c r="J180">
        <f>H180-I180</f>
        <v/>
      </c>
      <c r="K180" t="n">
        <v>-0.02</v>
      </c>
      <c r="L180" t="n">
        <v>-27431.66228472293</v>
      </c>
      <c r="M180" t="n">
        <v>11688.26154151715</v>
      </c>
      <c r="N180" t="n">
        <v>0</v>
      </c>
      <c r="O180" t="n">
        <v>0</v>
      </c>
      <c r="P180" t="n">
        <v>162.6936412056705</v>
      </c>
      <c r="Q180" t="n">
        <v>0.0432</v>
      </c>
      <c r="R180" t="n">
        <v>476.2601307307756</v>
      </c>
      <c r="S180" t="n">
        <v>-16219.66087393656</v>
      </c>
    </row>
    <row r="181">
      <c r="A181" s="1" t="n">
        <v>44937</v>
      </c>
      <c r="B181" t="inlineStr">
        <is>
          <t>LABU</t>
        </is>
      </c>
      <c r="C181" t="inlineStr">
        <is>
          <t>XBI</t>
        </is>
      </c>
      <c r="D181" t="n">
        <v>83.92966461181641</v>
      </c>
      <c r="E181" t="n">
        <v>-144.17431640625</v>
      </c>
      <c r="F181" t="n">
        <v>3382</v>
      </c>
      <c r="G181" t="n">
        <v>-676</v>
      </c>
      <c r="H181">
        <f>D181*F181</f>
        <v/>
      </c>
      <c r="I181">
        <f>E181*G181</f>
        <v/>
      </c>
      <c r="J181">
        <f>H181-I181</f>
        <v/>
      </c>
      <c r="K181" t="n">
        <v>0.1</v>
      </c>
      <c r="L181" t="n">
        <v>2691.299981316189</v>
      </c>
      <c r="M181" t="n">
        <v>-2263.016268589789</v>
      </c>
      <c r="N181" t="n">
        <v>130.7471021757596</v>
      </c>
      <c r="O181" t="n">
        <v>0</v>
      </c>
      <c r="P181" t="n">
        <v>-782.2434095477767</v>
      </c>
      <c r="Q181" t="n">
        <v>0.0432</v>
      </c>
      <c r="R181" t="n">
        <v>476.2601307307756</v>
      </c>
      <c r="S181" t="n">
        <v>-267.5460494818619</v>
      </c>
    </row>
    <row r="182">
      <c r="A182" s="1" t="n">
        <v>44937</v>
      </c>
      <c r="B182" t="inlineStr">
        <is>
          <t>ERX</t>
        </is>
      </c>
      <c r="C182" t="inlineStr">
        <is>
          <t>XLE</t>
        </is>
      </c>
      <c r="D182" t="n">
        <v>39.55613708496094</v>
      </c>
      <c r="E182" t="n">
        <v>-61.54386520385742</v>
      </c>
      <c r="F182" t="n">
        <v>1856</v>
      </c>
      <c r="G182" t="n">
        <v>-604</v>
      </c>
      <c r="H182">
        <f>D182*F182</f>
        <v/>
      </c>
      <c r="I182">
        <f>E182*G182</f>
        <v/>
      </c>
      <c r="J182">
        <f>H182-I182</f>
        <v/>
      </c>
      <c r="K182" t="n">
        <v>0.12</v>
      </c>
      <c r="L182" t="n">
        <v>224.8869105507064</v>
      </c>
      <c r="M182" t="n">
        <v>-167.5504813485688</v>
      </c>
      <c r="N182" t="n">
        <v>59.84121850247845</v>
      </c>
      <c r="O182" t="n">
        <v>0</v>
      </c>
      <c r="P182" t="n">
        <v>-224.5274115592073</v>
      </c>
      <c r="Q182" t="n">
        <v>0.0432</v>
      </c>
      <c r="R182" t="n">
        <v>476.2601307307756</v>
      </c>
      <c r="S182" t="n">
        <v>-501.7383526099691</v>
      </c>
    </row>
    <row r="183">
      <c r="A183" s="1" t="n">
        <v>44937</v>
      </c>
      <c r="B183" t="inlineStr">
        <is>
          <t>GUSH</t>
        </is>
      </c>
      <c r="C183" t="inlineStr">
        <is>
          <t>XOP</t>
        </is>
      </c>
      <c r="D183" t="n">
        <v>123.9849243164062</v>
      </c>
      <c r="E183" t="n">
        <v>-32.53498458862305</v>
      </c>
      <c r="F183" t="n">
        <v>3057</v>
      </c>
      <c r="G183" t="n">
        <v>-6059</v>
      </c>
      <c r="H183">
        <f>D183*F183</f>
        <v/>
      </c>
      <c r="I183">
        <f>E183*G183</f>
        <v/>
      </c>
      <c r="J183">
        <f>H183-I183</f>
        <v/>
      </c>
      <c r="K183" t="n">
        <v>-0.01</v>
      </c>
      <c r="L183" t="n">
        <v>2933.231417531351</v>
      </c>
      <c r="M183" t="n">
        <v>-2901.166088316925</v>
      </c>
      <c r="N183" t="n">
        <v>0</v>
      </c>
      <c r="O183" t="n">
        <v>0</v>
      </c>
      <c r="P183" t="n">
        <v>162.6936412056705</v>
      </c>
      <c r="Q183" t="n">
        <v>0.0432</v>
      </c>
      <c r="R183" t="n">
        <v>476.2601307307756</v>
      </c>
      <c r="S183" t="n">
        <v>-562.7985363035219</v>
      </c>
    </row>
    <row r="184">
      <c r="A184" s="1" t="n">
        <v>44938</v>
      </c>
      <c r="B184" t="inlineStr">
        <is>
          <t>AAPB</t>
        </is>
      </c>
      <c r="C184" t="inlineStr">
        <is>
          <t>AAPL</t>
        </is>
      </c>
      <c r="D184" t="n">
        <v>131.3043975830078</v>
      </c>
      <c r="E184" t="n">
        <v>-12.98376846313477</v>
      </c>
      <c r="F184" t="n">
        <v>9028</v>
      </c>
      <c r="G184" t="n">
        <v>-47878</v>
      </c>
      <c r="H184">
        <f>D184*F184</f>
        <v/>
      </c>
      <c r="I184">
        <f>E184*G184</f>
        <v/>
      </c>
      <c r="J184">
        <f>H184-I184</f>
        <v/>
      </c>
      <c r="K184" t="n">
        <v>-0.005</v>
      </c>
      <c r="L184" t="n">
        <v>-711.1282095436694</v>
      </c>
      <c r="M184" t="n">
        <v>-512.6099603041043</v>
      </c>
      <c r="N184" t="n">
        <v>0</v>
      </c>
      <c r="O184" t="n">
        <v>0</v>
      </c>
      <c r="P184" t="n">
        <v>162.6936412056705</v>
      </c>
      <c r="Q184" t="n">
        <v>0.0432</v>
      </c>
      <c r="R184" t="n">
        <v>713.261352231797</v>
      </c>
      <c r="S184" t="n">
        <v>-2479.977132672848</v>
      </c>
    </row>
    <row r="185">
      <c r="A185" s="1" t="n">
        <v>44938</v>
      </c>
      <c r="B185" t="inlineStr">
        <is>
          <t>AAPU</t>
        </is>
      </c>
      <c r="C185" t="inlineStr">
        <is>
          <t>AAPL</t>
        </is>
      </c>
      <c r="D185" t="n">
        <v>131.3043975830078</v>
      </c>
      <c r="E185" t="n">
        <v>-13.35663414001465</v>
      </c>
      <c r="F185" t="n">
        <v>7633</v>
      </c>
      <c r="G185" t="n">
        <v>-38936</v>
      </c>
      <c r="H185">
        <f>D185*F185</f>
        <v/>
      </c>
      <c r="I185">
        <f>E185*G185</f>
        <v/>
      </c>
      <c r="J185">
        <f>H185-I185</f>
        <v/>
      </c>
      <c r="K185" t="n">
        <v>0.02</v>
      </c>
      <c r="L185" t="n">
        <v>-601.2451953308405</v>
      </c>
      <c r="M185" t="n">
        <v>0</v>
      </c>
      <c r="N185" t="n">
        <v>193.7429576535058</v>
      </c>
      <c r="O185" t="n">
        <v>0</v>
      </c>
      <c r="P185" t="n">
        <v>-509.1751322812944</v>
      </c>
      <c r="Q185" t="n">
        <v>0.0432</v>
      </c>
      <c r="R185" t="n">
        <v>713.261352231797</v>
      </c>
      <c r="S185" t="n">
        <v>-1967.326609963428</v>
      </c>
    </row>
    <row r="186">
      <c r="A186" s="1" t="n">
        <v>44938</v>
      </c>
      <c r="B186" t="inlineStr">
        <is>
          <t>AMZU</t>
        </is>
      </c>
      <c r="C186" t="inlineStr">
        <is>
          <t>AMZN</t>
        </is>
      </c>
      <c r="D186" t="n">
        <v>95.26999664306641</v>
      </c>
      <c r="E186" t="n">
        <v>-13.4097728729248</v>
      </c>
      <c r="F186" t="n">
        <v>27599</v>
      </c>
      <c r="G186" t="n">
        <v>-103312</v>
      </c>
      <c r="H186">
        <f>D186*F186</f>
        <v/>
      </c>
      <c r="I186">
        <f>E186*G186</f>
        <v/>
      </c>
      <c r="J186">
        <f>H186-I186</f>
        <v/>
      </c>
      <c r="K186" t="n">
        <v>-0.0025</v>
      </c>
      <c r="L186" t="n">
        <v>4968.037607979455</v>
      </c>
      <c r="M186" t="n">
        <v>-930.7369626602864</v>
      </c>
      <c r="N186" t="n">
        <v>0</v>
      </c>
      <c r="O186" t="n">
        <v>0</v>
      </c>
      <c r="P186" t="n">
        <v>162.6936412056705</v>
      </c>
      <c r="Q186" t="n">
        <v>0.0432</v>
      </c>
      <c r="R186" t="n">
        <v>713.261352231797</v>
      </c>
      <c r="S186" t="n">
        <v>2119.667441983229</v>
      </c>
    </row>
    <row r="187">
      <c r="A187" s="1" t="n">
        <v>44938</v>
      </c>
      <c r="B187" t="inlineStr">
        <is>
          <t>TARK</t>
        </is>
      </c>
      <c r="C187" t="inlineStr">
        <is>
          <t>ARKK</t>
        </is>
      </c>
      <c r="D187" t="n">
        <v>35.19646835327148</v>
      </c>
      <c r="E187" t="n">
        <v>-20.95856094360352</v>
      </c>
      <c r="F187" t="n">
        <v>20537</v>
      </c>
      <c r="G187" t="n">
        <v>-20077</v>
      </c>
      <c r="H187">
        <f>D187*F187</f>
        <v/>
      </c>
      <c r="I187">
        <f>E187*G187</f>
        <v/>
      </c>
      <c r="J187">
        <f>H187-I187</f>
        <v/>
      </c>
      <c r="K187" t="n">
        <v>-0.02</v>
      </c>
      <c r="L187" t="n">
        <v>14868.68892712799</v>
      </c>
      <c r="M187" t="n">
        <v>-15853.23756313926</v>
      </c>
      <c r="N187" t="n">
        <v>0</v>
      </c>
      <c r="O187" t="n">
        <v>0</v>
      </c>
      <c r="P187" t="n">
        <v>162.6936412056705</v>
      </c>
      <c r="Q187" t="n">
        <v>0.0432</v>
      </c>
      <c r="R187" t="n">
        <v>713.261352231797</v>
      </c>
      <c r="S187" t="n">
        <v>-2028.900847842037</v>
      </c>
    </row>
    <row r="188">
      <c r="A188" s="1" t="n">
        <v>44938</v>
      </c>
      <c r="B188" t="inlineStr">
        <is>
          <t>CHAU</t>
        </is>
      </c>
      <c r="C188" t="inlineStr">
        <is>
          <t>ASHR</t>
        </is>
      </c>
      <c r="D188" t="n">
        <v>28.63918685913086</v>
      </c>
      <c r="E188" t="n">
        <v>-21.77348899841309</v>
      </c>
      <c r="F188" t="n">
        <v>5713</v>
      </c>
      <c r="G188" t="n">
        <v>-3898</v>
      </c>
      <c r="H188">
        <f>D188*F188</f>
        <v/>
      </c>
      <c r="I188">
        <f>E188*G188</f>
        <v/>
      </c>
      <c r="J188">
        <f>H188-I188</f>
        <v/>
      </c>
      <c r="K188" t="n">
        <v>-0.01</v>
      </c>
      <c r="L188" t="n">
        <v>1561.386033722353</v>
      </c>
      <c r="M188" t="n">
        <v>-1386.702862982342</v>
      </c>
      <c r="N188" t="n">
        <v>0</v>
      </c>
      <c r="O188" t="n">
        <v>0</v>
      </c>
      <c r="P188" t="n">
        <v>162.6936412056705</v>
      </c>
      <c r="Q188" t="n">
        <v>0.0432</v>
      </c>
      <c r="R188" t="n">
        <v>713.261352231797</v>
      </c>
      <c r="S188" t="n">
        <v>-613.5220327744483</v>
      </c>
    </row>
    <row r="189">
      <c r="A189" s="1" t="n">
        <v>44938</v>
      </c>
      <c r="B189" t="inlineStr">
        <is>
          <t>BABX</t>
        </is>
      </c>
      <c r="C189" t="inlineStr">
        <is>
          <t>BABA</t>
        </is>
      </c>
      <c r="D189" t="n">
        <v>107.4579925537109</v>
      </c>
      <c r="E189" t="n">
        <v>-36.86000061035156</v>
      </c>
      <c r="F189" t="n">
        <v>5330</v>
      </c>
      <c r="G189" t="n">
        <v>-8035</v>
      </c>
      <c r="H189">
        <f>D189*F189</f>
        <v/>
      </c>
      <c r="I189">
        <f>E189*G189</f>
        <v/>
      </c>
      <c r="J189">
        <f>H189-I189</f>
        <v/>
      </c>
      <c r="K189" t="n">
        <v>-0.0275</v>
      </c>
      <c r="L189" t="n">
        <v>-9466.077139359277</v>
      </c>
      <c r="M189" t="n">
        <v>8277.351717593872</v>
      </c>
      <c r="N189" t="n">
        <v>0</v>
      </c>
      <c r="O189" t="n">
        <v>0</v>
      </c>
      <c r="P189" t="n">
        <v>162.6936412056705</v>
      </c>
      <c r="Q189" t="n">
        <v>0.0432</v>
      </c>
      <c r="R189" t="n">
        <v>713.261352231797</v>
      </c>
      <c r="S189" t="n">
        <v>-2164.334335794117</v>
      </c>
    </row>
    <row r="190">
      <c r="A190" s="1" t="n">
        <v>44938</v>
      </c>
      <c r="B190" t="inlineStr">
        <is>
          <t>CONL</t>
        </is>
      </c>
      <c r="C190" t="inlineStr">
        <is>
          <t>COIN</t>
        </is>
      </c>
      <c r="D190" t="n">
        <v>47.54999923706055</v>
      </c>
      <c r="E190" t="n">
        <v>-6.932822227478027</v>
      </c>
      <c r="F190" t="n">
        <v>98778</v>
      </c>
      <c r="G190" t="n">
        <v>-394919</v>
      </c>
      <c r="H190">
        <f>D190*F190</f>
        <v/>
      </c>
      <c r="I190">
        <f>E190*G190</f>
        <v/>
      </c>
      <c r="J190">
        <f>H190-I190</f>
        <v/>
      </c>
      <c r="K190" t="n">
        <v>0.03</v>
      </c>
      <c r="L190" t="n">
        <v>371420.7533394675</v>
      </c>
      <c r="M190" t="n">
        <v>-309590.4266480457</v>
      </c>
      <c r="N190" t="n">
        <v>1529.984086769595</v>
      </c>
      <c r="O190" t="n">
        <v>0</v>
      </c>
      <c r="P190" t="n">
        <v>-3539.842456160358</v>
      </c>
      <c r="Q190" t="n">
        <v>0.0432</v>
      </c>
      <c r="R190" t="n">
        <v>713.261352231797</v>
      </c>
      <c r="S190" t="n">
        <v>57435.67789022141</v>
      </c>
    </row>
    <row r="191">
      <c r="A191" s="1" t="n">
        <v>44938</v>
      </c>
      <c r="B191" t="inlineStr">
        <is>
          <t>MEXX</t>
        </is>
      </c>
      <c r="C191" t="inlineStr">
        <is>
          <t>EWW</t>
        </is>
      </c>
      <c r="D191" t="n">
        <v>51.17667388916016</v>
      </c>
      <c r="E191" t="n">
        <v>-22.51949882507324</v>
      </c>
      <c r="F191" t="n">
        <v>9067</v>
      </c>
      <c r="G191" t="n">
        <v>-7657</v>
      </c>
      <c r="H191">
        <f>D191*F191</f>
        <v/>
      </c>
      <c r="I191">
        <f>E191*G191</f>
        <v/>
      </c>
      <c r="J191">
        <f>H191-I191</f>
        <v/>
      </c>
      <c r="K191" t="n">
        <v>0.0075</v>
      </c>
      <c r="L191" t="n">
        <v>6571.624248261974</v>
      </c>
      <c r="M191" t="n">
        <v>-7453.552193935796</v>
      </c>
      <c r="N191" t="n">
        <v>24.08941191160052</v>
      </c>
      <c r="O191" t="n">
        <v>0</v>
      </c>
      <c r="P191" t="n">
        <v>85.42165609575142</v>
      </c>
      <c r="Q191" t="n">
        <v>0.0432</v>
      </c>
      <c r="R191" t="n">
        <v>713.261352231797</v>
      </c>
      <c r="S191" t="n">
        <v>-1831.821693220245</v>
      </c>
    </row>
    <row r="192">
      <c r="A192" s="1" t="n">
        <v>44938</v>
      </c>
      <c r="B192" t="inlineStr">
        <is>
          <t>KORU</t>
        </is>
      </c>
      <c r="C192" t="inlineStr">
        <is>
          <t>EWY</t>
        </is>
      </c>
      <c r="D192" t="n">
        <v>57.67836380004883</v>
      </c>
      <c r="E192" t="n">
        <v>-91.18872833251953</v>
      </c>
      <c r="F192" t="n">
        <v>12826</v>
      </c>
      <c r="G192" t="n">
        <v>-2951</v>
      </c>
      <c r="H192">
        <f>D192*F192</f>
        <v/>
      </c>
      <c r="I192">
        <f>E192*G192</f>
        <v/>
      </c>
      <c r="J192">
        <f>H192-I192</f>
        <v/>
      </c>
      <c r="K192" t="n">
        <v>0.0225</v>
      </c>
      <c r="L192" t="n">
        <v>5373.031688654493</v>
      </c>
      <c r="M192" t="n">
        <v>-5482.189365784302</v>
      </c>
      <c r="N192" t="n">
        <v>112.7821717737388</v>
      </c>
      <c r="O192" t="n">
        <v>0</v>
      </c>
      <c r="P192" t="n">
        <v>-228.531013090874</v>
      </c>
      <c r="Q192" t="n">
        <v>0.0432</v>
      </c>
      <c r="R192" t="n">
        <v>713.261352231797</v>
      </c>
      <c r="S192" t="n">
        <v>-1274.057269593456</v>
      </c>
    </row>
    <row r="193">
      <c r="A193" s="1" t="n">
        <v>44938</v>
      </c>
      <c r="B193" t="inlineStr">
        <is>
          <t>YINN</t>
        </is>
      </c>
      <c r="C193" t="inlineStr">
        <is>
          <t>FXI</t>
        </is>
      </c>
      <c r="D193" t="n">
        <v>29.39010047912598</v>
      </c>
      <c r="E193" t="n">
        <v>-59.12520599365234</v>
      </c>
      <c r="F193" t="n">
        <v>35048</v>
      </c>
      <c r="G193" t="n">
        <v>-5995</v>
      </c>
      <c r="H193">
        <f>D193*F193</f>
        <v/>
      </c>
      <c r="I193">
        <f>E193*G193</f>
        <v/>
      </c>
      <c r="J193">
        <f>H193-I193</f>
        <v/>
      </c>
      <c r="K193" t="n">
        <v>-0.02</v>
      </c>
      <c r="L193" t="n">
        <v>-8790.379758222774</v>
      </c>
      <c r="M193" t="n">
        <v>9074.838707655208</v>
      </c>
      <c r="N193" t="n">
        <v>0</v>
      </c>
      <c r="O193" t="n">
        <v>0</v>
      </c>
      <c r="P193" t="n">
        <v>162.6936412056705</v>
      </c>
      <c r="Q193" t="n">
        <v>0.0432</v>
      </c>
      <c r="R193" t="n">
        <v>713.261352231797</v>
      </c>
      <c r="S193" t="n">
        <v>-900.6213868730547</v>
      </c>
    </row>
    <row r="194">
      <c r="A194" s="1" t="n">
        <v>44938</v>
      </c>
      <c r="B194" t="inlineStr">
        <is>
          <t>JNUG</t>
        </is>
      </c>
      <c r="C194" t="inlineStr">
        <is>
          <t>GDXJ</t>
        </is>
      </c>
      <c r="D194" t="n">
        <v>37.74480438232422</v>
      </c>
      <c r="E194" t="n">
        <v>-41.99539566040039</v>
      </c>
      <c r="F194" t="n">
        <v>13873</v>
      </c>
      <c r="G194" t="n">
        <v>-6362</v>
      </c>
      <c r="H194">
        <f>D194*F194</f>
        <v/>
      </c>
      <c r="I194">
        <f>E194*G194</f>
        <v/>
      </c>
      <c r="J194">
        <f>H194-I194</f>
        <v/>
      </c>
      <c r="K194" t="n">
        <v>-0.005</v>
      </c>
      <c r="L194" t="n">
        <v>10499.33907189516</v>
      </c>
      <c r="M194" t="n">
        <v>-8684.244666980259</v>
      </c>
      <c r="N194" t="n">
        <v>0</v>
      </c>
      <c r="O194" t="n">
        <v>0</v>
      </c>
      <c r="P194" t="n">
        <v>162.6936412056705</v>
      </c>
      <c r="Q194" t="n">
        <v>0.0432</v>
      </c>
      <c r="R194" t="n">
        <v>713.261352231797</v>
      </c>
      <c r="S194" t="n">
        <v>861.9836367005346</v>
      </c>
    </row>
    <row r="195">
      <c r="A195" s="1" t="n">
        <v>44938</v>
      </c>
      <c r="B195" t="inlineStr">
        <is>
          <t>GDXU</t>
        </is>
      </c>
      <c r="C195" t="inlineStr">
        <is>
          <t>GDX</t>
        </is>
      </c>
      <c r="D195" t="n">
        <v>31.0671215057373</v>
      </c>
      <c r="E195" t="n">
        <v>-58.45999908447266</v>
      </c>
      <c r="F195" t="n">
        <v>53188</v>
      </c>
      <c r="G195" t="n">
        <v>-9616</v>
      </c>
      <c r="H195">
        <f>D195*F195</f>
        <v/>
      </c>
      <c r="I195">
        <f>E195*G195</f>
        <v/>
      </c>
      <c r="J195">
        <f>H195-I195</f>
        <v/>
      </c>
      <c r="K195" t="n">
        <v>-0.005</v>
      </c>
      <c r="L195" t="n">
        <v>31324.01586677181</v>
      </c>
      <c r="M195" t="n">
        <v>-26950.21070129364</v>
      </c>
      <c r="N195" t="n">
        <v>0</v>
      </c>
      <c r="O195" t="n">
        <v>0</v>
      </c>
      <c r="P195" t="n">
        <v>162.6936412056705</v>
      </c>
      <c r="Q195" t="n">
        <v>0.0432</v>
      </c>
      <c r="R195" t="n">
        <v>713.261352231797</v>
      </c>
      <c r="S195" t="n">
        <v>2903.665997440462</v>
      </c>
    </row>
    <row r="196">
      <c r="A196" s="1" t="n">
        <v>44938</v>
      </c>
      <c r="B196" t="inlineStr">
        <is>
          <t>NUGT</t>
        </is>
      </c>
      <c r="C196" t="inlineStr">
        <is>
          <t>GDX</t>
        </is>
      </c>
      <c r="D196" t="n">
        <v>31.0671215057373</v>
      </c>
      <c r="E196" t="n">
        <v>-41.39323043823242</v>
      </c>
      <c r="F196" t="n">
        <v>15820</v>
      </c>
      <c r="G196" t="n">
        <v>-6136</v>
      </c>
      <c r="H196">
        <f>D196*F196</f>
        <v/>
      </c>
      <c r="I196">
        <f>E196*G196</f>
        <v/>
      </c>
      <c r="J196">
        <f>H196-I196</f>
        <v/>
      </c>
      <c r="K196" t="n">
        <v>-0.0175</v>
      </c>
      <c r="L196" t="n">
        <v>9316.874690011471</v>
      </c>
      <c r="M196" t="n">
        <v>-8481.17828920976</v>
      </c>
      <c r="N196" t="n">
        <v>0</v>
      </c>
      <c r="O196" t="n">
        <v>0</v>
      </c>
      <c r="P196" t="n">
        <v>162.6936412056705</v>
      </c>
      <c r="Q196" t="n">
        <v>0.0432</v>
      </c>
      <c r="R196" t="n">
        <v>713.261352231797</v>
      </c>
      <c r="S196" t="n">
        <v>-102.6872919213549</v>
      </c>
    </row>
    <row r="197">
      <c r="A197" s="1" t="n">
        <v>44938</v>
      </c>
      <c r="B197" t="inlineStr">
        <is>
          <t>GGLL</t>
        </is>
      </c>
      <c r="C197" t="inlineStr">
        <is>
          <t>GOOGL</t>
        </is>
      </c>
      <c r="D197" t="n">
        <v>90.38298034667969</v>
      </c>
      <c r="E197" t="n">
        <v>-16.74775886535645</v>
      </c>
      <c r="F197" t="n">
        <v>20098</v>
      </c>
      <c r="G197" t="n">
        <v>-54856</v>
      </c>
      <c r="H197">
        <f>D197*F197</f>
        <v/>
      </c>
      <c r="I197">
        <f>E197*G197</f>
        <v/>
      </c>
      <c r="J197">
        <f>H197-I197</f>
        <v/>
      </c>
      <c r="K197" t="n">
        <v>-0</v>
      </c>
      <c r="L197" t="n">
        <v>-7774.594158931339</v>
      </c>
      <c r="M197" t="n">
        <v>5969.597714867458</v>
      </c>
      <c r="N197" t="n">
        <v>0</v>
      </c>
      <c r="O197" t="n">
        <v>0</v>
      </c>
      <c r="P197" t="n">
        <v>162.6936412056705</v>
      </c>
      <c r="Q197" t="n">
        <v>0.0432</v>
      </c>
      <c r="R197" t="n">
        <v>713.261352231797</v>
      </c>
      <c r="S197" t="n">
        <v>-3350.310047477636</v>
      </c>
    </row>
    <row r="198">
      <c r="A198" s="1" t="n">
        <v>44938</v>
      </c>
      <c r="B198" t="inlineStr">
        <is>
          <t>CWEB</t>
        </is>
      </c>
      <c r="C198" t="inlineStr">
        <is>
          <t>KWEB</t>
        </is>
      </c>
      <c r="D198" t="n">
        <v>30.8001880645752</v>
      </c>
      <c r="E198" t="n">
        <v>-58.57962036132812</v>
      </c>
      <c r="F198" t="n">
        <v>14605</v>
      </c>
      <c r="G198" t="n">
        <v>-3828</v>
      </c>
      <c r="H198">
        <f>D198*F198</f>
        <v/>
      </c>
      <c r="I198">
        <f>E198*G198</f>
        <v/>
      </c>
      <c r="J198">
        <f>H198-I198</f>
        <v/>
      </c>
      <c r="K198" t="n">
        <v>-0.02</v>
      </c>
      <c r="L198" t="n">
        <v>-6280.753197977429</v>
      </c>
      <c r="M198" t="n">
        <v>6461.684382744541</v>
      </c>
      <c r="N198" t="n">
        <v>0</v>
      </c>
      <c r="O198" t="n">
        <v>0</v>
      </c>
      <c r="P198" t="n">
        <v>162.6936412056705</v>
      </c>
      <c r="Q198" t="n">
        <v>0.0432</v>
      </c>
      <c r="R198" t="n">
        <v>713.261352231797</v>
      </c>
      <c r="S198" t="n">
        <v>-738.3770412896946</v>
      </c>
    </row>
    <row r="199">
      <c r="A199" s="1" t="n">
        <v>44938</v>
      </c>
      <c r="B199" t="inlineStr">
        <is>
          <t>FBL</t>
        </is>
      </c>
      <c r="C199" t="inlineStr">
        <is>
          <t>META</t>
        </is>
      </c>
      <c r="D199" t="n">
        <v>135.6455383300781</v>
      </c>
      <c r="E199" t="n">
        <v>-4.174374103546143</v>
      </c>
      <c r="F199" t="n">
        <v>25964</v>
      </c>
      <c r="G199" t="n">
        <v>-441819</v>
      </c>
      <c r="H199">
        <f>D199*F199</f>
        <v/>
      </c>
      <c r="I199">
        <f>E199*G199</f>
        <v/>
      </c>
      <c r="J199">
        <f>H199-I199</f>
        <v/>
      </c>
      <c r="K199" t="n">
        <v>-0.01</v>
      </c>
      <c r="L199" t="n">
        <v>98414.66077903955</v>
      </c>
      <c r="M199" t="n">
        <v>-75422.0684792594</v>
      </c>
      <c r="N199" t="n">
        <v>0</v>
      </c>
      <c r="O199" t="n">
        <v>0</v>
      </c>
      <c r="P199" t="n">
        <v>162.6936412056705</v>
      </c>
      <c r="Q199" t="n">
        <v>0.0432</v>
      </c>
      <c r="R199" t="n">
        <v>713.261352231797</v>
      </c>
      <c r="S199" t="n">
        <v>20666.13094489356</v>
      </c>
    </row>
    <row r="200">
      <c r="A200" s="1" t="n">
        <v>44938</v>
      </c>
      <c r="B200" t="inlineStr">
        <is>
          <t>MSFU</t>
        </is>
      </c>
      <c r="C200" t="inlineStr">
        <is>
          <t>MSFT</t>
        </is>
      </c>
      <c r="D200" t="n">
        <v>232.4101715087891</v>
      </c>
      <c r="E200" t="n">
        <v>-18.59044647216797</v>
      </c>
      <c r="F200" t="n">
        <v>8314</v>
      </c>
      <c r="G200" t="n">
        <v>-53770</v>
      </c>
      <c r="H200">
        <f>D200*F200</f>
        <v/>
      </c>
      <c r="I200">
        <f>E200*G200</f>
        <v/>
      </c>
      <c r="J200">
        <f>H200-I200</f>
        <v/>
      </c>
      <c r="K200" t="n">
        <v>-0.005</v>
      </c>
      <c r="L200" t="n">
        <v>22198.79203820746</v>
      </c>
      <c r="M200" t="n">
        <v>-17072.89296924009</v>
      </c>
      <c r="N200" t="n">
        <v>0</v>
      </c>
      <c r="O200" t="n">
        <v>0</v>
      </c>
      <c r="P200" t="n">
        <v>162.6936412056705</v>
      </c>
      <c r="Q200" t="n">
        <v>0.0432</v>
      </c>
      <c r="R200" t="n">
        <v>713.261352231797</v>
      </c>
      <c r="S200" t="n">
        <v>3527.570506359446</v>
      </c>
    </row>
    <row r="201">
      <c r="A201" s="1" t="n">
        <v>44938</v>
      </c>
      <c r="B201" t="inlineStr">
        <is>
          <t>NVDL</t>
        </is>
      </c>
      <c r="C201" t="inlineStr">
        <is>
          <t>NVDA</t>
        </is>
      </c>
      <c r="D201" t="n">
        <v>16.49359512329102</v>
      </c>
      <c r="E201" t="n">
        <v>-3.365260601043701</v>
      </c>
      <c r="F201" t="n">
        <v>307781</v>
      </c>
      <c r="G201" t="n">
        <v>-799366</v>
      </c>
      <c r="H201">
        <f>D201*F201</f>
        <v/>
      </c>
      <c r="I201">
        <f>E201*G201</f>
        <v/>
      </c>
      <c r="J201">
        <f>H201-I201</f>
        <v/>
      </c>
      <c r="K201" t="n">
        <v>-0</v>
      </c>
      <c r="L201" t="n">
        <v>156810.0232943639</v>
      </c>
      <c r="M201" t="n">
        <v>-101493.6503656241</v>
      </c>
      <c r="N201" t="n">
        <v>0</v>
      </c>
      <c r="O201" t="n">
        <v>0</v>
      </c>
      <c r="P201" t="n">
        <v>162.6936412056705</v>
      </c>
      <c r="Q201" t="n">
        <v>0.0432</v>
      </c>
      <c r="R201" t="n">
        <v>713.261352231797</v>
      </c>
      <c r="S201" t="n">
        <v>52277.86916347153</v>
      </c>
    </row>
    <row r="202">
      <c r="A202" s="1" t="n">
        <v>44938</v>
      </c>
      <c r="B202" t="inlineStr">
        <is>
          <t>SOXL</t>
        </is>
      </c>
      <c r="C202" t="inlineStr">
        <is>
          <t>SOXX</t>
        </is>
      </c>
      <c r="D202" t="n">
        <v>125.2487945556641</v>
      </c>
      <c r="E202" t="n">
        <v>-12.54456520080566</v>
      </c>
      <c r="F202" t="n">
        <v>8941</v>
      </c>
      <c r="G202" t="n">
        <v>-33586</v>
      </c>
      <c r="H202">
        <f>D202*F202</f>
        <v/>
      </c>
      <c r="I202">
        <f>E202*G202</f>
        <v/>
      </c>
      <c r="J202">
        <f>H202-I202</f>
        <v/>
      </c>
      <c r="K202" t="n">
        <v>-0.0175</v>
      </c>
      <c r="L202" t="n">
        <v>13452.10828032082</v>
      </c>
      <c r="M202" t="n">
        <v>-13069.29975596193</v>
      </c>
      <c r="N202" t="n">
        <v>0</v>
      </c>
      <c r="O202" t="n">
        <v>0</v>
      </c>
      <c r="P202" t="n">
        <v>162.6936412056705</v>
      </c>
      <c r="Q202" t="n">
        <v>0.0432</v>
      </c>
      <c r="R202" t="n">
        <v>713.261352231797</v>
      </c>
      <c r="S202" t="n">
        <v>-843.3977675354399</v>
      </c>
    </row>
    <row r="203">
      <c r="A203" s="1" t="n">
        <v>44938</v>
      </c>
      <c r="B203" t="inlineStr">
        <is>
          <t>SOXS</t>
        </is>
      </c>
      <c r="C203" t="inlineStr">
        <is>
          <t>SOXX</t>
        </is>
      </c>
      <c r="D203" t="n">
        <v>-0</v>
      </c>
      <c r="E203" t="n">
        <v>-28686.50447577399</v>
      </c>
      <c r="F203" t="n">
        <v>-6997</v>
      </c>
      <c r="G203" t="n">
        <v>-37</v>
      </c>
      <c r="H203">
        <f>D203*F203</f>
        <v/>
      </c>
      <c r="I203">
        <f>E203*G203</f>
        <v/>
      </c>
      <c r="J203">
        <f>H203-I203</f>
        <v/>
      </c>
      <c r="K203" t="n">
        <v>0.07000000000000001</v>
      </c>
      <c r="L203" t="n">
        <v>-10527.27901100601</v>
      </c>
      <c r="M203" t="n">
        <v>5913.143104673651</v>
      </c>
      <c r="N203" t="n">
        <v>241.2676749184325</v>
      </c>
      <c r="O203" t="n">
        <v>0</v>
      </c>
      <c r="P203" t="n">
        <v>-1424.350137570136</v>
      </c>
      <c r="Q203" t="n">
        <v>0.0432</v>
      </c>
      <c r="R203" t="n">
        <v>713.261352231797</v>
      </c>
      <c r="S203" t="n">
        <v>-5568.664933482592</v>
      </c>
    </row>
    <row r="204">
      <c r="A204" s="1" t="n">
        <v>44938</v>
      </c>
      <c r="B204" t="inlineStr">
        <is>
          <t>HIBL</t>
        </is>
      </c>
      <c r="C204" t="inlineStr">
        <is>
          <t>SPHB</t>
        </is>
      </c>
      <c r="D204" t="n">
        <v>66.57328033447266</v>
      </c>
      <c r="E204" t="n">
        <v>-29.56515884399414</v>
      </c>
      <c r="F204" t="n">
        <v>6521</v>
      </c>
      <c r="G204" t="n">
        <v>-5410</v>
      </c>
      <c r="H204">
        <f>D204*F204</f>
        <v/>
      </c>
      <c r="I204">
        <f>E204*G204</f>
        <v/>
      </c>
      <c r="J204">
        <f>H204-I204</f>
        <v/>
      </c>
      <c r="K204" t="n">
        <v>0.12</v>
      </c>
      <c r="L204" t="n">
        <v>4068.781390400943</v>
      </c>
      <c r="M204" t="n">
        <v>-4665.134007533378</v>
      </c>
      <c r="N204" t="n">
        <v>357.5249002494598</v>
      </c>
      <c r="O204" t="n">
        <v>0</v>
      </c>
      <c r="P204" t="n">
        <v>-1034.452534331119</v>
      </c>
      <c r="Q204" t="n">
        <v>0.0432</v>
      </c>
      <c r="R204" t="n">
        <v>713.261352231797</v>
      </c>
      <c r="S204" t="n">
        <v>-1865.988714824158</v>
      </c>
    </row>
    <row r="205">
      <c r="A205" s="1" t="n">
        <v>44938</v>
      </c>
      <c r="B205" t="inlineStr">
        <is>
          <t>TSLL</t>
        </is>
      </c>
      <c r="C205" t="inlineStr">
        <is>
          <t>TSLA</t>
        </is>
      </c>
      <c r="D205" t="n">
        <v>123.5599975585938</v>
      </c>
      <c r="E205" t="n">
        <v>-5.359314918518066</v>
      </c>
      <c r="F205" t="n">
        <v>16893</v>
      </c>
      <c r="G205" t="n">
        <v>-207812</v>
      </c>
      <c r="H205">
        <f>D205*F205</f>
        <v/>
      </c>
      <c r="I205">
        <f>E205*G205</f>
        <v/>
      </c>
      <c r="J205">
        <f>H205-I205</f>
        <v/>
      </c>
      <c r="K205" t="n">
        <v>0.01</v>
      </c>
      <c r="L205" t="n">
        <v>5743.799985863948</v>
      </c>
      <c r="M205" t="n">
        <v>-3407.05368105516</v>
      </c>
      <c r="N205" t="n">
        <v>207.4567002048887</v>
      </c>
      <c r="O205" t="n">
        <v>0</v>
      </c>
      <c r="P205" t="n">
        <v>-501.4506047851067</v>
      </c>
      <c r="Q205" t="n">
        <v>0.0432</v>
      </c>
      <c r="R205" t="n">
        <v>713.261352231797</v>
      </c>
      <c r="S205" t="n">
        <v>459.9448624643046</v>
      </c>
    </row>
    <row r="206">
      <c r="A206" s="1" t="n">
        <v>44938</v>
      </c>
      <c r="B206" t="inlineStr">
        <is>
          <t>TSLQ</t>
        </is>
      </c>
      <c r="C206" t="inlineStr">
        <is>
          <t>TSLA</t>
        </is>
      </c>
      <c r="D206" t="n">
        <v>-0</v>
      </c>
      <c r="E206" t="n">
        <v>-3610.097916356775</v>
      </c>
      <c r="F206" t="n">
        <v>-6277</v>
      </c>
      <c r="G206" t="n">
        <v>-302</v>
      </c>
      <c r="H206">
        <f>D206*F206</f>
        <v/>
      </c>
      <c r="I206">
        <f>E206*G206</f>
        <v/>
      </c>
      <c r="J206">
        <f>H206-I206</f>
        <v/>
      </c>
      <c r="K206" t="n">
        <v>-0.02</v>
      </c>
      <c r="L206" t="n">
        <v>-2134.246878071864</v>
      </c>
      <c r="M206" t="n">
        <v>422.9492320513755</v>
      </c>
      <c r="N206" t="n">
        <v>0</v>
      </c>
      <c r="O206" t="n">
        <v>0</v>
      </c>
      <c r="P206" t="n">
        <v>162.6936412056705</v>
      </c>
      <c r="Q206" t="n">
        <v>0.0432</v>
      </c>
      <c r="R206" t="n">
        <v>713.261352231797</v>
      </c>
      <c r="S206" t="n">
        <v>-2424.558998252286</v>
      </c>
    </row>
    <row r="207">
      <c r="A207" s="1" t="n">
        <v>44938</v>
      </c>
      <c r="B207" t="inlineStr">
        <is>
          <t>LABU</t>
        </is>
      </c>
      <c r="C207" t="inlineStr">
        <is>
          <t>XBI</t>
        </is>
      </c>
      <c r="D207" t="n">
        <v>87.45078277587891</v>
      </c>
      <c r="E207" t="n">
        <v>-162.0487670898438</v>
      </c>
      <c r="F207" t="n">
        <v>3382</v>
      </c>
      <c r="G207" t="n">
        <v>-676</v>
      </c>
      <c r="H207">
        <f>D207*F207</f>
        <v/>
      </c>
      <c r="I207">
        <f>E207*G207</f>
        <v/>
      </c>
      <c r="J207">
        <f>H207-I207</f>
        <v/>
      </c>
      <c r="K207" t="n">
        <v>0.1</v>
      </c>
      <c r="L207" t="n">
        <v>11908.92307095032</v>
      </c>
      <c r="M207" t="n">
        <v>-11440.77733956864</v>
      </c>
      <c r="N207" t="n">
        <v>204.0515947999359</v>
      </c>
      <c r="O207" t="n">
        <v>0</v>
      </c>
      <c r="P207" t="n">
        <v>-578.1918147478408</v>
      </c>
      <c r="Q207" t="n">
        <v>0.0432</v>
      </c>
      <c r="R207" t="n">
        <v>713.261352231797</v>
      </c>
      <c r="S207" t="n">
        <v>-584.6388607244685</v>
      </c>
    </row>
    <row r="208">
      <c r="A208" s="1" t="n">
        <v>44938</v>
      </c>
      <c r="B208" t="inlineStr">
        <is>
          <t>ERX</t>
        </is>
      </c>
      <c r="C208" t="inlineStr">
        <is>
          <t>XLE</t>
        </is>
      </c>
      <c r="D208" t="n">
        <v>40.31010055541992</v>
      </c>
      <c r="E208" t="n">
        <v>-63.88769912719727</v>
      </c>
      <c r="F208" t="n">
        <v>1856</v>
      </c>
      <c r="G208" t="n">
        <v>-604</v>
      </c>
      <c r="H208">
        <f>D208*F208</f>
        <v/>
      </c>
      <c r="I208">
        <f>E208*G208</f>
        <v/>
      </c>
      <c r="J208">
        <f>H208-I208</f>
        <v/>
      </c>
      <c r="K208" t="n">
        <v>0.12</v>
      </c>
      <c r="L208" t="n">
        <v>1399.415125294864</v>
      </c>
      <c r="M208" t="n">
        <v>-1340.416940329033</v>
      </c>
      <c r="N208" t="n">
        <v>86.25474559755</v>
      </c>
      <c r="O208" t="n">
        <v>0</v>
      </c>
      <c r="P208" t="n">
        <v>-138.2726659616573</v>
      </c>
      <c r="Q208" t="n">
        <v>0.0432</v>
      </c>
      <c r="R208" t="n">
        <v>713.261352231797</v>
      </c>
      <c r="S208" t="n">
        <v>-774.7870329620051</v>
      </c>
    </row>
    <row r="209">
      <c r="A209" s="1" t="n">
        <v>44938</v>
      </c>
      <c r="B209" t="inlineStr">
        <is>
          <t>GUSH</t>
        </is>
      </c>
      <c r="C209" t="inlineStr">
        <is>
          <t>XOP</t>
        </is>
      </c>
      <c r="D209" t="n">
        <v>127.6475601196289</v>
      </c>
      <c r="E209" t="n">
        <v>-34.44286727905273</v>
      </c>
      <c r="F209" t="n">
        <v>3057</v>
      </c>
      <c r="G209" t="n">
        <v>-6059</v>
      </c>
      <c r="H209">
        <f>D209*F209</f>
        <v/>
      </c>
      <c r="I209">
        <f>E209*G209</f>
        <v/>
      </c>
      <c r="J209">
        <f>H209-I209</f>
        <v/>
      </c>
      <c r="K209" t="n">
        <v>-0.01</v>
      </c>
      <c r="L209" t="n">
        <v>11197.14912041077</v>
      </c>
      <c r="M209" t="n">
        <v>-10945.32732437807</v>
      </c>
      <c r="N209" t="n">
        <v>0</v>
      </c>
      <c r="O209" t="n">
        <v>0</v>
      </c>
      <c r="P209" t="n">
        <v>162.6936412056705</v>
      </c>
      <c r="Q209" t="n">
        <v>0.0432</v>
      </c>
      <c r="R209" t="n">
        <v>713.261352231797</v>
      </c>
      <c r="S209" t="n">
        <v>-640.1784463312887</v>
      </c>
    </row>
    <row r="210">
      <c r="A210" s="1" t="n">
        <v>44939</v>
      </c>
      <c r="B210" t="inlineStr">
        <is>
          <t>AAPB</t>
        </is>
      </c>
      <c r="C210" t="inlineStr">
        <is>
          <t>AAPL</t>
        </is>
      </c>
      <c r="D210" t="n">
        <v>132.6330718994141</v>
      </c>
      <c r="E210" t="n">
        <v>-13.19863128662109</v>
      </c>
      <c r="F210" t="n">
        <v>9028</v>
      </c>
      <c r="G210" t="n">
        <v>-47878</v>
      </c>
      <c r="H210">
        <f>D210*F210</f>
        <v/>
      </c>
      <c r="I210">
        <f>E210*G210</f>
        <v/>
      </c>
      <c r="J210">
        <f>H210-I210</f>
        <v/>
      </c>
      <c r="K210" t="n">
        <v>-0.005</v>
      </c>
      <c r="L210" t="n">
        <v>11995.77682569248</v>
      </c>
      <c r="M210" t="n">
        <v>-9740.324201443424</v>
      </c>
      <c r="N210" t="n">
        <v>0</v>
      </c>
      <c r="O210" t="n">
        <v>1</v>
      </c>
      <c r="P210" t="n">
        <v>162.6936412056705</v>
      </c>
      <c r="Q210" t="n">
        <v>0.0432</v>
      </c>
      <c r="R210" t="n">
        <v>104.4487880972691</v>
      </c>
      <c r="S210" t="n">
        <v>1620.260839317583</v>
      </c>
    </row>
    <row r="211">
      <c r="A211" s="1" t="n">
        <v>44939</v>
      </c>
      <c r="B211" t="inlineStr">
        <is>
          <t>AAPU</t>
        </is>
      </c>
      <c r="C211" t="inlineStr">
        <is>
          <t>AAPL</t>
        </is>
      </c>
      <c r="D211" t="n">
        <v>132.6330718994141</v>
      </c>
      <c r="E211" t="n">
        <v>-13.51885890960693</v>
      </c>
      <c r="F211" t="n">
        <v>7633</v>
      </c>
      <c r="G211" t="n">
        <v>-38936</v>
      </c>
      <c r="H211">
        <f>D211*F211</f>
        <v/>
      </c>
      <c r="I211">
        <f>E211*G211</f>
        <v/>
      </c>
      <c r="J211">
        <f>H211-I211</f>
        <v/>
      </c>
      <c r="K211" t="n">
        <v>0.02</v>
      </c>
      <c r="L211" t="n">
        <v>10142.19810705701</v>
      </c>
      <c r="M211" t="n">
        <v>-5980.598296161761</v>
      </c>
      <c r="N211" t="n">
        <v>185.9676390437629</v>
      </c>
      <c r="O211" t="n">
        <v>1</v>
      </c>
      <c r="P211" t="n">
        <v>-323.2074932375315</v>
      </c>
      <c r="Q211" t="n">
        <v>0.0432</v>
      </c>
      <c r="R211" t="n">
        <v>59.40257038367471</v>
      </c>
      <c r="S211" t="n">
        <v>3467.496626851565</v>
      </c>
    </row>
    <row r="212">
      <c r="A212" s="1" t="n">
        <v>44939</v>
      </c>
      <c r="B212" t="inlineStr">
        <is>
          <t>AMZU</t>
        </is>
      </c>
      <c r="C212" t="inlineStr">
        <is>
          <t>AMZN</t>
        </is>
      </c>
      <c r="D212" t="n">
        <v>98.12000274658203</v>
      </c>
      <c r="E212" t="n">
        <v>-14.0231237411499</v>
      </c>
      <c r="F212" t="n">
        <v>27599</v>
      </c>
      <c r="G212" t="n">
        <v>-103312</v>
      </c>
      <c r="H212">
        <f>D212*F212</f>
        <v/>
      </c>
      <c r="I212">
        <f>E212*G212</f>
        <v/>
      </c>
      <c r="J212">
        <f>H212-I212</f>
        <v/>
      </c>
      <c r="K212" t="n">
        <v>-0.0025</v>
      </c>
      <c r="L212" t="n">
        <v>78660.63055509572</v>
      </c>
      <c r="M212" t="n">
        <v>-59997.8775032725</v>
      </c>
      <c r="N212" t="n">
        <v>0</v>
      </c>
      <c r="O212" t="n">
        <v>1</v>
      </c>
      <c r="P212" t="n">
        <v>162.6936412056705</v>
      </c>
      <c r="Q212" t="n">
        <v>0.0432</v>
      </c>
      <c r="R212" t="n">
        <v>1014.631193488589</v>
      </c>
      <c r="S212" t="n">
        <v>16447.81637047106</v>
      </c>
    </row>
    <row r="213">
      <c r="A213" s="1" t="n">
        <v>44939</v>
      </c>
      <c r="B213" t="inlineStr">
        <is>
          <t>TARK</t>
        </is>
      </c>
      <c r="C213" t="inlineStr">
        <is>
          <t>ARKK</t>
        </is>
      </c>
      <c r="D213" t="n">
        <v>35.69233322143555</v>
      </c>
      <c r="E213" t="n">
        <v>-21.46755218505859</v>
      </c>
      <c r="F213" t="n">
        <v>20537</v>
      </c>
      <c r="G213" t="n">
        <v>-20077</v>
      </c>
      <c r="H213">
        <f>D213*F213</f>
        <v/>
      </c>
      <c r="I213">
        <f>E213*G213</f>
        <v/>
      </c>
      <c r="J213">
        <f>H213-I213</f>
        <v/>
      </c>
      <c r="K213" t="n">
        <v>-0.02</v>
      </c>
      <c r="L213" t="n">
        <v>10184.00560777052</v>
      </c>
      <c r="M213" t="n">
        <v>-9675.763882470483</v>
      </c>
      <c r="N213" t="n">
        <v>0</v>
      </c>
      <c r="O213" t="n">
        <v>1</v>
      </c>
      <c r="P213" t="n">
        <v>162.6936412056705</v>
      </c>
      <c r="Q213" t="n">
        <v>0.0432</v>
      </c>
      <c r="R213" t="n">
        <v>537.3846224829995</v>
      </c>
      <c r="S213" t="n">
        <v>-354.0452344360463</v>
      </c>
    </row>
    <row r="214">
      <c r="A214" s="1" t="n">
        <v>44939</v>
      </c>
      <c r="B214" t="inlineStr">
        <is>
          <t>CHAU</t>
        </is>
      </c>
      <c r="C214" t="inlineStr">
        <is>
          <t>ASHR</t>
        </is>
      </c>
      <c r="D214" t="n">
        <v>29.07268524169922</v>
      </c>
      <c r="E214" t="n">
        <v>-22.38747406005859</v>
      </c>
      <c r="F214" t="n">
        <v>5713</v>
      </c>
      <c r="G214" t="n">
        <v>-3898</v>
      </c>
      <c r="H214">
        <f>D214*F214</f>
        <v/>
      </c>
      <c r="I214">
        <f>E214*G214</f>
        <v/>
      </c>
      <c r="J214">
        <f>H214-I214</f>
        <v/>
      </c>
      <c r="K214" t="n">
        <v>-0.01</v>
      </c>
      <c r="L214" t="n">
        <v>2476.680543342934</v>
      </c>
      <c r="M214" t="n">
        <v>-2266.082793235716</v>
      </c>
      <c r="N214" t="n">
        <v>0</v>
      </c>
      <c r="O214" t="n">
        <v>1</v>
      </c>
      <c r="P214" t="n">
        <v>162.6936412056705</v>
      </c>
      <c r="Q214" t="n">
        <v>0.0432</v>
      </c>
      <c r="R214" t="n">
        <v>17.4961549832984</v>
      </c>
      <c r="S214" t="n">
        <v>119.4825357824292</v>
      </c>
    </row>
    <row r="215">
      <c r="A215" s="1" t="n">
        <v>44939</v>
      </c>
      <c r="B215" t="inlineStr">
        <is>
          <t>BABX</t>
        </is>
      </c>
      <c r="C215" t="inlineStr">
        <is>
          <t>BABA</t>
        </is>
      </c>
      <c r="D215" t="n">
        <v>111.1238098144531</v>
      </c>
      <c r="E215" t="n">
        <v>-39.01200103759766</v>
      </c>
      <c r="F215" t="n">
        <v>5330</v>
      </c>
      <c r="G215" t="n">
        <v>-8035</v>
      </c>
      <c r="H215">
        <f>D215*F215</f>
        <v/>
      </c>
      <c r="I215">
        <f>E215*G215</f>
        <v/>
      </c>
      <c r="J215">
        <f>H215-I215</f>
        <v/>
      </c>
      <c r="K215" t="n">
        <v>-0.0275</v>
      </c>
      <c r="L215" t="n">
        <v>19539.62874024668</v>
      </c>
      <c r="M215" t="n">
        <v>-16372.09921656131</v>
      </c>
      <c r="N215" t="n">
        <v>0</v>
      </c>
      <c r="O215" t="n">
        <v>1</v>
      </c>
      <c r="P215" t="n">
        <v>162.6936412056705</v>
      </c>
      <c r="Q215" t="n">
        <v>0.0432</v>
      </c>
      <c r="R215" t="n">
        <v>495.0097891510386</v>
      </c>
      <c r="S215" t="n">
        <v>2409.991979303273</v>
      </c>
    </row>
    <row r="216">
      <c r="A216" s="1" t="n">
        <v>44939</v>
      </c>
      <c r="B216" t="inlineStr">
        <is>
          <t>CONL</t>
        </is>
      </c>
      <c r="C216" t="inlineStr">
        <is>
          <t>COIN</t>
        </is>
      </c>
      <c r="D216" t="n">
        <v>49.97999954223633</v>
      </c>
      <c r="E216" t="n">
        <v>-7.431586265563965</v>
      </c>
      <c r="F216" t="n">
        <v>98778</v>
      </c>
      <c r="G216" t="n">
        <v>-394919</v>
      </c>
      <c r="H216">
        <f>D216*F216</f>
        <v/>
      </c>
      <c r="I216">
        <f>E216*G216</f>
        <v/>
      </c>
      <c r="J216">
        <f>H216-I216</f>
        <v/>
      </c>
      <c r="K216" t="n">
        <v>0.03</v>
      </c>
      <c r="L216" t="n">
        <v>240040.677357402</v>
      </c>
      <c r="M216" t="n">
        <v>-186500.1968670943</v>
      </c>
      <c r="N216" t="n">
        <v>1555.345295362936</v>
      </c>
      <c r="O216" t="n">
        <v>1</v>
      </c>
      <c r="P216" t="n">
        <v>-1984.497160797422</v>
      </c>
      <c r="Q216" t="n">
        <v>0.0432</v>
      </c>
      <c r="R216" t="n">
        <v>8397.471195635959</v>
      </c>
      <c r="S216" t="n">
        <v>41399.41181858152</v>
      </c>
    </row>
    <row r="217">
      <c r="A217" s="1" t="n">
        <v>44939</v>
      </c>
      <c r="B217" t="inlineStr">
        <is>
          <t>MEXX</t>
        </is>
      </c>
      <c r="C217" t="inlineStr">
        <is>
          <t>EWW</t>
        </is>
      </c>
      <c r="D217" t="n">
        <v>51.34880065917969</v>
      </c>
      <c r="E217" t="n">
        <v>-22.89287757873535</v>
      </c>
      <c r="F217" t="n">
        <v>9067</v>
      </c>
      <c r="G217" t="n">
        <v>-7657</v>
      </c>
      <c r="H217">
        <f>D217*F217</f>
        <v/>
      </c>
      <c r="I217">
        <f>E217*G217</f>
        <v/>
      </c>
      <c r="J217">
        <f>H217-I217</f>
        <v/>
      </c>
      <c r="K217" t="n">
        <v>0.0075</v>
      </c>
      <c r="L217" t="n">
        <v>1560.739140639385</v>
      </c>
      <c r="M217" t="n">
        <v>-2706.975856530993</v>
      </c>
      <c r="N217" t="n">
        <v>23.22396185113706</v>
      </c>
      <c r="O217" t="n">
        <v>1</v>
      </c>
      <c r="P217" t="n">
        <v>108.6456179468885</v>
      </c>
      <c r="Q217" t="n">
        <v>0.0432</v>
      </c>
      <c r="R217" t="n">
        <v>144.2992652945343</v>
      </c>
      <c r="S217" t="n">
        <v>-1520.124359440853</v>
      </c>
    </row>
    <row r="218">
      <c r="A218" s="1" t="n">
        <v>44939</v>
      </c>
      <c r="B218" t="inlineStr">
        <is>
          <t>KORU</t>
        </is>
      </c>
      <c r="C218" t="inlineStr">
        <is>
          <t>EWY</t>
        </is>
      </c>
      <c r="D218" t="n">
        <v>58.10657501220703</v>
      </c>
      <c r="E218" t="n">
        <v>-93.15078735351562</v>
      </c>
      <c r="F218" t="n">
        <v>12826</v>
      </c>
      <c r="G218" t="n">
        <v>-2951</v>
      </c>
      <c r="H218">
        <f>D218*F218</f>
        <v/>
      </c>
      <c r="I218">
        <f>E218*G218</f>
        <v/>
      </c>
      <c r="J218">
        <f>H218-I218</f>
        <v/>
      </c>
      <c r="K218" t="n">
        <v>0.0225</v>
      </c>
      <c r="L218" t="n">
        <v>5492.46827438288</v>
      </c>
      <c r="M218" t="n">
        <v>-5482.232000700374</v>
      </c>
      <c r="N218" t="n">
        <v>109.2582577242936</v>
      </c>
      <c r="O218" t="n">
        <v>1</v>
      </c>
      <c r="P218" t="n">
        <v>-119.2727553665804</v>
      </c>
      <c r="Q218" t="n">
        <v>0.0432</v>
      </c>
      <c r="R218" t="n">
        <v>204.3656060995156</v>
      </c>
      <c r="S218" t="n">
        <v>-633.7247318157165</v>
      </c>
    </row>
    <row r="219">
      <c r="A219" s="1" t="n">
        <v>44939</v>
      </c>
      <c r="B219" t="inlineStr">
        <is>
          <t>YINN</t>
        </is>
      </c>
      <c r="C219" t="inlineStr">
        <is>
          <t>FXI</t>
        </is>
      </c>
      <c r="D219" t="n">
        <v>29.8080997467041</v>
      </c>
      <c r="E219" t="n">
        <v>-61.59342575073242</v>
      </c>
      <c r="F219" t="n">
        <v>35048</v>
      </c>
      <c r="G219" t="n">
        <v>-5995</v>
      </c>
      <c r="H219">
        <f>D219*F219</f>
        <v/>
      </c>
      <c r="I219">
        <f>E219*G219</f>
        <v/>
      </c>
      <c r="J219">
        <f>H219-I219</f>
        <v/>
      </c>
      <c r="K219" t="n">
        <v>-0.02</v>
      </c>
      <c r="L219" t="n">
        <v>14650.65521422787</v>
      </c>
      <c r="M219" t="n">
        <v>-14010.35517918434</v>
      </c>
      <c r="N219" t="n">
        <v>0</v>
      </c>
      <c r="O219" t="n">
        <v>1</v>
      </c>
      <c r="P219" t="n">
        <v>162.6936412056705</v>
      </c>
      <c r="Q219" t="n">
        <v>0.0432</v>
      </c>
      <c r="R219" t="n">
        <v>125.1820858133555</v>
      </c>
      <c r="S219" t="n">
        <v>52.05671546020812</v>
      </c>
    </row>
    <row r="220">
      <c r="A220" s="1" t="n">
        <v>44939</v>
      </c>
      <c r="B220" t="inlineStr">
        <is>
          <t>JNUG</t>
        </is>
      </c>
      <c r="C220" t="inlineStr">
        <is>
          <t>GDXJ</t>
        </is>
      </c>
      <c r="D220" t="n">
        <v>38.21780014038086</v>
      </c>
      <c r="E220" t="n">
        <v>-43.08132934570312</v>
      </c>
      <c r="F220" t="n">
        <v>13873</v>
      </c>
      <c r="G220" t="n">
        <v>-6362</v>
      </c>
      <c r="H220">
        <f>D220*F220</f>
        <v/>
      </c>
      <c r="I220">
        <f>E220*G220</f>
        <v/>
      </c>
      <c r="J220">
        <f>H220-I220</f>
        <v/>
      </c>
      <c r="K220" t="n">
        <v>-0.005</v>
      </c>
      <c r="L220" t="n">
        <v>6562.146458898499</v>
      </c>
      <c r="M220" t="n">
        <v>-6541.436099496555</v>
      </c>
      <c r="N220" t="n">
        <v>0</v>
      </c>
      <c r="O220" t="n">
        <v>1</v>
      </c>
      <c r="P220" t="n">
        <v>162.6936412056705</v>
      </c>
      <c r="Q220" t="n">
        <v>0.0432</v>
      </c>
      <c r="R220" t="n">
        <v>57.21788815354894</v>
      </c>
      <c r="S220" t="n">
        <v>-271.5124542456149</v>
      </c>
    </row>
    <row r="221">
      <c r="A221" s="1" t="n">
        <v>44939</v>
      </c>
      <c r="B221" t="inlineStr">
        <is>
          <t>GDXU</t>
        </is>
      </c>
      <c r="C221" t="inlineStr">
        <is>
          <t>GDX</t>
        </is>
      </c>
      <c r="D221" t="n">
        <v>31.5208683013916</v>
      </c>
      <c r="E221" t="n">
        <v>-60.90000152587891</v>
      </c>
      <c r="F221" t="n">
        <v>53188</v>
      </c>
      <c r="G221" t="n">
        <v>-9616</v>
      </c>
      <c r="H221">
        <f>D221*F221</f>
        <v/>
      </c>
      <c r="I221">
        <f>E221*G221</f>
        <v/>
      </c>
      <c r="J221">
        <f>H221-I221</f>
        <v/>
      </c>
      <c r="K221" t="n">
        <v>-0.005</v>
      </c>
      <c r="L221" t="n">
        <v>24134.9007974252</v>
      </c>
      <c r="M221" t="n">
        <v>-22215.74332658438</v>
      </c>
      <c r="N221" t="n">
        <v>0</v>
      </c>
      <c r="O221" t="n">
        <v>1</v>
      </c>
      <c r="P221" t="n">
        <v>162.6936412056705</v>
      </c>
      <c r="Q221" t="n">
        <v>0.0432</v>
      </c>
      <c r="R221" t="n">
        <v>263.0287841688084</v>
      </c>
      <c r="S221" t="n">
        <v>913.0193361065722</v>
      </c>
    </row>
    <row r="222">
      <c r="A222" s="1" t="n">
        <v>44939</v>
      </c>
      <c r="B222" t="inlineStr">
        <is>
          <t>NUGT</t>
        </is>
      </c>
      <c r="C222" t="inlineStr">
        <is>
          <t>GDX</t>
        </is>
      </c>
      <c r="D222" t="n">
        <v>31.5208683013916</v>
      </c>
      <c r="E222" t="n">
        <v>-42.57452392578125</v>
      </c>
      <c r="F222" t="n">
        <v>15820</v>
      </c>
      <c r="G222" t="n">
        <v>-6136</v>
      </c>
      <c r="H222">
        <f>D222*F222</f>
        <v/>
      </c>
      <c r="I222">
        <f>E222*G222</f>
        <v/>
      </c>
      <c r="J222">
        <f>H222-I222</f>
        <v/>
      </c>
      <c r="K222" t="n">
        <v>-0.0175</v>
      </c>
      <c r="L222" t="n">
        <v>7178.576570190016</v>
      </c>
      <c r="M222" t="n">
        <v>-6863.083680163522</v>
      </c>
      <c r="N222" t="n">
        <v>0</v>
      </c>
      <c r="O222" t="n">
        <v>1</v>
      </c>
      <c r="P222" t="n">
        <v>162.6936412056705</v>
      </c>
      <c r="Q222" t="n">
        <v>0.0432</v>
      </c>
      <c r="R222" t="n">
        <v>79.47921698229305</v>
      </c>
      <c r="S222" t="n">
        <v>14.98656305801654</v>
      </c>
    </row>
    <row r="223">
      <c r="A223" s="1" t="n">
        <v>44939</v>
      </c>
      <c r="B223" t="inlineStr">
        <is>
          <t>GGLL</t>
        </is>
      </c>
      <c r="C223" t="inlineStr">
        <is>
          <t>GOOGL</t>
        </is>
      </c>
      <c r="D223" t="n">
        <v>91.36487579345703</v>
      </c>
      <c r="E223" t="n">
        <v>-17.00970268249512</v>
      </c>
      <c r="F223" t="n">
        <v>20098</v>
      </c>
      <c r="G223" t="n">
        <v>-54856</v>
      </c>
      <c r="H223">
        <f>D223*F223</f>
        <v/>
      </c>
      <c r="I223">
        <f>E223*G223</f>
        <v/>
      </c>
      <c r="J223">
        <f>H223-I223</f>
        <v/>
      </c>
      <c r="K223" t="n">
        <v>-0</v>
      </c>
      <c r="L223" t="n">
        <v>19734.96565472682</v>
      </c>
      <c r="M223" t="n">
        <v>-13605.30937922944</v>
      </c>
      <c r="N223" t="n">
        <v>0</v>
      </c>
      <c r="O223" t="n">
        <v>1</v>
      </c>
      <c r="P223" t="n">
        <v>162.6936412056705</v>
      </c>
      <c r="Q223" t="n">
        <v>0.0432</v>
      </c>
      <c r="R223" t="n">
        <v>372.7295312153619</v>
      </c>
      <c r="S223" t="n">
        <v>4943.023080236328</v>
      </c>
    </row>
    <row r="224">
      <c r="A224" s="1" t="n">
        <v>44939</v>
      </c>
      <c r="B224" t="inlineStr">
        <is>
          <t>CWEB</t>
        </is>
      </c>
      <c r="C224" t="inlineStr">
        <is>
          <t>KWEB</t>
        </is>
      </c>
      <c r="D224" t="n">
        <v>31.69606399536133</v>
      </c>
      <c r="E224" t="n">
        <v>-61.83904266357422</v>
      </c>
      <c r="F224" t="n">
        <v>14605</v>
      </c>
      <c r="G224" t="n">
        <v>-3828</v>
      </c>
      <c r="H224">
        <f>D224*F224</f>
        <v/>
      </c>
      <c r="I224">
        <f>E224*G224</f>
        <v/>
      </c>
      <c r="J224">
        <f>H224-I224</f>
        <v/>
      </c>
      <c r="K224" t="n">
        <v>-0.02</v>
      </c>
      <c r="L224" t="n">
        <v>13084.81892178698</v>
      </c>
      <c r="M224" t="n">
        <v>-11813.77500695092</v>
      </c>
      <c r="N224" t="n">
        <v>0</v>
      </c>
      <c r="O224" t="n">
        <v>1</v>
      </c>
      <c r="P224" t="n">
        <v>162.6936412056705</v>
      </c>
      <c r="Q224" t="n">
        <v>0.0432</v>
      </c>
      <c r="R224" t="n">
        <v>83.19773531109341</v>
      </c>
      <c r="S224" t="n">
        <v>982.660148949381</v>
      </c>
    </row>
    <row r="225">
      <c r="A225" s="1" t="n">
        <v>44939</v>
      </c>
      <c r="B225" t="inlineStr">
        <is>
          <t>FBL</t>
        </is>
      </c>
      <c r="C225" t="inlineStr">
        <is>
          <t>META</t>
        </is>
      </c>
      <c r="D225" t="n">
        <v>135.9134063720703</v>
      </c>
      <c r="E225" t="n">
        <v>-4.179436206817627</v>
      </c>
      <c r="F225" t="n">
        <v>25964</v>
      </c>
      <c r="G225" t="n">
        <v>-441819</v>
      </c>
      <c r="H225">
        <f>D225*F225</f>
        <v/>
      </c>
      <c r="I225">
        <f>E225*G225</f>
        <v/>
      </c>
      <c r="J225">
        <f>H225-I225</f>
        <v/>
      </c>
      <c r="K225" t="n">
        <v>-0.01</v>
      </c>
      <c r="L225" t="n">
        <v>6955.218700461915</v>
      </c>
      <c r="M225" t="n">
        <v>-2117.637030782298</v>
      </c>
      <c r="N225" t="n">
        <v>0</v>
      </c>
      <c r="O225" t="n">
        <v>1</v>
      </c>
      <c r="P225" t="n">
        <v>162.6936412056705</v>
      </c>
      <c r="Q225" t="n">
        <v>0.0432</v>
      </c>
      <c r="R225" t="n">
        <v>527.6777601264757</v>
      </c>
      <c r="S225" t="n">
        <v>2745.766903109647</v>
      </c>
    </row>
    <row r="226">
      <c r="A226" s="1" t="n">
        <v>44939</v>
      </c>
      <c r="B226" t="inlineStr">
        <is>
          <t>MSFU</t>
        </is>
      </c>
      <c r="C226" t="inlineStr">
        <is>
          <t>MSFT</t>
        </is>
      </c>
      <c r="D226" t="n">
        <v>233.1117706298828</v>
      </c>
      <c r="E226" t="n">
        <v>-18.65141677856445</v>
      </c>
      <c r="F226" t="n">
        <v>8314</v>
      </c>
      <c r="G226" t="n">
        <v>-53770</v>
      </c>
      <c r="H226">
        <f>D226*F226</f>
        <v/>
      </c>
      <c r="I226">
        <f>E226*G226</f>
        <v/>
      </c>
      <c r="J226">
        <f>H226-I226</f>
        <v/>
      </c>
      <c r="K226" t="n">
        <v>-0.005</v>
      </c>
      <c r="L226" t="n">
        <v>5833.340712875286</v>
      </c>
      <c r="M226" t="n">
        <v>-3104.091735467723</v>
      </c>
      <c r="N226" t="n">
        <v>0</v>
      </c>
      <c r="O226" t="n">
        <v>1</v>
      </c>
      <c r="P226" t="n">
        <v>162.6936412056705</v>
      </c>
      <c r="Q226" t="n">
        <v>0.0432</v>
      </c>
      <c r="R226" t="n">
        <v>674.5779457780105</v>
      </c>
      <c r="S226" t="n">
        <v>1195.627609200363</v>
      </c>
    </row>
    <row r="227">
      <c r="A227" s="1" t="n">
        <v>44939</v>
      </c>
      <c r="B227" t="inlineStr">
        <is>
          <t>NVDL</t>
        </is>
      </c>
      <c r="C227" t="inlineStr">
        <is>
          <t>NVDA</t>
        </is>
      </c>
      <c r="D227" t="n">
        <v>16.88118362426758</v>
      </c>
      <c r="E227" t="n">
        <v>-3.478552579879761</v>
      </c>
      <c r="F227" t="n">
        <v>307781</v>
      </c>
      <c r="G227" t="n">
        <v>-799366</v>
      </c>
      <c r="H227">
        <f>D227*F227</f>
        <v/>
      </c>
      <c r="I227">
        <f>E227*G227</f>
        <v/>
      </c>
      <c r="J227">
        <f>H227-I227</f>
        <v/>
      </c>
      <c r="K227" t="n">
        <v>-0</v>
      </c>
      <c r="L227" t="n">
        <v>119297.3995851876</v>
      </c>
      <c r="M227" t="n">
        <v>-85747.40154858482</v>
      </c>
      <c r="N227" t="n">
        <v>0</v>
      </c>
      <c r="O227" t="n">
        <v>1</v>
      </c>
      <c r="P227" t="n">
        <v>162.6936412056705</v>
      </c>
      <c r="Q227" t="n">
        <v>0.0432</v>
      </c>
      <c r="R227" t="n">
        <v>3157.264054450496</v>
      </c>
      <c r="S227" t="n">
        <v>28089.77822938869</v>
      </c>
    </row>
    <row r="228">
      <c r="A228" s="1" t="n">
        <v>44939</v>
      </c>
      <c r="B228" t="inlineStr">
        <is>
          <t>SOXL</t>
        </is>
      </c>
      <c r="C228" t="inlineStr">
        <is>
          <t>SOXX</t>
        </is>
      </c>
      <c r="D228" t="n">
        <v>125.7665634155273</v>
      </c>
      <c r="E228" t="n">
        <v>-12.67177200317383</v>
      </c>
      <c r="F228" t="n">
        <v>8941</v>
      </c>
      <c r="G228" t="n">
        <v>-33586</v>
      </c>
      <c r="H228">
        <f>D228*F228</f>
        <v/>
      </c>
      <c r="I228">
        <f>E228*G228</f>
        <v/>
      </c>
      <c r="J228">
        <f>H228-I228</f>
        <v/>
      </c>
      <c r="K228" t="n">
        <v>-0.0175</v>
      </c>
      <c r="L228" t="n">
        <v>4629.566309713595</v>
      </c>
      <c r="M228" t="n">
        <v>-4045.244284597514</v>
      </c>
      <c r="N228" t="n">
        <v>0</v>
      </c>
      <c r="O228" t="n">
        <v>1</v>
      </c>
      <c r="P228" t="n">
        <v>162.6936412056705</v>
      </c>
      <c r="Q228" t="n">
        <v>0.0432</v>
      </c>
      <c r="R228" t="n">
        <v>324.4694011634977</v>
      </c>
      <c r="S228" t="n">
        <v>-238.5636135062891</v>
      </c>
    </row>
    <row r="229">
      <c r="A229" s="1" t="n">
        <v>44939</v>
      </c>
      <c r="B229" t="inlineStr">
        <is>
          <t>SOXS</t>
        </is>
      </c>
      <c r="C229" t="inlineStr">
        <is>
          <t>SOXX</t>
        </is>
      </c>
      <c r="D229" t="n">
        <v>-0</v>
      </c>
      <c r="E229" t="n">
        <v>-28733.95831608128</v>
      </c>
      <c r="F229" t="n">
        <v>-6997</v>
      </c>
      <c r="G229" t="n">
        <v>-37</v>
      </c>
      <c r="H229">
        <f>D229*F229</f>
        <v/>
      </c>
      <c r="I229">
        <f>E229*G229</f>
        <v/>
      </c>
      <c r="J229">
        <f>H229-I229</f>
        <v/>
      </c>
      <c r="K229" t="n">
        <v>0.07000000000000001</v>
      </c>
      <c r="L229" t="n">
        <v>-3622.98126261783</v>
      </c>
      <c r="M229" t="n">
        <v>1767.783068778915</v>
      </c>
      <c r="N229" t="n">
        <v>226.4973964609561</v>
      </c>
      <c r="O229" t="n">
        <v>1</v>
      </c>
      <c r="P229" t="n">
        <v>-1197.852741109179</v>
      </c>
      <c r="Q229" t="n">
        <v>0.0432</v>
      </c>
      <c r="R229" t="n">
        <v>424.0714695452086</v>
      </c>
      <c r="S229" t="n">
        <v>-2505.76705984508</v>
      </c>
    </row>
    <row r="230">
      <c r="A230" s="1" t="n">
        <v>44939</v>
      </c>
      <c r="B230" t="inlineStr">
        <is>
          <t>HIBL</t>
        </is>
      </c>
      <c r="C230" t="inlineStr">
        <is>
          <t>SPHB</t>
        </is>
      </c>
      <c r="D230" t="n">
        <v>66.87548065185547</v>
      </c>
      <c r="E230" t="n">
        <v>-29.91027450561523</v>
      </c>
      <c r="F230" t="n">
        <v>6521</v>
      </c>
      <c r="G230" t="n">
        <v>-5410</v>
      </c>
      <c r="H230">
        <f>D230*F230</f>
        <v/>
      </c>
      <c r="I230">
        <f>E230*G230</f>
        <v/>
      </c>
      <c r="J230">
        <f>H230-I230</f>
        <v/>
      </c>
      <c r="K230" t="n">
        <v>0.12</v>
      </c>
      <c r="L230" t="n">
        <v>1970.731249755822</v>
      </c>
      <c r="M230" t="n">
        <v>-1767.820098019815</v>
      </c>
      <c r="N230" t="n">
        <v>343.0164303590327</v>
      </c>
      <c r="O230" t="n">
        <v>1</v>
      </c>
      <c r="P230" t="n">
        <v>-691.4361039720867</v>
      </c>
      <c r="Q230" t="n">
        <v>0.0432</v>
      </c>
      <c r="R230" t="n">
        <v>95.92069312150726</v>
      </c>
      <c r="S230" t="n">
        <v>-429.3215904055573</v>
      </c>
    </row>
    <row r="231">
      <c r="A231" s="1" t="n">
        <v>44939</v>
      </c>
      <c r="B231" t="inlineStr">
        <is>
          <t>TSLL</t>
        </is>
      </c>
      <c r="C231" t="inlineStr">
        <is>
          <t>TSLA</t>
        </is>
      </c>
      <c r="D231" t="n">
        <v>122.4000015258789</v>
      </c>
      <c r="E231" t="n">
        <v>-5.281392574310303</v>
      </c>
      <c r="F231" t="n">
        <v>16893</v>
      </c>
      <c r="G231" t="n">
        <v>-207812</v>
      </c>
      <c r="H231">
        <f>D231*F231</f>
        <v/>
      </c>
      <c r="I231">
        <f>E231*G231</f>
        <v/>
      </c>
      <c r="J231">
        <f>H231-I231</f>
        <v/>
      </c>
      <c r="K231" t="n">
        <v>0.01</v>
      </c>
      <c r="L231" t="n">
        <v>-19596.63812159394</v>
      </c>
      <c r="M231" t="n">
        <v>15332.35142482386</v>
      </c>
      <c r="N231" t="n">
        <v>193.8809261488868</v>
      </c>
      <c r="O231" t="n">
        <v>1</v>
      </c>
      <c r="P231" t="n">
        <v>-307.5696786362199</v>
      </c>
      <c r="Q231" t="n">
        <v>0.0432</v>
      </c>
      <c r="R231" t="n">
        <v>656.2080904519121</v>
      </c>
      <c r="S231" t="n">
        <v>-6030.868600659957</v>
      </c>
    </row>
    <row r="232">
      <c r="A232" s="1" t="n">
        <v>44939</v>
      </c>
      <c r="B232" t="inlineStr">
        <is>
          <t>TSLQ</t>
        </is>
      </c>
      <c r="C232" t="inlineStr">
        <is>
          <t>TSLA</t>
        </is>
      </c>
      <c r="D232" t="n">
        <v>-0</v>
      </c>
      <c r="E232" t="n">
        <v>-3596.74450362755</v>
      </c>
      <c r="F232" t="n">
        <v>-6277</v>
      </c>
      <c r="G232" t="n">
        <v>-302</v>
      </c>
      <c r="H232">
        <f>D232*F232</f>
        <v/>
      </c>
      <c r="I232">
        <f>E232*G232</f>
        <v/>
      </c>
      <c r="J232">
        <f>H232-I232</f>
        <v/>
      </c>
      <c r="K232" t="n">
        <v>-0.02</v>
      </c>
      <c r="L232" t="n">
        <v>7281.601698291905</v>
      </c>
      <c r="M232" t="n">
        <v>-3075.867486041693</v>
      </c>
      <c r="N232" t="n">
        <v>0</v>
      </c>
      <c r="O232" t="n">
        <v>1</v>
      </c>
      <c r="P232" t="n">
        <v>162.6936412056705</v>
      </c>
      <c r="Q232" t="n">
        <v>0.0432</v>
      </c>
      <c r="R232" t="n">
        <v>350.1227310061162</v>
      </c>
      <c r="S232" t="n">
        <v>3855.611481244095</v>
      </c>
    </row>
    <row r="233">
      <c r="A233" s="1" t="n">
        <v>44939</v>
      </c>
      <c r="B233" t="inlineStr">
        <is>
          <t>LABU</t>
        </is>
      </c>
      <c r="C233" t="inlineStr">
        <is>
          <t>XBI</t>
        </is>
      </c>
      <c r="D233" t="n">
        <v>87.41098785400391</v>
      </c>
      <c r="E233" t="n">
        <v>-161.6559295654297</v>
      </c>
      <c r="F233" t="n">
        <v>3382</v>
      </c>
      <c r="G233" t="n">
        <v>-676</v>
      </c>
      <c r="H233">
        <f>D233*F233</f>
        <v/>
      </c>
      <c r="I233">
        <f>E233*G233</f>
        <v/>
      </c>
      <c r="J233">
        <f>H233-I233</f>
        <v/>
      </c>
      <c r="K233" t="n">
        <v>0.1</v>
      </c>
      <c r="L233" t="n">
        <v>-134.5920929495512</v>
      </c>
      <c r="M233" t="n">
        <v>251.4408261829187</v>
      </c>
      <c r="N233" t="n">
        <v>193.0431289559497</v>
      </c>
      <c r="O233" t="n">
        <v>1</v>
      </c>
      <c r="P233" t="n">
        <v>-385.1486857918911</v>
      </c>
      <c r="Q233" t="n">
        <v>0.0432</v>
      </c>
      <c r="R233" t="n">
        <v>35.59092105908436</v>
      </c>
      <c r="S233" t="n">
        <v>-242.8182687642656</v>
      </c>
    </row>
    <row r="234">
      <c r="A234" s="1" t="n">
        <v>44939</v>
      </c>
      <c r="B234" t="inlineStr">
        <is>
          <t>ERX</t>
        </is>
      </c>
      <c r="C234" t="inlineStr">
        <is>
          <t>XLE</t>
        </is>
      </c>
      <c r="D234" t="n">
        <v>40.36845016479492</v>
      </c>
      <c r="E234" t="n">
        <v>-64.107421875</v>
      </c>
      <c r="F234" t="n">
        <v>1856</v>
      </c>
      <c r="G234" t="n">
        <v>-604</v>
      </c>
      <c r="H234">
        <f>D234*F234</f>
        <v/>
      </c>
      <c r="I234">
        <f>E234*G234</f>
        <v/>
      </c>
      <c r="J234">
        <f>H234-I234</f>
        <v/>
      </c>
      <c r="K234" t="n">
        <v>0.12</v>
      </c>
      <c r="L234" t="n">
        <v>108.3014351672944</v>
      </c>
      <c r="M234" t="n">
        <v>-125.6574070362258</v>
      </c>
      <c r="N234" t="n">
        <v>82.08097555919967</v>
      </c>
      <c r="O234" t="n">
        <v>1</v>
      </c>
      <c r="P234" t="n">
        <v>-56.19169040245767</v>
      </c>
      <c r="Q234" t="n">
        <v>0.0432</v>
      </c>
      <c r="R234" t="n">
        <v>5.375290544629167</v>
      </c>
      <c r="S234" t="n">
        <v>-138.0216312771053</v>
      </c>
    </row>
    <row r="235">
      <c r="A235" s="1" t="n">
        <v>44939</v>
      </c>
      <c r="B235" t="inlineStr">
        <is>
          <t>GUSH</t>
        </is>
      </c>
      <c r="C235" t="inlineStr">
        <is>
          <t>XOP</t>
        </is>
      </c>
      <c r="D235" t="n">
        <v>128.3210296630859</v>
      </c>
      <c r="E235" t="n">
        <v>-34.81524276733398</v>
      </c>
      <c r="F235" t="n">
        <v>3057</v>
      </c>
      <c r="G235" t="n">
        <v>-6059</v>
      </c>
      <c r="H235">
        <f>D235*F235</f>
        <v/>
      </c>
      <c r="I235">
        <f>E235*G235</f>
        <v/>
      </c>
      <c r="J235">
        <f>H235-I235</f>
        <v/>
      </c>
      <c r="K235" t="n">
        <v>-0.01</v>
      </c>
      <c r="L235" t="n">
        <v>2058.883086193901</v>
      </c>
      <c r="M235" t="n">
        <v>-2136.279985796955</v>
      </c>
      <c r="N235" t="n">
        <v>0</v>
      </c>
      <c r="O235" t="n">
        <v>1</v>
      </c>
      <c r="P235" t="n">
        <v>162.6936412056705</v>
      </c>
      <c r="Q235" t="n">
        <v>0.0432</v>
      </c>
      <c r="R235" t="n">
        <v>56.97198410675961</v>
      </c>
      <c r="S235" t="n">
        <v>-308.242692664224</v>
      </c>
    </row>
    <row r="236">
      <c r="A236" s="1" t="n">
        <v>44943</v>
      </c>
      <c r="B236" t="inlineStr">
        <is>
          <t>AAPB</t>
        </is>
      </c>
      <c r="C236" t="inlineStr">
        <is>
          <t>AAPL</t>
        </is>
      </c>
      <c r="D236" t="n">
        <v>133.7944793701172</v>
      </c>
      <c r="E236" t="n">
        <v>-13.38441371917725</v>
      </c>
      <c r="F236" t="n">
        <v>9057</v>
      </c>
      <c r="G236" t="n">
        <v>-45734</v>
      </c>
      <c r="H236">
        <f>D236*F236</f>
        <v/>
      </c>
      <c r="I236">
        <f>E236*G236</f>
        <v/>
      </c>
      <c r="J236">
        <f>H236-I236</f>
        <v/>
      </c>
      <c r="K236" t="n">
        <v>-0.005</v>
      </c>
      <c r="L236" t="n">
        <v>10519.31039087037</v>
      </c>
      <c r="M236" t="n">
        <v>-8044.887328113906</v>
      </c>
      <c r="N236" t="n">
        <v>0</v>
      </c>
      <c r="O236" t="n">
        <v>0</v>
      </c>
      <c r="P236" t="n">
        <v>162.6936412056705</v>
      </c>
      <c r="Q236" t="n">
        <v>0.0432</v>
      </c>
      <c r="R236" t="n">
        <v>364.520447098187</v>
      </c>
      <c r="S236" t="n">
        <v>1816.4878070728</v>
      </c>
    </row>
    <row r="237">
      <c r="A237" s="1" t="n">
        <v>44943</v>
      </c>
      <c r="B237" t="inlineStr">
        <is>
          <t>AAPU</t>
        </is>
      </c>
      <c r="C237" t="inlineStr">
        <is>
          <t>AAPL</t>
        </is>
      </c>
      <c r="D237" t="n">
        <v>133.7944793701172</v>
      </c>
      <c r="E237" t="n">
        <v>-13.7197093963623</v>
      </c>
      <c r="F237" t="n">
        <v>7658</v>
      </c>
      <c r="G237" t="n">
        <v>-37829</v>
      </c>
      <c r="H237">
        <f>D237*F237</f>
        <v/>
      </c>
      <c r="I237">
        <f>E237*G237</f>
        <v/>
      </c>
      <c r="J237">
        <f>H237-I237</f>
        <v/>
      </c>
      <c r="K237" t="n">
        <v>0.02</v>
      </c>
      <c r="L237" t="n">
        <v>8894.43292185992</v>
      </c>
      <c r="M237" t="n">
        <v>-7194.057142151902</v>
      </c>
      <c r="N237" t="n">
        <v>112.1319180892799</v>
      </c>
      <c r="O237" t="n">
        <v>0</v>
      </c>
      <c r="P237" t="n">
        <v>-211.0755751482517</v>
      </c>
      <c r="Q237" t="n">
        <v>0.0432</v>
      </c>
      <c r="R237" t="n">
        <v>364.520447098187</v>
      </c>
      <c r="S237" t="n">
        <v>975.6312643441602</v>
      </c>
    </row>
    <row r="238">
      <c r="A238" s="1" t="n">
        <v>44943</v>
      </c>
      <c r="B238" t="inlineStr">
        <is>
          <t>AMZU</t>
        </is>
      </c>
      <c r="C238" t="inlineStr">
        <is>
          <t>AMZN</t>
        </is>
      </c>
      <c r="D238" t="n">
        <v>96.05000305175781</v>
      </c>
      <c r="E238" t="n">
        <v>-13.59057903289795</v>
      </c>
      <c r="F238" t="n">
        <v>26092</v>
      </c>
      <c r="G238" t="n">
        <v>-91789</v>
      </c>
      <c r="H238">
        <f>D238*F238</f>
        <v/>
      </c>
      <c r="I238">
        <f>E238*G238</f>
        <v/>
      </c>
      <c r="J238">
        <f>H238-I238</f>
        <v/>
      </c>
      <c r="K238" t="n">
        <v>-0.0025</v>
      </c>
      <c r="L238" t="n">
        <v>-54012.70630986355</v>
      </c>
      <c r="M238" t="n">
        <v>37592.20282410794</v>
      </c>
      <c r="N238" t="n">
        <v>0</v>
      </c>
      <c r="O238" t="n">
        <v>0</v>
      </c>
      <c r="P238" t="n">
        <v>162.6936412056705</v>
      </c>
      <c r="Q238" t="n">
        <v>0.0432</v>
      </c>
      <c r="R238" t="n">
        <v>364.520447098187</v>
      </c>
      <c r="S238" t="n">
        <v>-17391.849988375</v>
      </c>
    </row>
    <row r="239">
      <c r="A239" s="1" t="n">
        <v>44943</v>
      </c>
      <c r="B239" t="inlineStr">
        <is>
          <t>TARK</t>
        </is>
      </c>
      <c r="C239" t="inlineStr">
        <is>
          <t>ARKK</t>
        </is>
      </c>
      <c r="D239" t="n">
        <v>36.73364639282227</v>
      </c>
      <c r="E239" t="n">
        <v>-22.7870044708252</v>
      </c>
      <c r="F239" t="n">
        <v>18788</v>
      </c>
      <c r="G239" t="n">
        <v>-15784</v>
      </c>
      <c r="H239">
        <f>D239*F239</f>
        <v/>
      </c>
      <c r="I239">
        <f>E239*G239</f>
        <v/>
      </c>
      <c r="J239">
        <f>H239-I239</f>
        <v/>
      </c>
      <c r="K239" t="n">
        <v>-0.02</v>
      </c>
      <c r="L239" t="n">
        <v>19565.01567345305</v>
      </c>
      <c r="M239" t="n">
        <v>-19719.0911997903</v>
      </c>
      <c r="N239" t="n">
        <v>0</v>
      </c>
      <c r="O239" t="n">
        <v>0</v>
      </c>
      <c r="P239" t="n">
        <v>162.6936412056705</v>
      </c>
      <c r="Q239" t="n">
        <v>0.0432</v>
      </c>
      <c r="R239" t="n">
        <v>364.520447098187</v>
      </c>
      <c r="S239" t="n">
        <v>-685.7065969758359</v>
      </c>
    </row>
    <row r="240">
      <c r="A240" s="1" t="n">
        <v>44943</v>
      </c>
      <c r="B240" t="inlineStr">
        <is>
          <t>CHAU</t>
        </is>
      </c>
      <c r="C240" t="inlineStr">
        <is>
          <t>ASHR</t>
        </is>
      </c>
      <c r="D240" t="n">
        <v>29.19519424438477</v>
      </c>
      <c r="E240" t="n">
        <v>-22.65322685241699</v>
      </c>
      <c r="F240" t="n">
        <v>5665</v>
      </c>
      <c r="G240" t="n">
        <v>-3740</v>
      </c>
      <c r="H240">
        <f>D240*F240</f>
        <v/>
      </c>
      <c r="I240">
        <f>E240*G240</f>
        <v/>
      </c>
      <c r="J240">
        <f>H240-I240</f>
        <v/>
      </c>
      <c r="K240" t="n">
        <v>-0.01</v>
      </c>
      <c r="L240" t="n">
        <v>694.0427237499953</v>
      </c>
      <c r="M240" t="n">
        <v>-941.0778946838144</v>
      </c>
      <c r="N240" t="n">
        <v>0</v>
      </c>
      <c r="O240" t="n">
        <v>0</v>
      </c>
      <c r="P240" t="n">
        <v>162.6936412056705</v>
      </c>
      <c r="Q240" t="n">
        <v>0.0432</v>
      </c>
      <c r="R240" t="n">
        <v>364.520447098187</v>
      </c>
      <c r="S240" t="n">
        <v>-651.6026883566626</v>
      </c>
    </row>
    <row r="241">
      <c r="A241" s="1" t="n">
        <v>44943</v>
      </c>
      <c r="B241" t="inlineStr">
        <is>
          <t>BABX</t>
        </is>
      </c>
      <c r="C241" t="inlineStr">
        <is>
          <t>BABA</t>
        </is>
      </c>
      <c r="D241" t="n">
        <v>109.3953704833984</v>
      </c>
      <c r="E241" t="n">
        <v>-37.95800018310547</v>
      </c>
      <c r="F241" t="n">
        <v>4529</v>
      </c>
      <c r="G241" t="n">
        <v>-6431</v>
      </c>
      <c r="H241">
        <f>D241*F241</f>
        <v/>
      </c>
      <c r="I241">
        <f>E241*G241</f>
        <v/>
      </c>
      <c r="J241">
        <f>H241-I241</f>
        <v/>
      </c>
      <c r="K241" t="n">
        <v>-0.0275</v>
      </c>
      <c r="L241" t="n">
        <v>-7828.431356233744</v>
      </c>
      <c r="M241" t="n">
        <v>6417.939311825405</v>
      </c>
      <c r="N241" t="n">
        <v>0</v>
      </c>
      <c r="O241" t="n">
        <v>0</v>
      </c>
      <c r="P241" t="n">
        <v>162.6936412056705</v>
      </c>
      <c r="Q241" t="n">
        <v>0.0432</v>
      </c>
      <c r="R241" t="n">
        <v>364.520447098187</v>
      </c>
      <c r="S241" t="n">
        <v>-1894.979196654778</v>
      </c>
    </row>
    <row r="242">
      <c r="A242" s="1" t="n">
        <v>44943</v>
      </c>
      <c r="B242" t="inlineStr">
        <is>
          <t>CONL</t>
        </is>
      </c>
      <c r="C242" t="inlineStr">
        <is>
          <t>COIN</t>
        </is>
      </c>
      <c r="D242" t="n">
        <v>54.13999938964844</v>
      </c>
      <c r="E242" t="n">
        <v>-8.349312782287598</v>
      </c>
      <c r="F242" t="n">
        <v>71777</v>
      </c>
      <c r="G242" t="n">
        <v>-242943</v>
      </c>
      <c r="H242">
        <f>D242*F242</f>
        <v/>
      </c>
      <c r="I242">
        <f>E242*G242</f>
        <v/>
      </c>
      <c r="J242">
        <f>H242-I242</f>
        <v/>
      </c>
      <c r="K242" t="n">
        <v>0.03</v>
      </c>
      <c r="L242" t="n">
        <v>298604.8821794915</v>
      </c>
      <c r="M242" t="n">
        <v>-211102.7077934637</v>
      </c>
      <c r="N242" t="n">
        <v>657.3639108647209</v>
      </c>
      <c r="O242" t="n">
        <v>0</v>
      </c>
      <c r="P242" t="n">
        <v>-1327.133249932701</v>
      </c>
      <c r="Q242" t="n">
        <v>0.0432</v>
      </c>
      <c r="R242" t="n">
        <v>364.520447098187</v>
      </c>
      <c r="S242" t="n">
        <v>85539.34767698646</v>
      </c>
    </row>
    <row r="243">
      <c r="A243" s="1" t="n">
        <v>44943</v>
      </c>
      <c r="B243" t="inlineStr">
        <is>
          <t>MEXX</t>
        </is>
      </c>
      <c r="C243" t="inlineStr">
        <is>
          <t>EWW</t>
        </is>
      </c>
      <c r="D243" t="n">
        <v>51.23102951049805</v>
      </c>
      <c r="E243" t="n">
        <v>-22.66154479980469</v>
      </c>
      <c r="F243" t="n">
        <v>8705</v>
      </c>
      <c r="G243" t="n">
        <v>-6605</v>
      </c>
      <c r="H243">
        <f>D243*F243</f>
        <v/>
      </c>
      <c r="I243">
        <f>E243*G243</f>
        <v/>
      </c>
      <c r="J243">
        <f>H243-I243</f>
        <v/>
      </c>
      <c r="K243" t="n">
        <v>0.0075</v>
      </c>
      <c r="L243" t="n">
        <v>-1025.241018328214</v>
      </c>
      <c r="M243" t="n">
        <v>1446.725480006077</v>
      </c>
      <c r="N243" t="n">
        <v>12.12699166289999</v>
      </c>
      <c r="O243" t="n">
        <v>0</v>
      </c>
      <c r="P243" t="n">
        <v>120.7726096097885</v>
      </c>
      <c r="Q243" t="n">
        <v>0.0432</v>
      </c>
      <c r="R243" t="n">
        <v>364.520447098187</v>
      </c>
      <c r="S243" t="n">
        <v>-63.14745325872047</v>
      </c>
    </row>
    <row r="244">
      <c r="A244" s="1" t="n">
        <v>44943</v>
      </c>
      <c r="B244" t="inlineStr">
        <is>
          <t>KORU</t>
        </is>
      </c>
      <c r="C244" t="inlineStr">
        <is>
          <t>EWY</t>
        </is>
      </c>
      <c r="D244" t="n">
        <v>57.94832229614258</v>
      </c>
      <c r="E244" t="n">
        <v>-92.30990600585938</v>
      </c>
      <c r="F244" t="n">
        <v>12312</v>
      </c>
      <c r="G244" t="n">
        <v>-2618</v>
      </c>
      <c r="H244">
        <f>D244*F244</f>
        <v/>
      </c>
      <c r="I244">
        <f>E244*G244</f>
        <v/>
      </c>
      <c r="J244">
        <f>H244-I244</f>
        <v/>
      </c>
      <c r="K244" t="n">
        <v>0.0225</v>
      </c>
      <c r="L244" t="n">
        <v>-1948.489483770692</v>
      </c>
      <c r="M244" t="n">
        <v>2084.397266030673</v>
      </c>
      <c r="N244" t="n">
        <v>58.73946018778445</v>
      </c>
      <c r="O244" t="n">
        <v>0</v>
      </c>
      <c r="P244" t="n">
        <v>-60.53329517879596</v>
      </c>
      <c r="Q244" t="n">
        <v>0.0432</v>
      </c>
      <c r="R244" t="n">
        <v>364.520447098187</v>
      </c>
      <c r="S244" t="n">
        <v>-460.1064547523472</v>
      </c>
    </row>
    <row r="245">
      <c r="A245" s="1" t="n">
        <v>44943</v>
      </c>
      <c r="B245" t="inlineStr">
        <is>
          <t>YINN</t>
        </is>
      </c>
      <c r="C245" t="inlineStr">
        <is>
          <t>FXI</t>
        </is>
      </c>
      <c r="D245" t="n">
        <v>29.15787506103516</v>
      </c>
      <c r="E245" t="n">
        <v>-57.6386604309082</v>
      </c>
      <c r="F245" t="n">
        <v>34613</v>
      </c>
      <c r="G245" t="n">
        <v>-5631</v>
      </c>
      <c r="H245">
        <f>D245*F245</f>
        <v/>
      </c>
      <c r="I245">
        <f>E245*G245</f>
        <v/>
      </c>
      <c r="J245">
        <f>H245-I245</f>
        <v/>
      </c>
      <c r="K245" t="n">
        <v>-0.02</v>
      </c>
      <c r="L245" t="n">
        <v>-22507.17473778341</v>
      </c>
      <c r="M245" t="n">
        <v>21085.42591426866</v>
      </c>
      <c r="N245" t="n">
        <v>0</v>
      </c>
      <c r="O245" t="n">
        <v>0</v>
      </c>
      <c r="P245" t="n">
        <v>162.6936412056705</v>
      </c>
      <c r="Q245" t="n">
        <v>0.0432</v>
      </c>
      <c r="R245" t="n">
        <v>364.520447098187</v>
      </c>
      <c r="S245" t="n">
        <v>-2030.643035773439</v>
      </c>
    </row>
    <row r="246">
      <c r="A246" s="1" t="n">
        <v>44943</v>
      </c>
      <c r="B246" t="inlineStr">
        <is>
          <t>JNUG</t>
        </is>
      </c>
      <c r="C246" t="inlineStr">
        <is>
          <t>GDXJ</t>
        </is>
      </c>
      <c r="D246" t="n">
        <v>36.98801803588867</v>
      </c>
      <c r="E246" t="n">
        <v>-40.45076370239258</v>
      </c>
      <c r="F246" t="n">
        <v>13681</v>
      </c>
      <c r="G246" t="n">
        <v>-6148</v>
      </c>
      <c r="H246">
        <f>D246*F246</f>
        <v/>
      </c>
      <c r="I246">
        <f>E246*G246</f>
        <v/>
      </c>
      <c r="J246">
        <f>H246-I246</f>
        <v/>
      </c>
      <c r="K246" t="n">
        <v>-0.005</v>
      </c>
      <c r="L246" t="n">
        <v>-16825.3574242621</v>
      </c>
      <c r="M246" t="n">
        <v>15312.95957580581</v>
      </c>
      <c r="N246" t="n">
        <v>0</v>
      </c>
      <c r="O246" t="n">
        <v>0</v>
      </c>
      <c r="P246" t="n">
        <v>162.6936412056705</v>
      </c>
      <c r="Q246" t="n">
        <v>0.0432</v>
      </c>
      <c r="R246" t="n">
        <v>364.520447098187</v>
      </c>
      <c r="S246" t="n">
        <v>-1999.447149311546</v>
      </c>
    </row>
    <row r="247">
      <c r="A247" s="1" t="n">
        <v>44943</v>
      </c>
      <c r="B247" t="inlineStr">
        <is>
          <t>GDXU</t>
        </is>
      </c>
      <c r="C247" t="inlineStr">
        <is>
          <t>GDX</t>
        </is>
      </c>
      <c r="D247" t="n">
        <v>30.42994499206543</v>
      </c>
      <c r="E247" t="n">
        <v>-54.66999816894531</v>
      </c>
      <c r="F247" t="n">
        <v>52226</v>
      </c>
      <c r="G247" t="n">
        <v>-8886</v>
      </c>
      <c r="H247">
        <f>D247*F247</f>
        <v/>
      </c>
      <c r="I247">
        <f>E247*G247</f>
        <v/>
      </c>
      <c r="J247">
        <f>H247-I247</f>
        <v/>
      </c>
      <c r="K247" t="n">
        <v>-0.005</v>
      </c>
      <c r="L247" t="n">
        <v>-56976.95983897857</v>
      </c>
      <c r="M247" t="n">
        <v>52416.82643078226</v>
      </c>
      <c r="N247" t="n">
        <v>0</v>
      </c>
      <c r="O247" t="n">
        <v>0</v>
      </c>
      <c r="P247" t="n">
        <v>162.6936412056705</v>
      </c>
      <c r="Q247" t="n">
        <v>0.0432</v>
      </c>
      <c r="R247" t="n">
        <v>364.520447098187</v>
      </c>
      <c r="S247" t="n">
        <v>-5309.464785101387</v>
      </c>
    </row>
    <row r="248">
      <c r="A248" s="1" t="n">
        <v>44943</v>
      </c>
      <c r="B248" t="inlineStr">
        <is>
          <t>NUGT</t>
        </is>
      </c>
      <c r="C248" t="inlineStr">
        <is>
          <t>GDX</t>
        </is>
      </c>
      <c r="D248" t="n">
        <v>30.42994499206543</v>
      </c>
      <c r="E248" t="n">
        <v>-39.70292282104492</v>
      </c>
      <c r="F248" t="n">
        <v>15534</v>
      </c>
      <c r="G248" t="n">
        <v>-5817</v>
      </c>
      <c r="H248">
        <f>D248*F248</f>
        <v/>
      </c>
      <c r="I248">
        <f>E248*G248</f>
        <v/>
      </c>
      <c r="J248">
        <f>H248-I248</f>
        <v/>
      </c>
      <c r="K248" t="n">
        <v>-0.0175</v>
      </c>
      <c r="L248" t="n">
        <v>-16947.11626658548</v>
      </c>
      <c r="M248" t="n">
        <v>15816.0966078515</v>
      </c>
      <c r="N248" t="n">
        <v>0</v>
      </c>
      <c r="O248" t="n">
        <v>0</v>
      </c>
      <c r="P248" t="n">
        <v>162.6936412056705</v>
      </c>
      <c r="Q248" t="n">
        <v>0.0432</v>
      </c>
      <c r="R248" t="n">
        <v>364.520447098187</v>
      </c>
      <c r="S248" t="n">
        <v>-1609.997521365043</v>
      </c>
    </row>
    <row r="249">
      <c r="A249" s="1" t="n">
        <v>44943</v>
      </c>
      <c r="B249" t="inlineStr">
        <is>
          <t>GGLL</t>
        </is>
      </c>
      <c r="C249" t="inlineStr">
        <is>
          <t>GOOGL</t>
        </is>
      </c>
      <c r="D249" t="n">
        <v>90.54167175292969</v>
      </c>
      <c r="E249" t="n">
        <v>-16.77983283996582</v>
      </c>
      <c r="F249" t="n">
        <v>21017</v>
      </c>
      <c r="G249" t="n">
        <v>-56586</v>
      </c>
      <c r="H249">
        <f>D249*F249</f>
        <v/>
      </c>
      <c r="I249">
        <f>E249*G249</f>
        <v/>
      </c>
      <c r="J249">
        <f>H249-I249</f>
        <v/>
      </c>
      <c r="K249" t="n">
        <v>-0</v>
      </c>
      <c r="L249" t="n">
        <v>-17302.00784242929</v>
      </c>
      <c r="M249" t="n">
        <v>12315.92759647287</v>
      </c>
      <c r="N249" t="n">
        <v>0</v>
      </c>
      <c r="O249" t="n">
        <v>0</v>
      </c>
      <c r="P249" t="n">
        <v>162.6936412056705</v>
      </c>
      <c r="Q249" t="n">
        <v>0.0432</v>
      </c>
      <c r="R249" t="n">
        <v>364.520447098187</v>
      </c>
      <c r="S249" t="n">
        <v>-5811.364863378621</v>
      </c>
    </row>
    <row r="250">
      <c r="A250" s="1" t="n">
        <v>44943</v>
      </c>
      <c r="B250" t="inlineStr">
        <is>
          <t>CWEB</t>
        </is>
      </c>
      <c r="C250" t="inlineStr">
        <is>
          <t>KWEB</t>
        </is>
      </c>
      <c r="D250" t="n">
        <v>30.62996864318848</v>
      </c>
      <c r="E250" t="n">
        <v>-57.92232894897461</v>
      </c>
      <c r="F250" t="n">
        <v>14190</v>
      </c>
      <c r="G250" t="n">
        <v>-3658</v>
      </c>
      <c r="H250">
        <f>D250*F250</f>
        <v/>
      </c>
      <c r="I250">
        <f>E250*G250</f>
        <v/>
      </c>
      <c r="J250">
        <f>H250-I250</f>
        <v/>
      </c>
      <c r="K250" t="n">
        <v>-0.02</v>
      </c>
      <c r="L250" t="n">
        <v>-15128.5300529999</v>
      </c>
      <c r="M250" t="n">
        <v>13565.68296978674</v>
      </c>
      <c r="N250" t="n">
        <v>0</v>
      </c>
      <c r="O250" t="n">
        <v>0</v>
      </c>
      <c r="P250" t="n">
        <v>162.6936412056705</v>
      </c>
      <c r="Q250" t="n">
        <v>0.0432</v>
      </c>
      <c r="R250" t="n">
        <v>364.520447098187</v>
      </c>
      <c r="S250" t="n">
        <v>-2032.609366025619</v>
      </c>
    </row>
    <row r="251">
      <c r="A251" s="1" t="n">
        <v>44943</v>
      </c>
      <c r="B251" t="inlineStr">
        <is>
          <t>FBL</t>
        </is>
      </c>
      <c r="C251" t="inlineStr">
        <is>
          <t>META</t>
        </is>
      </c>
      <c r="D251" t="n">
        <v>134.3060302734375</v>
      </c>
      <c r="E251" t="n">
        <v>-4.103632926940918</v>
      </c>
      <c r="F251" t="n">
        <v>25557</v>
      </c>
      <c r="G251" t="n">
        <v>-416175</v>
      </c>
      <c r="H251">
        <f>D251*F251</f>
        <v/>
      </c>
      <c r="I251">
        <f>E251*G251</f>
        <v/>
      </c>
      <c r="J251">
        <f>H251-I251</f>
        <v/>
      </c>
      <c r="K251" t="n">
        <v>-0.01</v>
      </c>
      <c r="L251" t="n">
        <v>-41081.44073816905</v>
      </c>
      <c r="M251" t="n">
        <v>29870.33676370608</v>
      </c>
      <c r="N251" t="n">
        <v>0</v>
      </c>
      <c r="O251" t="n">
        <v>0</v>
      </c>
      <c r="P251" t="n">
        <v>162.6936412056705</v>
      </c>
      <c r="Q251" t="n">
        <v>0.0432</v>
      </c>
      <c r="R251" t="n">
        <v>364.520447098187</v>
      </c>
      <c r="S251" t="n">
        <v>-12406.74656407336</v>
      </c>
    </row>
    <row r="252">
      <c r="A252" s="1" t="n">
        <v>44943</v>
      </c>
      <c r="B252" t="inlineStr">
        <is>
          <t>MSFU</t>
        </is>
      </c>
      <c r="C252" t="inlineStr">
        <is>
          <t>MSFT</t>
        </is>
      </c>
      <c r="D252" t="n">
        <v>234.2030944824219</v>
      </c>
      <c r="E252" t="n">
        <v>-18.77251625061035</v>
      </c>
      <c r="F252" t="n">
        <v>8999</v>
      </c>
      <c r="G252" t="n">
        <v>-56464</v>
      </c>
      <c r="H252">
        <f>D252*F252</f>
        <v/>
      </c>
      <c r="I252">
        <f>E252*G252</f>
        <v/>
      </c>
      <c r="J252">
        <f>H252-I252</f>
        <v/>
      </c>
      <c r="K252" t="n">
        <v>-0.005</v>
      </c>
      <c r="L252" t="n">
        <v>9821.236884453674</v>
      </c>
      <c r="M252" t="n">
        <v>-6474.258331139054</v>
      </c>
      <c r="N252" t="n">
        <v>0</v>
      </c>
      <c r="O252" t="n">
        <v>0</v>
      </c>
      <c r="P252" t="n">
        <v>162.6936412056705</v>
      </c>
      <c r="Q252" t="n">
        <v>0.0432</v>
      </c>
      <c r="R252" t="n">
        <v>364.520447098187</v>
      </c>
      <c r="S252" t="n">
        <v>2472.133689356906</v>
      </c>
    </row>
    <row r="253">
      <c r="A253" s="1" t="n">
        <v>44943</v>
      </c>
      <c r="B253" t="inlineStr">
        <is>
          <t>NVDL</t>
        </is>
      </c>
      <c r="C253" t="inlineStr">
        <is>
          <t>NVDA</t>
        </is>
      </c>
      <c r="D253" t="n">
        <v>17.68334007263184</v>
      </c>
      <c r="E253" t="n">
        <v>-3.711573839187622</v>
      </c>
      <c r="F253" t="n">
        <v>281811</v>
      </c>
      <c r="G253" t="n">
        <v>-687933</v>
      </c>
      <c r="H253">
        <f>D253*F253</f>
        <v/>
      </c>
      <c r="I253">
        <f>E253*G253</f>
        <v/>
      </c>
      <c r="J253">
        <f>H253-I253</f>
        <v/>
      </c>
      <c r="K253" t="n">
        <v>-0</v>
      </c>
      <c r="L253" t="n">
        <v>226066.0296627203</v>
      </c>
      <c r="M253" t="n">
        <v>-151781.143864797</v>
      </c>
      <c r="N253" t="n">
        <v>0</v>
      </c>
      <c r="O253" t="n">
        <v>0</v>
      </c>
      <c r="P253" t="n">
        <v>162.6936412056705</v>
      </c>
      <c r="Q253" t="n">
        <v>0.0432</v>
      </c>
      <c r="R253" t="n">
        <v>364.520447098187</v>
      </c>
      <c r="S253" t="n">
        <v>72713.71426733116</v>
      </c>
    </row>
    <row r="254">
      <c r="A254" s="1" t="n">
        <v>44943</v>
      </c>
      <c r="B254" t="inlineStr">
        <is>
          <t>SOXL</t>
        </is>
      </c>
      <c r="C254" t="inlineStr">
        <is>
          <t>SOXX</t>
        </is>
      </c>
      <c r="D254" t="n">
        <v>125.9098587036133</v>
      </c>
      <c r="E254" t="n">
        <v>-12.77940940856934</v>
      </c>
      <c r="F254" t="n">
        <v>8623</v>
      </c>
      <c r="G254" t="n">
        <v>-28873</v>
      </c>
      <c r="H254">
        <f>D254*F254</f>
        <v/>
      </c>
      <c r="I254">
        <f>E254*G254</f>
        <v/>
      </c>
      <c r="J254">
        <f>H254-I254</f>
        <v/>
      </c>
      <c r="K254" t="n">
        <v>-0.0175</v>
      </c>
      <c r="L254" t="n">
        <v>1235.687299323271</v>
      </c>
      <c r="M254" t="n">
        <v>-2942.600232287546</v>
      </c>
      <c r="N254" t="n">
        <v>0</v>
      </c>
      <c r="O254" t="n">
        <v>0</v>
      </c>
      <c r="P254" t="n">
        <v>162.6936412056705</v>
      </c>
      <c r="Q254" t="n">
        <v>0.0432</v>
      </c>
      <c r="R254" t="n">
        <v>364.520447098187</v>
      </c>
      <c r="S254" t="n">
        <v>-2334.325512871782</v>
      </c>
    </row>
    <row r="255">
      <c r="A255" s="1" t="n">
        <v>44943</v>
      </c>
      <c r="B255" t="inlineStr">
        <is>
          <t>SOXS</t>
        </is>
      </c>
      <c r="C255" t="inlineStr">
        <is>
          <t>SOXX</t>
        </is>
      </c>
      <c r="D255" t="n">
        <v>-0</v>
      </c>
      <c r="E255" t="n">
        <v>-19811.19937240868</v>
      </c>
      <c r="F255" t="n">
        <v>-6748</v>
      </c>
      <c r="G255" t="n">
        <v>-57</v>
      </c>
      <c r="H255">
        <f>D255*F255</f>
        <v/>
      </c>
      <c r="I255">
        <f>E255*G255</f>
        <v/>
      </c>
      <c r="J255">
        <f>H255-I255</f>
        <v/>
      </c>
      <c r="K255" t="n">
        <v>0.07000000000000001</v>
      </c>
      <c r="L255" t="n">
        <v>-966.9973206347482</v>
      </c>
      <c r="M255" t="n">
        <v>2441.712825953879</v>
      </c>
      <c r="N255" t="n">
        <v>211.4280347761142</v>
      </c>
      <c r="O255" t="n">
        <v>0</v>
      </c>
      <c r="P255" t="n">
        <v>-986.4247063330652</v>
      </c>
      <c r="Q255" t="n">
        <v>0.0432</v>
      </c>
      <c r="R255" t="n">
        <v>364.520447098187</v>
      </c>
      <c r="S255" t="n">
        <v>898.7670234448292</v>
      </c>
    </row>
    <row r="256">
      <c r="A256" s="1" t="n">
        <v>44943</v>
      </c>
      <c r="B256" t="inlineStr">
        <is>
          <t>HIBL</t>
        </is>
      </c>
      <c r="C256" t="inlineStr">
        <is>
          <t>SPHB</t>
        </is>
      </c>
      <c r="D256" t="n">
        <v>67.20693206787109</v>
      </c>
      <c r="E256" t="n">
        <v>-30.37043380737305</v>
      </c>
      <c r="F256" t="n">
        <v>6387</v>
      </c>
      <c r="G256" t="n">
        <v>-4747</v>
      </c>
      <c r="H256">
        <f>D256*F256</f>
        <v/>
      </c>
      <c r="I256">
        <f>E256*G256</f>
        <v/>
      </c>
      <c r="J256">
        <f>H256-I256</f>
        <v/>
      </c>
      <c r="K256" t="n">
        <v>0.12</v>
      </c>
      <c r="L256" t="n">
        <v>2117.069335942326</v>
      </c>
      <c r="M256" t="n">
        <v>-2068.252560341253</v>
      </c>
      <c r="N256" t="n">
        <v>186.8878014980139</v>
      </c>
      <c r="O256" t="n">
        <v>0</v>
      </c>
      <c r="P256" t="n">
        <v>-504.5483024740728</v>
      </c>
      <c r="Q256" t="n">
        <v>0.0432</v>
      </c>
      <c r="R256" t="n">
        <v>364.520447098187</v>
      </c>
      <c r="S256" t="n">
        <v>-606.5285392090054</v>
      </c>
    </row>
    <row r="257">
      <c r="A257" s="1" t="n">
        <v>44943</v>
      </c>
      <c r="B257" t="inlineStr">
        <is>
          <t>TSLL</t>
        </is>
      </c>
      <c r="C257" t="inlineStr">
        <is>
          <t>TSLA</t>
        </is>
      </c>
      <c r="D257" t="n">
        <v>131.4900054931641</v>
      </c>
      <c r="E257" t="n">
        <v>-5.870138645172119</v>
      </c>
      <c r="F257" t="n">
        <v>16126</v>
      </c>
      <c r="G257" t="n">
        <v>-187432</v>
      </c>
      <c r="H257">
        <f>D257*F257</f>
        <v/>
      </c>
      <c r="I257">
        <f>E257*G257</f>
        <v/>
      </c>
      <c r="J257">
        <f>H257-I257</f>
        <v/>
      </c>
      <c r="K257" t="n">
        <v>0.01</v>
      </c>
      <c r="L257" t="n">
        <v>146591.5763979905</v>
      </c>
      <c r="M257" t="n">
        <v>-104483.5438955193</v>
      </c>
      <c r="N257" t="n">
        <v>118.8561285879889</v>
      </c>
      <c r="O257" t="n">
        <v>0</v>
      </c>
      <c r="P257" t="n">
        <v>-188.713550048231</v>
      </c>
      <c r="Q257" t="n">
        <v>0.0432</v>
      </c>
      <c r="R257" t="n">
        <v>364.520447098187</v>
      </c>
      <c r="S257" t="n">
        <v>41111.22873457498</v>
      </c>
    </row>
    <row r="258">
      <c r="A258" s="1" t="n">
        <v>44943</v>
      </c>
      <c r="B258" t="inlineStr">
        <is>
          <t>TSLQ</t>
        </is>
      </c>
      <c r="C258" t="inlineStr">
        <is>
          <t>TSLA</t>
        </is>
      </c>
      <c r="D258" t="n">
        <v>-0</v>
      </c>
      <c r="E258" t="n">
        <v>-3097.851698389593</v>
      </c>
      <c r="F258" t="n">
        <v>-5992</v>
      </c>
      <c r="G258" t="n">
        <v>-371</v>
      </c>
      <c r="H258">
        <f>D258*F258</f>
        <v/>
      </c>
      <c r="I258">
        <f>E258*G258</f>
        <v/>
      </c>
      <c r="J258">
        <f>H258-I258</f>
        <v/>
      </c>
      <c r="K258" t="n">
        <v>-0.02</v>
      </c>
      <c r="L258" t="n">
        <v>-54469.59728244816</v>
      </c>
      <c r="M258" t="n">
        <v>27583.97007459603</v>
      </c>
      <c r="N258" t="n">
        <v>0</v>
      </c>
      <c r="O258" t="n">
        <v>0</v>
      </c>
      <c r="P258" t="n">
        <v>162.6936412056705</v>
      </c>
      <c r="Q258" t="n">
        <v>0.0432</v>
      </c>
      <c r="R258" t="n">
        <v>364.520447098187</v>
      </c>
      <c r="S258" t="n">
        <v>-27250.14765495031</v>
      </c>
    </row>
    <row r="259">
      <c r="A259" s="1" t="n">
        <v>44943</v>
      </c>
      <c r="B259" t="inlineStr">
        <is>
          <t>LABU</t>
        </is>
      </c>
      <c r="C259" t="inlineStr">
        <is>
          <t>XBI</t>
        </is>
      </c>
      <c r="D259" t="n">
        <v>86.39641571044922</v>
      </c>
      <c r="E259" t="n">
        <v>-156.9417877197266</v>
      </c>
      <c r="F259" t="n">
        <v>3391</v>
      </c>
      <c r="G259" t="n">
        <v>-614</v>
      </c>
      <c r="H259">
        <f>D259*F259</f>
        <v/>
      </c>
      <c r="I259">
        <f>E259*G259</f>
        <v/>
      </c>
      <c r="J259">
        <f>H259-I259</f>
        <v/>
      </c>
      <c r="K259" t="n">
        <v>0.1</v>
      </c>
      <c r="L259" t="n">
        <v>-3440.559007831348</v>
      </c>
      <c r="M259" t="n">
        <v>2740.609448858773</v>
      </c>
      <c r="N259" t="n">
        <v>104.0965769032447</v>
      </c>
      <c r="O259" t="n">
        <v>0</v>
      </c>
      <c r="P259" t="n">
        <v>-281.0521088886464</v>
      </c>
      <c r="Q259" t="n">
        <v>0.0432</v>
      </c>
      <c r="R259" t="n">
        <v>364.520447098187</v>
      </c>
      <c r="S259" t="n">
        <v>-1239.50524326847</v>
      </c>
    </row>
    <row r="260">
      <c r="A260" s="1" t="n">
        <v>44943</v>
      </c>
      <c r="B260" t="inlineStr">
        <is>
          <t>ERX</t>
        </is>
      </c>
      <c r="C260" t="inlineStr">
        <is>
          <t>XLE</t>
        </is>
      </c>
      <c r="D260" t="n">
        <v>40.45371627807617</v>
      </c>
      <c r="E260" t="n">
        <v>-64.27223205566406</v>
      </c>
      <c r="F260" t="n">
        <v>1882</v>
      </c>
      <c r="G260" t="n">
        <v>-596</v>
      </c>
      <c r="H260">
        <f>D260*F260</f>
        <v/>
      </c>
      <c r="I260">
        <f>E260*G260</f>
        <v/>
      </c>
      <c r="J260">
        <f>H260-I260</f>
        <v/>
      </c>
      <c r="K260" t="n">
        <v>0.12</v>
      </c>
      <c r="L260" t="n">
        <v>160.4775823044975</v>
      </c>
      <c r="M260" t="n">
        <v>-93.00502818991775</v>
      </c>
      <c r="N260" t="n">
        <v>49.65698763315552</v>
      </c>
      <c r="O260" t="n">
        <v>0</v>
      </c>
      <c r="P260" t="n">
        <v>-6.534702769302143</v>
      </c>
      <c r="Q260" t="n">
        <v>0.0432</v>
      </c>
      <c r="R260" t="n">
        <v>364.520447098187</v>
      </c>
      <c r="S260" t="n">
        <v>-365.1396415715487</v>
      </c>
    </row>
    <row r="261">
      <c r="A261" s="1" t="n">
        <v>44943</v>
      </c>
      <c r="B261" t="inlineStr">
        <is>
          <t>GUSH</t>
        </is>
      </c>
      <c r="C261" t="inlineStr">
        <is>
          <t>XOP</t>
        </is>
      </c>
      <c r="D261" t="n">
        <v>128.9299163818359</v>
      </c>
      <c r="E261" t="n">
        <v>-35.07498931884766</v>
      </c>
      <c r="F261" t="n">
        <v>3048</v>
      </c>
      <c r="G261" t="n">
        <v>-5589</v>
      </c>
      <c r="H261">
        <f>D261*F261</f>
        <v/>
      </c>
      <c r="I261">
        <f>E261*G261</f>
        <v/>
      </c>
      <c r="J261">
        <f>H261-I261</f>
        <v/>
      </c>
      <c r="K261" t="n">
        <v>-0.01</v>
      </c>
      <c r="L261" t="n">
        <v>1855.964866470486</v>
      </c>
      <c r="M261" t="n">
        <v>-1374.548390295043</v>
      </c>
      <c r="N261" t="n">
        <v>0</v>
      </c>
      <c r="O261" t="n">
        <v>0</v>
      </c>
      <c r="P261" t="n">
        <v>162.6936412056705</v>
      </c>
      <c r="Q261" t="n">
        <v>0.0432</v>
      </c>
      <c r="R261" t="n">
        <v>364.520447098187</v>
      </c>
      <c r="S261" t="n">
        <v>21.74179216221717</v>
      </c>
    </row>
    <row r="262">
      <c r="A262" s="1" t="n">
        <v>44944</v>
      </c>
      <c r="B262" t="inlineStr">
        <is>
          <t>AAPB</t>
        </is>
      </c>
      <c r="C262" t="inlineStr">
        <is>
          <t>AAPL</t>
        </is>
      </c>
      <c r="D262" t="n">
        <v>133.0759887695312</v>
      </c>
      <c r="E262" t="n">
        <v>-13.27940654754639</v>
      </c>
      <c r="F262" t="n">
        <v>9057</v>
      </c>
      <c r="G262" t="n">
        <v>-45734</v>
      </c>
      <c r="H262">
        <f>D262*F262</f>
        <v/>
      </c>
      <c r="I262">
        <f>E262*G262</f>
        <v/>
      </c>
      <c r="J262">
        <f>H262-I262</f>
        <v/>
      </c>
      <c r="K262" t="n">
        <v>-0.005</v>
      </c>
      <c r="L262" t="n">
        <v>-6507.643381965382</v>
      </c>
      <c r="M262" t="n">
        <v>4547.097660371373</v>
      </c>
      <c r="N262" t="n">
        <v>-0</v>
      </c>
      <c r="O262" t="n">
        <v>0</v>
      </c>
      <c r="P262" t="n">
        <v>162.6936412056705</v>
      </c>
      <c r="Q262" t="n">
        <v>0.0432</v>
      </c>
      <c r="R262" t="n">
        <v>-476.9190612305234</v>
      </c>
      <c r="S262" t="n">
        <v>-1093.710286766492</v>
      </c>
    </row>
    <row r="263">
      <c r="A263" s="1" t="n">
        <v>44944</v>
      </c>
      <c r="B263" t="inlineStr">
        <is>
          <t>AAPU</t>
        </is>
      </c>
      <c r="C263" t="inlineStr">
        <is>
          <t>AAPL</t>
        </is>
      </c>
      <c r="D263" t="n">
        <v>133.0759887695312</v>
      </c>
      <c r="E263" t="n">
        <v>-13.59610843658447</v>
      </c>
      <c r="F263" t="n">
        <v>7658</v>
      </c>
      <c r="G263" t="n">
        <v>-37829</v>
      </c>
      <c r="H263">
        <f>D263*F263</f>
        <v/>
      </c>
      <c r="I263">
        <f>E263*G263</f>
        <v/>
      </c>
      <c r="J263">
        <f>H263-I263</f>
        <v/>
      </c>
      <c r="K263" t="n">
        <v>0.02</v>
      </c>
      <c r="L263" t="n">
        <v>-5502.432706093728</v>
      </c>
      <c r="M263" t="n">
        <v>4427.135735795093</v>
      </c>
      <c r="N263" t="n">
        <v>-154.46664417739</v>
      </c>
      <c r="O263" t="n">
        <v>0</v>
      </c>
      <c r="P263" t="n">
        <v>-365.5422193256417</v>
      </c>
      <c r="Q263" t="n">
        <v>0.0432</v>
      </c>
      <c r="R263" t="n">
        <v>-476.9190612305234</v>
      </c>
      <c r="S263" t="n">
        <v>-114.2237757656488</v>
      </c>
    </row>
    <row r="264">
      <c r="A264" s="1" t="n">
        <v>44944</v>
      </c>
      <c r="B264" t="inlineStr">
        <is>
          <t>AMZU</t>
        </is>
      </c>
      <c r="C264" t="inlineStr">
        <is>
          <t>AMZN</t>
        </is>
      </c>
      <c r="D264" t="n">
        <v>95.45999908447266</v>
      </c>
      <c r="E264" t="n">
        <v>-13.45216274261475</v>
      </c>
      <c r="F264" t="n">
        <v>26092</v>
      </c>
      <c r="G264" t="n">
        <v>-91789</v>
      </c>
      <c r="H264">
        <f>D264*F264</f>
        <v/>
      </c>
      <c r="I264">
        <f>E264*G264</f>
        <v/>
      </c>
      <c r="J264">
        <f>H264-I264</f>
        <v/>
      </c>
      <c r="K264" t="n">
        <v>-0.0025</v>
      </c>
      <c r="L264" t="n">
        <v>-15395.03174145813</v>
      </c>
      <c r="M264" t="n">
        <v>12029.67730090888</v>
      </c>
      <c r="N264" t="n">
        <v>-0</v>
      </c>
      <c r="O264" t="n">
        <v>0</v>
      </c>
      <c r="P264" t="n">
        <v>162.6936412056705</v>
      </c>
      <c r="Q264" t="n">
        <v>0.0432</v>
      </c>
      <c r="R264" t="n">
        <v>-476.9190612305234</v>
      </c>
      <c r="S264" t="n">
        <v>-2082.655907594804</v>
      </c>
    </row>
    <row r="265">
      <c r="A265" s="1" t="n">
        <v>44944</v>
      </c>
      <c r="B265" t="inlineStr">
        <is>
          <t>TARK</t>
        </is>
      </c>
      <c r="C265" t="inlineStr">
        <is>
          <t>ARKK</t>
        </is>
      </c>
      <c r="D265" t="n">
        <v>35.65266418457031</v>
      </c>
      <c r="E265" t="n">
        <v>-21.48321151733398</v>
      </c>
      <c r="F265" t="n">
        <v>18788</v>
      </c>
      <c r="G265" t="n">
        <v>-15784</v>
      </c>
      <c r="H265">
        <f>D265*F265</f>
        <v/>
      </c>
      <c r="I265">
        <f>E265*G265</f>
        <v/>
      </c>
      <c r="J265">
        <f>H265-I265</f>
        <v/>
      </c>
      <c r="K265" t="n">
        <v>-0.02</v>
      </c>
      <c r="L265" t="n">
        <v>-20310.34892126507</v>
      </c>
      <c r="M265" t="n">
        <v>19485.06394120941</v>
      </c>
      <c r="N265" t="n">
        <v>-0</v>
      </c>
      <c r="O265" t="n">
        <v>0</v>
      </c>
      <c r="P265" t="n">
        <v>162.6936412056705</v>
      </c>
      <c r="Q265" t="n">
        <v>0.0432</v>
      </c>
      <c r="R265" t="n">
        <v>-476.9190612305234</v>
      </c>
      <c r="S265" t="n">
        <v>-131.6654038931763</v>
      </c>
    </row>
    <row r="266">
      <c r="A266" s="1" t="n">
        <v>44944</v>
      </c>
      <c r="B266" t="inlineStr">
        <is>
          <t>CHAU</t>
        </is>
      </c>
      <c r="C266" t="inlineStr">
        <is>
          <t>ASHR</t>
        </is>
      </c>
      <c r="D266" t="n">
        <v>28.99729537963867</v>
      </c>
      <c r="E266" t="n">
        <v>-22.38564109802246</v>
      </c>
      <c r="F266" t="n">
        <v>5665</v>
      </c>
      <c r="G266" t="n">
        <v>-3740</v>
      </c>
      <c r="H266">
        <f>D266*F266</f>
        <v/>
      </c>
      <c r="I266">
        <f>E266*G266</f>
        <v/>
      </c>
      <c r="J266">
        <f>H266-I266</f>
        <v/>
      </c>
      <c r="K266" t="n">
        <v>-0.01</v>
      </c>
      <c r="L266" t="n">
        <v>-1121.144275967687</v>
      </c>
      <c r="M266" t="n">
        <v>947.5687391964581</v>
      </c>
      <c r="N266" t="n">
        <v>-0</v>
      </c>
      <c r="O266" t="n">
        <v>0</v>
      </c>
      <c r="P266" t="n">
        <v>162.6936412056705</v>
      </c>
      <c r="Q266" t="n">
        <v>0.0432</v>
      </c>
      <c r="R266" t="n">
        <v>-476.9190612305234</v>
      </c>
      <c r="S266" t="n">
        <v>356.4863706012341</v>
      </c>
    </row>
    <row r="267">
      <c r="A267" s="1" t="n">
        <v>44944</v>
      </c>
      <c r="B267" t="inlineStr">
        <is>
          <t>BABX</t>
        </is>
      </c>
      <c r="C267" t="inlineStr">
        <is>
          <t>BABA</t>
        </is>
      </c>
      <c r="D267" t="n">
        <v>107.5244750976562</v>
      </c>
      <c r="E267" t="n">
        <v>-36.70999908447266</v>
      </c>
      <c r="F267" t="n">
        <v>4529</v>
      </c>
      <c r="G267" t="n">
        <v>-6431</v>
      </c>
      <c r="H267">
        <f>D267*F267</f>
        <v/>
      </c>
      <c r="I267">
        <f>E267*G267</f>
        <v/>
      </c>
      <c r="J267">
        <f>H267-I267</f>
        <v/>
      </c>
      <c r="K267" t="n">
        <v>-0.0275</v>
      </c>
      <c r="L267" t="n">
        <v>-8473.641995313843</v>
      </c>
      <c r="M267" t="n">
        <v>7599.230378210467</v>
      </c>
      <c r="N267" t="n">
        <v>-0</v>
      </c>
      <c r="O267" t="n">
        <v>0</v>
      </c>
      <c r="P267" t="n">
        <v>162.6936412056705</v>
      </c>
      <c r="Q267" t="n">
        <v>0.0432</v>
      </c>
      <c r="R267" t="n">
        <v>-476.9190612305234</v>
      </c>
      <c r="S267" t="n">
        <v>-239.9503017516059</v>
      </c>
    </row>
    <row r="268">
      <c r="A268" s="1" t="n">
        <v>44944</v>
      </c>
      <c r="B268" t="inlineStr">
        <is>
          <t>CONL</t>
        </is>
      </c>
      <c r="C268" t="inlineStr">
        <is>
          <t>COIN</t>
        </is>
      </c>
      <c r="D268" t="n">
        <v>50.20999908447266</v>
      </c>
      <c r="E268" t="n">
        <v>-7.421611309051514</v>
      </c>
      <c r="F268" t="n">
        <v>71777</v>
      </c>
      <c r="G268" t="n">
        <v>-242943</v>
      </c>
      <c r="H268">
        <f>D268*F268</f>
        <v/>
      </c>
      <c r="I268">
        <f>E268*G268</f>
        <v/>
      </c>
      <c r="J268">
        <f>H268-I268</f>
        <v/>
      </c>
      <c r="K268" t="n">
        <v>0.03</v>
      </c>
      <c r="L268" t="n">
        <v>-282095.509888639</v>
      </c>
      <c r="M268" t="n">
        <v>213397.226140191</v>
      </c>
      <c r="N268" t="n">
        <v>-812.2488130627891</v>
      </c>
      <c r="O268" t="n">
        <v>0</v>
      </c>
      <c r="P268" t="n">
        <v>-2139.382062995491</v>
      </c>
      <c r="Q268" t="n">
        <v>0.0432</v>
      </c>
      <c r="R268" t="n">
        <v>-476.9190612305234</v>
      </c>
      <c r="S268" t="n">
        <v>-66243.21153325272</v>
      </c>
    </row>
    <row r="269">
      <c r="A269" s="1" t="n">
        <v>44944</v>
      </c>
      <c r="B269" t="inlineStr">
        <is>
          <t>MEXX</t>
        </is>
      </c>
      <c r="C269" t="inlineStr">
        <is>
          <t>EWW</t>
        </is>
      </c>
      <c r="D269" t="n">
        <v>50.77806091308594</v>
      </c>
      <c r="E269" t="n">
        <v>-22.04853630065918</v>
      </c>
      <c r="F269" t="n">
        <v>8705</v>
      </c>
      <c r="G269" t="n">
        <v>-6605</v>
      </c>
      <c r="H269">
        <f>D269*F269</f>
        <v/>
      </c>
      <c r="I269">
        <f>E269*G269</f>
        <v/>
      </c>
      <c r="J269">
        <f>H269-I269</f>
        <v/>
      </c>
      <c r="K269" t="n">
        <v>0.0075</v>
      </c>
      <c r="L269" t="n">
        <v>-3943.257676265576</v>
      </c>
      <c r="M269" t="n">
        <v>3833.676400178037</v>
      </c>
      <c r="N269" t="n">
        <v>-16.40133066735698</v>
      </c>
      <c r="O269" t="n">
        <v>0</v>
      </c>
      <c r="P269" t="n">
        <v>104.3712789424315</v>
      </c>
      <c r="Q269" t="n">
        <v>0.0432</v>
      </c>
      <c r="R269" t="n">
        <v>-476.9190612305234</v>
      </c>
      <c r="S269" t="n">
        <v>526.7378822028136</v>
      </c>
    </row>
    <row r="270">
      <c r="A270" s="1" t="n">
        <v>44944</v>
      </c>
      <c r="B270" t="inlineStr">
        <is>
          <t>KORU</t>
        </is>
      </c>
      <c r="C270" t="inlineStr">
        <is>
          <t>EWY</t>
        </is>
      </c>
      <c r="D270" t="n">
        <v>57.08259201049805</v>
      </c>
      <c r="E270" t="n">
        <v>-88.29236602783203</v>
      </c>
      <c r="F270" t="n">
        <v>12312</v>
      </c>
      <c r="G270" t="n">
        <v>-2618</v>
      </c>
      <c r="H270">
        <f>D270*F270</f>
        <v/>
      </c>
      <c r="I270">
        <f>E270*G270</f>
        <v/>
      </c>
      <c r="J270">
        <f>H270-I270</f>
        <v/>
      </c>
      <c r="K270" t="n">
        <v>0.0225</v>
      </c>
      <c r="L270" t="n">
        <v>-10659.32010085147</v>
      </c>
      <c r="M270" t="n">
        <v>9958.776431074379</v>
      </c>
      <c r="N270" t="n">
        <v>-78.09811478891334</v>
      </c>
      <c r="O270" t="n">
        <v>0</v>
      </c>
      <c r="P270" t="n">
        <v>-138.6314099677093</v>
      </c>
      <c r="Q270" t="n">
        <v>0.0432</v>
      </c>
      <c r="R270" t="n">
        <v>-476.9190612305234</v>
      </c>
      <c r="S270" t="n">
        <v>81.83645620415177</v>
      </c>
    </row>
    <row r="271">
      <c r="A271" s="1" t="n">
        <v>44944</v>
      </c>
      <c r="B271" t="inlineStr">
        <is>
          <t>YINN</t>
        </is>
      </c>
      <c r="C271" t="inlineStr">
        <is>
          <t>FXI</t>
        </is>
      </c>
      <c r="D271" t="n">
        <v>28.86992073059082</v>
      </c>
      <c r="E271" t="n">
        <v>-55.84358596801758</v>
      </c>
      <c r="F271" t="n">
        <v>34613</v>
      </c>
      <c r="G271" t="n">
        <v>-5631</v>
      </c>
      <c r="H271">
        <f>D271*F271</f>
        <v/>
      </c>
      <c r="I271">
        <f>E271*G271</f>
        <v/>
      </c>
      <c r="J271">
        <f>H271-I271</f>
        <v/>
      </c>
      <c r="K271" t="n">
        <v>-0.02</v>
      </c>
      <c r="L271" t="n">
        <v>-9967.382928786317</v>
      </c>
      <c r="M271" t="n">
        <v>9570.709394093259</v>
      </c>
      <c r="N271" t="n">
        <v>-0</v>
      </c>
      <c r="O271" t="n">
        <v>0</v>
      </c>
      <c r="P271" t="n">
        <v>162.6936412056705</v>
      </c>
      <c r="Q271" t="n">
        <v>0.0432</v>
      </c>
      <c r="R271" t="n">
        <v>-476.9190612305234</v>
      </c>
      <c r="S271" t="n">
        <v>403.5206133881968</v>
      </c>
    </row>
    <row r="272">
      <c r="A272" s="1" t="n">
        <v>44944</v>
      </c>
      <c r="B272" t="inlineStr">
        <is>
          <t>JNUG</t>
        </is>
      </c>
      <c r="C272" t="inlineStr">
        <is>
          <t>GDXJ</t>
        </is>
      </c>
      <c r="D272" t="n">
        <v>36.4771842956543</v>
      </c>
      <c r="E272" t="n">
        <v>-39.25250625610352</v>
      </c>
      <c r="F272" t="n">
        <v>13681</v>
      </c>
      <c r="G272" t="n">
        <v>-6148</v>
      </c>
      <c r="H272">
        <f>D272*F272</f>
        <v/>
      </c>
      <c r="I272">
        <f>E272*G272</f>
        <v/>
      </c>
      <c r="J272">
        <f>H272-I272</f>
        <v/>
      </c>
      <c r="K272" t="n">
        <v>-0.005</v>
      </c>
      <c r="L272" t="n">
        <v>-6989.010681176828</v>
      </c>
      <c r="M272" t="n">
        <v>6975.255638684922</v>
      </c>
      <c r="N272" t="n">
        <v>-0</v>
      </c>
      <c r="O272" t="n">
        <v>0</v>
      </c>
      <c r="P272" t="n">
        <v>162.6936412056705</v>
      </c>
      <c r="Q272" t="n">
        <v>0.0432</v>
      </c>
      <c r="R272" t="n">
        <v>-476.9190612305234</v>
      </c>
      <c r="S272" t="n">
        <v>624.6097452053127</v>
      </c>
    </row>
    <row r="273">
      <c r="A273" s="1" t="n">
        <v>44944</v>
      </c>
      <c r="B273" t="inlineStr">
        <is>
          <t>GDXU</t>
        </is>
      </c>
      <c r="C273" t="inlineStr">
        <is>
          <t>GDX</t>
        </is>
      </c>
      <c r="D273" t="n">
        <v>30.13066673278809</v>
      </c>
      <c r="E273" t="n">
        <v>-52.88999938964844</v>
      </c>
      <c r="F273" t="n">
        <v>52226</v>
      </c>
      <c r="G273" t="n">
        <v>-8886</v>
      </c>
      <c r="H273">
        <f>D273*F273</f>
        <v/>
      </c>
      <c r="I273">
        <f>E273*G273</f>
        <v/>
      </c>
      <c r="J273">
        <f>H273-I273</f>
        <v/>
      </c>
      <c r="K273" t="n">
        <v>-0.005</v>
      </c>
      <c r="L273" t="n">
        <v>-15630.76452189575</v>
      </c>
      <c r="M273" t="n">
        <v>14976.21778286356</v>
      </c>
      <c r="N273" t="n">
        <v>-0</v>
      </c>
      <c r="O273" t="n">
        <v>0</v>
      </c>
      <c r="P273" t="n">
        <v>162.6936412056705</v>
      </c>
      <c r="Q273" t="n">
        <v>0.0432</v>
      </c>
      <c r="R273" t="n">
        <v>-476.9190612305234</v>
      </c>
      <c r="S273" t="n">
        <v>331.4486580326891</v>
      </c>
    </row>
    <row r="274">
      <c r="A274" s="1" t="n">
        <v>44944</v>
      </c>
      <c r="B274" t="inlineStr">
        <is>
          <t>NUGT</t>
        </is>
      </c>
      <c r="C274" t="inlineStr">
        <is>
          <t>GDX</t>
        </is>
      </c>
      <c r="D274" t="n">
        <v>30.13066673278809</v>
      </c>
      <c r="E274" t="n">
        <v>-38.93461227416992</v>
      </c>
      <c r="F274" t="n">
        <v>15534</v>
      </c>
      <c r="G274" t="n">
        <v>-5817</v>
      </c>
      <c r="H274">
        <f>D274*F274</f>
        <v/>
      </c>
      <c r="I274">
        <f>E274*G274</f>
        <v/>
      </c>
      <c r="J274">
        <f>H274-I274</f>
        <v/>
      </c>
      <c r="K274" t="n">
        <v>-0.0175</v>
      </c>
      <c r="L274" t="n">
        <v>-4649.184239327702</v>
      </c>
      <c r="M274" t="n">
        <v>4231.671945718238</v>
      </c>
      <c r="N274" t="n">
        <v>-0</v>
      </c>
      <c r="O274" t="n">
        <v>0</v>
      </c>
      <c r="P274" t="n">
        <v>162.6936412056705</v>
      </c>
      <c r="Q274" t="n">
        <v>0.0432</v>
      </c>
      <c r="R274" t="n">
        <v>-476.9190612305234</v>
      </c>
      <c r="S274" t="n">
        <v>210.825444158623</v>
      </c>
    </row>
    <row r="275">
      <c r="A275" s="1" t="n">
        <v>44944</v>
      </c>
      <c r="B275" t="inlineStr">
        <is>
          <t>GGLL</t>
        </is>
      </c>
      <c r="C275" t="inlineStr">
        <is>
          <t>GOOGL</t>
        </is>
      </c>
      <c r="D275" t="n">
        <v>90.37306976318359</v>
      </c>
      <c r="E275" t="n">
        <v>-16.70499038696289</v>
      </c>
      <c r="F275" t="n">
        <v>21017</v>
      </c>
      <c r="G275" t="n">
        <v>-56586</v>
      </c>
      <c r="H275">
        <f>D275*F275</f>
        <v/>
      </c>
      <c r="I275">
        <f>E275*G275</f>
        <v/>
      </c>
      <c r="J275">
        <f>H275-I275</f>
        <v/>
      </c>
      <c r="K275" t="n">
        <v>-0</v>
      </c>
      <c r="L275" t="n">
        <v>-3543.657228610505</v>
      </c>
      <c r="M275" t="n">
        <v>4009.896305597495</v>
      </c>
      <c r="N275" t="n">
        <v>-0</v>
      </c>
      <c r="O275" t="n">
        <v>0</v>
      </c>
      <c r="P275" t="n">
        <v>162.6936412056705</v>
      </c>
      <c r="Q275" t="n">
        <v>0.0432</v>
      </c>
      <c r="R275" t="n">
        <v>-476.9190612305234</v>
      </c>
      <c r="S275" t="n">
        <v>1557.623154543288</v>
      </c>
    </row>
    <row r="276">
      <c r="A276" s="1" t="n">
        <v>44944</v>
      </c>
      <c r="B276" t="inlineStr">
        <is>
          <t>CWEB</t>
        </is>
      </c>
      <c r="C276" t="inlineStr">
        <is>
          <t>KWEB</t>
        </is>
      </c>
      <c r="D276" t="n">
        <v>29.85056114196777</v>
      </c>
      <c r="E276" t="n">
        <v>-55.0230712890625</v>
      </c>
      <c r="F276" t="n">
        <v>14190</v>
      </c>
      <c r="G276" t="n">
        <v>-3658</v>
      </c>
      <c r="H276">
        <f>D276*F276</f>
        <v/>
      </c>
      <c r="I276">
        <f>E276*G276</f>
        <v/>
      </c>
      <c r="J276">
        <f>H276-I276</f>
        <v/>
      </c>
      <c r="K276" t="n">
        <v>-0.02</v>
      </c>
      <c r="L276" t="n">
        <v>-11060.2581483154</v>
      </c>
      <c r="M276" t="n">
        <v>10041.68625230094</v>
      </c>
      <c r="N276" t="n">
        <v>-0</v>
      </c>
      <c r="O276" t="n">
        <v>0</v>
      </c>
      <c r="P276" t="n">
        <v>162.6936412056705</v>
      </c>
      <c r="Q276" t="n">
        <v>0.0432</v>
      </c>
      <c r="R276" t="n">
        <v>-476.9190612305234</v>
      </c>
      <c r="S276" t="n">
        <v>-404.6207395152539</v>
      </c>
    </row>
    <row r="277">
      <c r="A277" s="1" t="n">
        <v>44944</v>
      </c>
      <c r="B277" t="inlineStr">
        <is>
          <t>FBL</t>
        </is>
      </c>
      <c r="C277" t="inlineStr">
        <is>
          <t>META</t>
        </is>
      </c>
      <c r="D277" t="n">
        <v>131.9842529296875</v>
      </c>
      <c r="E277" t="n">
        <v>-4.000571250915527</v>
      </c>
      <c r="F277" t="n">
        <v>25557</v>
      </c>
      <c r="G277" t="n">
        <v>-416175</v>
      </c>
      <c r="H277">
        <f>D277*F277</f>
        <v/>
      </c>
      <c r="I277">
        <f>E277*G277</f>
        <v/>
      </c>
      <c r="J277">
        <f>H277-I277</f>
        <v/>
      </c>
      <c r="K277" t="n">
        <v>-0.01</v>
      </c>
      <c r="L277" t="n">
        <v>-59340.16216591642</v>
      </c>
      <c r="M277" t="n">
        <v>40611.52730221472</v>
      </c>
      <c r="N277" t="n">
        <v>-0</v>
      </c>
      <c r="O277" t="n">
        <v>0</v>
      </c>
      <c r="P277" t="n">
        <v>162.6936412056705</v>
      </c>
      <c r="Q277" t="n">
        <v>0.0432</v>
      </c>
      <c r="R277" t="n">
        <v>-476.9190612305234</v>
      </c>
      <c r="S277" t="n">
        <v>-17160.47801903058</v>
      </c>
    </row>
    <row r="278">
      <c r="A278" s="1" t="n">
        <v>44944</v>
      </c>
      <c r="B278" t="inlineStr">
        <is>
          <t>MSFU</t>
        </is>
      </c>
      <c r="C278" t="inlineStr">
        <is>
          <t>MSFT</t>
        </is>
      </c>
      <c r="D278" t="n">
        <v>229.7792205810547</v>
      </c>
      <c r="E278" t="n">
        <v>-18.24917411804199</v>
      </c>
      <c r="F278" t="n">
        <v>8999</v>
      </c>
      <c r="G278" t="n">
        <v>-56464</v>
      </c>
      <c r="H278">
        <f>D278*F278</f>
        <v/>
      </c>
      <c r="I278">
        <f>E278*G278</f>
        <v/>
      </c>
      <c r="J278">
        <f>H278-I278</f>
        <v/>
      </c>
      <c r="K278" t="n">
        <v>-0.005</v>
      </c>
      <c r="L278" t="n">
        <v>-39812.11757737536</v>
      </c>
      <c r="M278" t="n">
        <v>27979.08285291768</v>
      </c>
      <c r="N278" t="n">
        <v>-0</v>
      </c>
      <c r="O278" t="n">
        <v>0</v>
      </c>
      <c r="P278" t="n">
        <v>162.6936412056705</v>
      </c>
      <c r="Q278" t="n">
        <v>0.0432</v>
      </c>
      <c r="R278" t="n">
        <v>-476.9190612305234</v>
      </c>
      <c r="S278" t="n">
        <v>-10687.1675902056</v>
      </c>
    </row>
    <row r="279">
      <c r="A279" s="1" t="n">
        <v>44944</v>
      </c>
      <c r="B279" t="inlineStr">
        <is>
          <t>NVDL</t>
        </is>
      </c>
      <c r="C279" t="inlineStr">
        <is>
          <t>NVDA</t>
        </is>
      </c>
      <c r="D279" t="n">
        <v>17.35868263244629</v>
      </c>
      <c r="E279" t="n">
        <v>-3.623124361038208</v>
      </c>
      <c r="F279" t="n">
        <v>281811</v>
      </c>
      <c r="G279" t="n">
        <v>-687933</v>
      </c>
      <c r="H279">
        <f>D279*F279</f>
        <v/>
      </c>
      <c r="I279">
        <f>E279*G279</f>
        <v/>
      </c>
      <c r="J279">
        <f>H279-I279</f>
        <v/>
      </c>
      <c r="K279" t="n">
        <v>-0</v>
      </c>
      <c r="L279" t="n">
        <v>-91495.89042495683</v>
      </c>
      <c r="M279" t="n">
        <v>57612.61014397719</v>
      </c>
      <c r="N279" t="n">
        <v>-0</v>
      </c>
      <c r="O279" t="n">
        <v>0</v>
      </c>
      <c r="P279" t="n">
        <v>162.6936412056705</v>
      </c>
      <c r="Q279" t="n">
        <v>0.0432</v>
      </c>
      <c r="R279" t="n">
        <v>-476.9190612305234</v>
      </c>
      <c r="S279" t="n">
        <v>-31823.79421298427</v>
      </c>
    </row>
    <row r="280">
      <c r="A280" s="1" t="n">
        <v>44944</v>
      </c>
      <c r="B280" t="inlineStr">
        <is>
          <t>SOXL</t>
        </is>
      </c>
      <c r="C280" t="inlineStr">
        <is>
          <t>SOXX</t>
        </is>
      </c>
      <c r="D280" t="n">
        <v>125.2487945556641</v>
      </c>
      <c r="E280" t="n">
        <v>-12.54456520080566</v>
      </c>
      <c r="F280" t="n">
        <v>8623</v>
      </c>
      <c r="G280" t="n">
        <v>-28873</v>
      </c>
      <c r="H280">
        <f>D280*F280</f>
        <v/>
      </c>
      <c r="I280">
        <f>E280*G280</f>
        <v/>
      </c>
      <c r="J280">
        <f>H280-I280</f>
        <v/>
      </c>
      <c r="K280" t="n">
        <v>-0.0175</v>
      </c>
      <c r="L280" t="n">
        <v>-5700.596178493423</v>
      </c>
      <c r="M280" t="n">
        <v>6420.190246852663</v>
      </c>
      <c r="N280" t="n">
        <v>-0</v>
      </c>
      <c r="O280" t="n">
        <v>0</v>
      </c>
      <c r="P280" t="n">
        <v>162.6936412056705</v>
      </c>
      <c r="Q280" t="n">
        <v>0.0432</v>
      </c>
      <c r="R280" t="n">
        <v>-476.9190612305234</v>
      </c>
      <c r="S280" t="n">
        <v>1545.910268276825</v>
      </c>
    </row>
    <row r="281">
      <c r="A281" s="1" t="n">
        <v>44944</v>
      </c>
      <c r="B281" t="inlineStr">
        <is>
          <t>SOXS</t>
        </is>
      </c>
      <c r="C281" t="inlineStr">
        <is>
          <t>SOXX</t>
        </is>
      </c>
      <c r="D281" t="n">
        <v>-0</v>
      </c>
      <c r="E281" t="n">
        <v>-19823.42254210355</v>
      </c>
      <c r="F281" t="n">
        <v>-6748</v>
      </c>
      <c r="G281" t="n">
        <v>-57</v>
      </c>
      <c r="H281">
        <f>D281*F281</f>
        <v/>
      </c>
      <c r="I281">
        <f>E281*G281</f>
        <v/>
      </c>
      <c r="J281">
        <f>H281-I281</f>
        <v/>
      </c>
      <c r="K281" t="n">
        <v>0.07000000000000001</v>
      </c>
      <c r="L281" t="n">
        <v>4461.04870839309</v>
      </c>
      <c r="M281" t="n">
        <v>-4883.399299455396</v>
      </c>
      <c r="N281" t="n">
        <v>-299.3205215601624</v>
      </c>
      <c r="O281" t="n">
        <v>0</v>
      </c>
      <c r="P281" t="n">
        <v>-1285.745227893228</v>
      </c>
      <c r="Q281" t="n">
        <v>0.0432</v>
      </c>
      <c r="R281" t="n">
        <v>-476.9190612305234</v>
      </c>
      <c r="S281" t="n">
        <v>353.8889917283796</v>
      </c>
    </row>
    <row r="282">
      <c r="A282" s="1" t="n">
        <v>44944</v>
      </c>
      <c r="B282" t="inlineStr">
        <is>
          <t>HIBL</t>
        </is>
      </c>
      <c r="C282" t="inlineStr">
        <is>
          <t>SPHB</t>
        </is>
      </c>
      <c r="D282" t="n">
        <v>66.45630645751953</v>
      </c>
      <c r="E282" t="n">
        <v>-29.30631828308105</v>
      </c>
      <c r="F282" t="n">
        <v>6387</v>
      </c>
      <c r="G282" t="n">
        <v>-4747</v>
      </c>
      <c r="H282">
        <f>D282*F282</f>
        <v/>
      </c>
      <c r="I282">
        <f>E282*G282</f>
        <v/>
      </c>
      <c r="J282">
        <f>H282-I282</f>
        <v/>
      </c>
      <c r="K282" t="n">
        <v>0.12</v>
      </c>
      <c r="L282" t="n">
        <v>-4794.447649526326</v>
      </c>
      <c r="M282" t="n">
        <v>4782.821186507553</v>
      </c>
      <c r="N282" t="n">
        <v>-250.6842072829408</v>
      </c>
      <c r="O282" t="n">
        <v>0</v>
      </c>
      <c r="P282" t="n">
        <v>-755.2325097570135</v>
      </c>
      <c r="Q282" t="n">
        <v>0.0432</v>
      </c>
      <c r="R282" t="n">
        <v>-476.9190612305234</v>
      </c>
      <c r="S282" t="n">
        <v>853.2926080731627</v>
      </c>
    </row>
    <row r="283">
      <c r="A283" s="1" t="n">
        <v>44944</v>
      </c>
      <c r="B283" t="inlineStr">
        <is>
          <t>TSLL</t>
        </is>
      </c>
      <c r="C283" t="inlineStr">
        <is>
          <t>TSLA</t>
        </is>
      </c>
      <c r="D283" t="n">
        <v>128.7799987792969</v>
      </c>
      <c r="E283" t="n">
        <v>-5.696978569030762</v>
      </c>
      <c r="F283" t="n">
        <v>16126</v>
      </c>
      <c r="G283" t="n">
        <v>-187432</v>
      </c>
      <c r="H283">
        <f>D283*F283</f>
        <v/>
      </c>
      <c r="I283">
        <f>E283*G283</f>
        <v/>
      </c>
      <c r="J283">
        <f>H283-I283</f>
        <v/>
      </c>
      <c r="K283" t="n">
        <v>0.01</v>
      </c>
      <c r="L283" t="n">
        <v>-43703.40845446043</v>
      </c>
      <c r="M283" t="n">
        <v>30730.35950793363</v>
      </c>
      <c r="N283" t="n">
        <v>-160.3443126498926</v>
      </c>
      <c r="O283" t="n">
        <v>0</v>
      </c>
      <c r="P283" t="n">
        <v>-349.0578626981236</v>
      </c>
      <c r="Q283" t="n">
        <v>0.0432</v>
      </c>
      <c r="R283" t="n">
        <v>-476.9190612305234</v>
      </c>
      <c r="S283" t="n">
        <v>-11663.9508043629</v>
      </c>
    </row>
    <row r="284">
      <c r="A284" s="1" t="n">
        <v>44944</v>
      </c>
      <c r="B284" t="inlineStr">
        <is>
          <t>TSLQ</t>
        </is>
      </c>
      <c r="C284" t="inlineStr">
        <is>
          <t>TSLA</t>
        </is>
      </c>
      <c r="D284" t="n">
        <v>-0</v>
      </c>
      <c r="E284" t="n">
        <v>-3074.117140284125</v>
      </c>
      <c r="F284" t="n">
        <v>-5992</v>
      </c>
      <c r="G284" t="n">
        <v>-371</v>
      </c>
      <c r="H284">
        <f>D284*F284</f>
        <v/>
      </c>
      <c r="I284">
        <f>E284*G284</f>
        <v/>
      </c>
      <c r="J284">
        <f>H284-I284</f>
        <v/>
      </c>
      <c r="K284" t="n">
        <v>-0.02</v>
      </c>
      <c r="L284" t="n">
        <v>16239.04399473688</v>
      </c>
      <c r="M284" t="n">
        <v>-7037.701935467665</v>
      </c>
      <c r="N284" t="n">
        <v>-0</v>
      </c>
      <c r="O284" t="n">
        <v>0</v>
      </c>
      <c r="P284" t="n">
        <v>162.6936412056705</v>
      </c>
      <c r="Q284" t="n">
        <v>0.0432</v>
      </c>
      <c r="R284" t="n">
        <v>-476.9190612305234</v>
      </c>
      <c r="S284" t="n">
        <v>9678.261120499737</v>
      </c>
    </row>
    <row r="285">
      <c r="A285" s="1" t="n">
        <v>44944</v>
      </c>
      <c r="B285" t="inlineStr">
        <is>
          <t>LABU</t>
        </is>
      </c>
      <c r="C285" t="inlineStr">
        <is>
          <t>XBI</t>
        </is>
      </c>
      <c r="D285" t="n">
        <v>85.32218170166016</v>
      </c>
      <c r="E285" t="n">
        <v>-150.8527069091797</v>
      </c>
      <c r="F285" t="n">
        <v>3391</v>
      </c>
      <c r="G285" t="n">
        <v>-614</v>
      </c>
      <c r="H285">
        <f>D285*F285</f>
        <v/>
      </c>
      <c r="I285">
        <f>E285*G285</f>
        <v/>
      </c>
      <c r="J285">
        <f>H285-I285</f>
        <v/>
      </c>
      <c r="K285" t="n">
        <v>0.1</v>
      </c>
      <c r="L285" t="n">
        <v>-3642.880911857766</v>
      </c>
      <c r="M285" t="n">
        <v>3539.942782896975</v>
      </c>
      <c r="N285" t="n">
        <v>-139.0870557549888</v>
      </c>
      <c r="O285" t="n">
        <v>0</v>
      </c>
      <c r="P285" t="n">
        <v>-420.1391646436352</v>
      </c>
      <c r="Q285" t="n">
        <v>0.0432</v>
      </c>
      <c r="R285" t="n">
        <v>-476.9190612305234</v>
      </c>
      <c r="S285" t="n">
        <v>606.6682673849249</v>
      </c>
    </row>
    <row r="286">
      <c r="A286" s="1" t="n">
        <v>44944</v>
      </c>
      <c r="B286" t="inlineStr">
        <is>
          <t>ERX</t>
        </is>
      </c>
      <c r="C286" t="inlineStr">
        <is>
          <t>XLE</t>
        </is>
      </c>
      <c r="D286" t="n">
        <v>39.71321487426758</v>
      </c>
      <c r="E286" t="n">
        <v>-62.04742050170898</v>
      </c>
      <c r="F286" t="n">
        <v>1882</v>
      </c>
      <c r="G286" t="n">
        <v>-596</v>
      </c>
      <c r="H286">
        <f>D286*F286</f>
        <v/>
      </c>
      <c r="I286">
        <f>E286*G286</f>
        <v/>
      </c>
      <c r="J286">
        <f>H286-I286</f>
        <v/>
      </c>
      <c r="K286" t="n">
        <v>0.12</v>
      </c>
      <c r="L286" t="n">
        <v>-1393.682324704028</v>
      </c>
      <c r="M286" t="n">
        <v>1255.496841633923</v>
      </c>
      <c r="N286" t="n">
        <v>-66.63715886521578</v>
      </c>
      <c r="O286" t="n">
        <v>0</v>
      </c>
      <c r="P286" t="n">
        <v>-73.17186163451792</v>
      </c>
      <c r="Q286" t="n">
        <v>0.0432</v>
      </c>
      <c r="R286" t="n">
        <v>-476.9190612305234</v>
      </c>
      <c r="S286" t="n">
        <v>429.5499448417464</v>
      </c>
    </row>
    <row r="287">
      <c r="A287" s="1" t="n">
        <v>44944</v>
      </c>
      <c r="B287" t="inlineStr">
        <is>
          <t>GUSH</t>
        </is>
      </c>
      <c r="C287" t="inlineStr">
        <is>
          <t>XOP</t>
        </is>
      </c>
      <c r="D287" t="n">
        <v>126.4113159179688</v>
      </c>
      <c r="E287" t="n">
        <v>-33.75326538085938</v>
      </c>
      <c r="F287" t="n">
        <v>3048</v>
      </c>
      <c r="G287" t="n">
        <v>-5589</v>
      </c>
      <c r="H287">
        <f>D287*F287</f>
        <v/>
      </c>
      <c r="I287">
        <f>E287*G287</f>
        <v/>
      </c>
      <c r="J287">
        <f>H287-I287</f>
        <v/>
      </c>
      <c r="K287" t="n">
        <v>-0.01</v>
      </c>
      <c r="L287" t="n">
        <v>-7677.017464283078</v>
      </c>
      <c r="M287" t="n">
        <v>6994.408590947511</v>
      </c>
      <c r="N287" t="n">
        <v>-0</v>
      </c>
      <c r="O287" t="n">
        <v>0</v>
      </c>
      <c r="P287" t="n">
        <v>162.6936412056705</v>
      </c>
      <c r="Q287" t="n">
        <v>0.0432</v>
      </c>
      <c r="R287" t="n">
        <v>-476.9190612305234</v>
      </c>
      <c r="S287" t="n">
        <v>-81.04095001809014</v>
      </c>
    </row>
    <row r="288">
      <c r="A288" s="1" t="n">
        <v>44945</v>
      </c>
      <c r="B288" t="inlineStr">
        <is>
          <t>AAPB</t>
        </is>
      </c>
      <c r="C288" t="inlineStr">
        <is>
          <t>AAPL</t>
        </is>
      </c>
      <c r="D288" t="n">
        <v>133.1350402832031</v>
      </c>
      <c r="E288" t="n">
        <v>-13.26728916168213</v>
      </c>
      <c r="F288" t="n">
        <v>9057</v>
      </c>
      <c r="G288" t="n">
        <v>-45734</v>
      </c>
      <c r="H288">
        <f>D288*F288</f>
        <v/>
      </c>
      <c r="I288">
        <f>E288*G288</f>
        <v/>
      </c>
      <c r="J288">
        <f>H288-I288</f>
        <v/>
      </c>
      <c r="K288" t="n">
        <v>-0.005</v>
      </c>
      <c r="L288" t="n">
        <v>534.8520799415131</v>
      </c>
      <c r="M288" t="n">
        <v>524.7159413728217</v>
      </c>
      <c r="N288" t="n">
        <v>-0</v>
      </c>
      <c r="O288" t="n">
        <v>0</v>
      </c>
      <c r="P288" t="n">
        <v>162.6936412056705</v>
      </c>
      <c r="Q288" t="n">
        <v>0.0432</v>
      </c>
      <c r="R288" t="n">
        <v>-18.75956340211297</v>
      </c>
      <c r="S288" t="n">
        <v>1093.745419158892</v>
      </c>
    </row>
    <row r="289">
      <c r="A289" s="1" t="n">
        <v>44945</v>
      </c>
      <c r="B289" t="inlineStr">
        <is>
          <t>AAPU</t>
        </is>
      </c>
      <c r="C289" t="inlineStr">
        <is>
          <t>AAPL</t>
        </is>
      </c>
      <c r="D289" t="n">
        <v>133.1350402832031</v>
      </c>
      <c r="E289" t="n">
        <v>-13.61928462982178</v>
      </c>
      <c r="F289" t="n">
        <v>7658</v>
      </c>
      <c r="G289" t="n">
        <v>-37829</v>
      </c>
      <c r="H289">
        <f>D289*F289</f>
        <v/>
      </c>
      <c r="I289">
        <f>E289*G289</f>
        <v/>
      </c>
      <c r="J289">
        <f>H289-I289</f>
        <v/>
      </c>
      <c r="K289" t="n">
        <v>0.02</v>
      </c>
      <c r="L289" t="n">
        <v>452.2355336416151</v>
      </c>
      <c r="M289" t="n">
        <v>-830.124244059198</v>
      </c>
      <c r="N289" t="n">
        <v>-6.112090497180604</v>
      </c>
      <c r="O289" t="n">
        <v>0</v>
      </c>
      <c r="P289" t="n">
        <v>-371.6543098228223</v>
      </c>
      <c r="Q289" t="n">
        <v>0.0432</v>
      </c>
      <c r="R289" t="n">
        <v>-18.75956340211297</v>
      </c>
      <c r="S289" t="n">
        <v>-339.9807557387558</v>
      </c>
    </row>
    <row r="290">
      <c r="A290" s="1" t="n">
        <v>44945</v>
      </c>
      <c r="B290" t="inlineStr">
        <is>
          <t>AMZU</t>
        </is>
      </c>
      <c r="C290" t="inlineStr">
        <is>
          <t>AMZN</t>
        </is>
      </c>
      <c r="D290" t="n">
        <v>93.68000030517578</v>
      </c>
      <c r="E290" t="n">
        <v>-13.06633377075195</v>
      </c>
      <c r="F290" t="n">
        <v>26092</v>
      </c>
      <c r="G290" t="n">
        <v>-91789</v>
      </c>
      <c r="H290">
        <f>D290*F290</f>
        <v/>
      </c>
      <c r="I290">
        <f>E290*G290</f>
        <v/>
      </c>
      <c r="J290">
        <f>H290-I290</f>
        <v/>
      </c>
      <c r="K290" t="n">
        <v>-0.0025</v>
      </c>
      <c r="L290" t="n">
        <v>-46445.68380298337</v>
      </c>
      <c r="M290" t="n">
        <v>33532.16601423457</v>
      </c>
      <c r="N290" t="n">
        <v>-0</v>
      </c>
      <c r="O290" t="n">
        <v>0</v>
      </c>
      <c r="P290" t="n">
        <v>162.6936412056705</v>
      </c>
      <c r="Q290" t="n">
        <v>0.0432</v>
      </c>
      <c r="R290" t="n">
        <v>-18.75956340211297</v>
      </c>
      <c r="S290" t="n">
        <v>-12863.50456490239</v>
      </c>
    </row>
    <row r="291">
      <c r="A291" s="1" t="n">
        <v>44945</v>
      </c>
      <c r="B291" t="inlineStr">
        <is>
          <t>TARK</t>
        </is>
      </c>
      <c r="C291" t="inlineStr">
        <is>
          <t>ARKK</t>
        </is>
      </c>
      <c r="D291" t="n">
        <v>34.50225830078125</v>
      </c>
      <c r="E291" t="n">
        <v>-20.0267219543457</v>
      </c>
      <c r="F291" t="n">
        <v>18788</v>
      </c>
      <c r="G291" t="n">
        <v>-15784</v>
      </c>
      <c r="H291">
        <f>D291*F291</f>
        <v/>
      </c>
      <c r="I291">
        <f>E291*G291</f>
        <v/>
      </c>
      <c r="J291">
        <f>H291-I291</f>
        <v/>
      </c>
      <c r="K291" t="n">
        <v>-0.02</v>
      </c>
      <c r="L291" t="n">
        <v>-21614.7358600987</v>
      </c>
      <c r="M291" t="n">
        <v>21767.10051127158</v>
      </c>
      <c r="N291" t="n">
        <v>-0</v>
      </c>
      <c r="O291" t="n">
        <v>0</v>
      </c>
      <c r="P291" t="n">
        <v>162.6936412056705</v>
      </c>
      <c r="Q291" t="n">
        <v>0.0432</v>
      </c>
      <c r="R291" t="n">
        <v>-18.75956340211297</v>
      </c>
      <c r="S291" t="n">
        <v>179.4126910624509</v>
      </c>
    </row>
    <row r="292">
      <c r="A292" s="1" t="n">
        <v>44945</v>
      </c>
      <c r="B292" t="inlineStr">
        <is>
          <t>CHAU</t>
        </is>
      </c>
      <c r="C292" t="inlineStr">
        <is>
          <t>ASHR</t>
        </is>
      </c>
      <c r="D292" t="n">
        <v>29.30828094482422</v>
      </c>
      <c r="E292" t="n">
        <v>-22.75403213500977</v>
      </c>
      <c r="F292" t="n">
        <v>5665</v>
      </c>
      <c r="G292" t="n">
        <v>-3740</v>
      </c>
      <c r="H292">
        <f>D292*F292</f>
        <v/>
      </c>
      <c r="I292">
        <f>E292*G292</f>
        <v/>
      </c>
      <c r="J292">
        <f>H292-I292</f>
        <v/>
      </c>
      <c r="K292" t="n">
        <v>-0.01</v>
      </c>
      <c r="L292" t="n">
        <v>1761.807409879211</v>
      </c>
      <c r="M292" t="n">
        <v>-1304.53817034914</v>
      </c>
      <c r="N292" t="n">
        <v>-0</v>
      </c>
      <c r="O292" t="n">
        <v>0</v>
      </c>
      <c r="P292" t="n">
        <v>162.6936412056705</v>
      </c>
      <c r="Q292" t="n">
        <v>0.0432</v>
      </c>
      <c r="R292" t="n">
        <v>-18.75956340211297</v>
      </c>
      <c r="S292" t="n">
        <v>478.1517389056211</v>
      </c>
    </row>
    <row r="293">
      <c r="A293" s="1" t="n">
        <v>44945</v>
      </c>
      <c r="B293" t="inlineStr">
        <is>
          <t>BABX</t>
        </is>
      </c>
      <c r="C293" t="inlineStr">
        <is>
          <t>BABA</t>
        </is>
      </c>
      <c r="D293" t="n">
        <v>110.7154541015625</v>
      </c>
      <c r="E293" t="n">
        <v>-38.7599983215332</v>
      </c>
      <c r="F293" t="n">
        <v>4529</v>
      </c>
      <c r="G293" t="n">
        <v>-6431</v>
      </c>
      <c r="H293">
        <f>D293*F293</f>
        <v/>
      </c>
      <c r="I293">
        <f>E293*G293</f>
        <v/>
      </c>
      <c r="J293">
        <f>H293-I293</f>
        <v/>
      </c>
      <c r="K293" t="n">
        <v>-0.0275</v>
      </c>
      <c r="L293" t="n">
        <v>14452.55245147672</v>
      </c>
      <c r="M293" t="n">
        <v>-12482.69452218029</v>
      </c>
      <c r="N293" t="n">
        <v>-0</v>
      </c>
      <c r="O293" t="n">
        <v>0</v>
      </c>
      <c r="P293" t="n">
        <v>162.6936412056705</v>
      </c>
      <c r="Q293" t="n">
        <v>0.0432</v>
      </c>
      <c r="R293" t="n">
        <v>-18.75956340211297</v>
      </c>
      <c r="S293" t="n">
        <v>1995.028956615586</v>
      </c>
    </row>
    <row r="294">
      <c r="A294" s="1" t="n">
        <v>44945</v>
      </c>
      <c r="B294" t="inlineStr">
        <is>
          <t>CONL</t>
        </is>
      </c>
      <c r="C294" t="inlineStr">
        <is>
          <t>COIN</t>
        </is>
      </c>
      <c r="D294" t="n">
        <v>49.41999816894531</v>
      </c>
      <c r="E294" t="n">
        <v>-7.281957149505615</v>
      </c>
      <c r="F294" t="n">
        <v>71777</v>
      </c>
      <c r="G294" t="n">
        <v>-242943</v>
      </c>
      <c r="H294">
        <f>D294*F294</f>
        <v/>
      </c>
      <c r="I294">
        <f>E294*G294</f>
        <v/>
      </c>
      <c r="J294">
        <f>H294-I294</f>
        <v/>
      </c>
      <c r="K294" t="n">
        <v>0.03</v>
      </c>
      <c r="L294" t="n">
        <v>-56706.2834027464</v>
      </c>
      <c r="M294" t="n">
        <v>32124.35371270597</v>
      </c>
      <c r="N294" t="n">
        <v>-31.48142531843263</v>
      </c>
      <c r="O294" t="n">
        <v>0</v>
      </c>
      <c r="P294" t="n">
        <v>-2170.863488313923</v>
      </c>
      <c r="Q294" t="n">
        <v>0.0432</v>
      </c>
      <c r="R294" t="n">
        <v>-18.75956340211297</v>
      </c>
      <c r="S294" t="n">
        <v>-24486.33270998588</v>
      </c>
    </row>
    <row r="295">
      <c r="A295" s="1" t="n">
        <v>44945</v>
      </c>
      <c r="B295" t="inlineStr">
        <is>
          <t>MEXX</t>
        </is>
      </c>
      <c r="C295" t="inlineStr">
        <is>
          <t>EWW</t>
        </is>
      </c>
      <c r="D295" t="n">
        <v>50.74181747436523</v>
      </c>
      <c r="E295" t="n">
        <v>-21.98525619506836</v>
      </c>
      <c r="F295" t="n">
        <v>8705</v>
      </c>
      <c r="G295" t="n">
        <v>-6605</v>
      </c>
      <c r="H295">
        <f>D295*F295</f>
        <v/>
      </c>
      <c r="I295">
        <f>E295*G295</f>
        <v/>
      </c>
      <c r="J295">
        <f>H295-I295</f>
        <v/>
      </c>
      <c r="K295" t="n">
        <v>0.0075</v>
      </c>
      <c r="L295" t="n">
        <v>-315.5124191084884</v>
      </c>
      <c r="M295" t="n">
        <v>395.7456507413252</v>
      </c>
      <c r="N295" t="n">
        <v>-0.6460204100791541</v>
      </c>
      <c r="O295" t="n">
        <v>0</v>
      </c>
      <c r="P295" t="n">
        <v>103.7252585323523</v>
      </c>
      <c r="Q295" t="n">
        <v>0.0432</v>
      </c>
      <c r="R295" t="n">
        <v>-18.75956340211297</v>
      </c>
      <c r="S295" t="n">
        <v>105.2866430310456</v>
      </c>
    </row>
    <row r="296">
      <c r="A296" s="1" t="n">
        <v>44945</v>
      </c>
      <c r="B296" t="inlineStr">
        <is>
          <t>KORU</t>
        </is>
      </c>
      <c r="C296" t="inlineStr">
        <is>
          <t>EWY</t>
        </is>
      </c>
      <c r="D296" t="n">
        <v>57.87385177612305</v>
      </c>
      <c r="E296" t="n">
        <v>-91.56246185302734</v>
      </c>
      <c r="F296" t="n">
        <v>12312</v>
      </c>
      <c r="G296" t="n">
        <v>-2618</v>
      </c>
      <c r="H296">
        <f>D296*F296</f>
        <v/>
      </c>
      <c r="I296">
        <f>E296*G296</f>
        <v/>
      </c>
      <c r="J296">
        <f>H296-I296</f>
        <v/>
      </c>
      <c r="K296" t="n">
        <v>0.0225</v>
      </c>
      <c r="L296" t="n">
        <v>9742.400450323054</v>
      </c>
      <c r="M296" t="n">
        <v>-8105.993570548148</v>
      </c>
      <c r="N296" t="n">
        <v>-3.199265217414613</v>
      </c>
      <c r="O296" t="n">
        <v>0</v>
      </c>
      <c r="P296" t="n">
        <v>-141.8306751851239</v>
      </c>
      <c r="Q296" t="n">
        <v>0.0432</v>
      </c>
      <c r="R296" t="n">
        <v>-18.75956340211297</v>
      </c>
      <c r="S296" t="n">
        <v>1667.476531837284</v>
      </c>
    </row>
    <row r="297">
      <c r="A297" s="1" t="n">
        <v>44945</v>
      </c>
      <c r="B297" t="inlineStr">
        <is>
          <t>YINN</t>
        </is>
      </c>
      <c r="C297" t="inlineStr">
        <is>
          <t>FXI</t>
        </is>
      </c>
      <c r="D297" t="n">
        <v>29.44583129882812</v>
      </c>
      <c r="E297" t="n">
        <v>-59.2747917175293</v>
      </c>
      <c r="F297" t="n">
        <v>34613</v>
      </c>
      <c r="G297" t="n">
        <v>-5631</v>
      </c>
      <c r="H297">
        <f>D297*F297</f>
        <v/>
      </c>
      <c r="I297">
        <f>E297*G297</f>
        <v/>
      </c>
      <c r="J297">
        <f>H297-I297</f>
        <v/>
      </c>
      <c r="K297" t="n">
        <v>-0.02</v>
      </c>
      <c r="L297" t="n">
        <v>19934.83187941079</v>
      </c>
      <c r="M297" t="n">
        <v>-18293.98934629015</v>
      </c>
      <c r="N297" t="n">
        <v>-0</v>
      </c>
      <c r="O297" t="n">
        <v>0</v>
      </c>
      <c r="P297" t="n">
        <v>162.6936412056705</v>
      </c>
      <c r="Q297" t="n">
        <v>0.0432</v>
      </c>
      <c r="R297" t="n">
        <v>-18.75956340211297</v>
      </c>
      <c r="S297" t="n">
        <v>1672.634055316373</v>
      </c>
    </row>
    <row r="298">
      <c r="A298" s="1" t="n">
        <v>44945</v>
      </c>
      <c r="B298" t="inlineStr">
        <is>
          <t>JNUG</t>
        </is>
      </c>
      <c r="C298" t="inlineStr">
        <is>
          <t>GDXJ</t>
        </is>
      </c>
      <c r="D298" t="n">
        <v>37.46100616455078</v>
      </c>
      <c r="E298" t="n">
        <v>-41.31201553344727</v>
      </c>
      <c r="F298" t="n">
        <v>13681</v>
      </c>
      <c r="G298" t="n">
        <v>-6148</v>
      </c>
      <c r="H298">
        <f>D298*F298</f>
        <v/>
      </c>
      <c r="I298">
        <f>E298*G298</f>
        <v/>
      </c>
      <c r="J298">
        <f>H298-I298</f>
        <v/>
      </c>
      <c r="K298" t="n">
        <v>-0.005</v>
      </c>
      <c r="L298" t="n">
        <v>13460.23374833881</v>
      </c>
      <c r="M298" t="n">
        <v>-11988.74561072446</v>
      </c>
      <c r="N298" t="n">
        <v>-0</v>
      </c>
      <c r="O298" t="n">
        <v>0</v>
      </c>
      <c r="P298" t="n">
        <v>162.6936412056705</v>
      </c>
      <c r="Q298" t="n">
        <v>0.0432</v>
      </c>
      <c r="R298" t="n">
        <v>-18.75956340211297</v>
      </c>
      <c r="S298" t="n">
        <v>1496.800757584173</v>
      </c>
    </row>
    <row r="299">
      <c r="A299" s="1" t="n">
        <v>44945</v>
      </c>
      <c r="B299" t="inlineStr">
        <is>
          <t>GDXU</t>
        </is>
      </c>
      <c r="C299" t="inlineStr">
        <is>
          <t>GDX</t>
        </is>
      </c>
      <c r="D299" t="n">
        <v>30.91265296936035</v>
      </c>
      <c r="E299" t="n">
        <v>-56.88999938964844</v>
      </c>
      <c r="F299" t="n">
        <v>52226</v>
      </c>
      <c r="G299" t="n">
        <v>-8886</v>
      </c>
      <c r="H299">
        <f>D299*F299</f>
        <v/>
      </c>
      <c r="I299">
        <f>E299*G299</f>
        <v/>
      </c>
      <c r="J299">
        <f>H299-I299</f>
        <v/>
      </c>
      <c r="K299" t="n">
        <v>-0.005</v>
      </c>
      <c r="L299" t="n">
        <v>40841.73288343457</v>
      </c>
      <c r="M299" t="n">
        <v>-33654.44506378681</v>
      </c>
      <c r="N299" t="n">
        <v>-0</v>
      </c>
      <c r="O299" t="n">
        <v>0</v>
      </c>
      <c r="P299" t="n">
        <v>162.6936412056705</v>
      </c>
      <c r="Q299" t="n">
        <v>0.0432</v>
      </c>
      <c r="R299" t="n">
        <v>-18.75956340211297</v>
      </c>
      <c r="S299" t="n">
        <v>7226.69023410386</v>
      </c>
    </row>
    <row r="300">
      <c r="A300" s="1" t="n">
        <v>44945</v>
      </c>
      <c r="B300" t="inlineStr">
        <is>
          <t>NUGT</t>
        </is>
      </c>
      <c r="C300" t="inlineStr">
        <is>
          <t>GDX</t>
        </is>
      </c>
      <c r="D300" t="n">
        <v>30.91265296936035</v>
      </c>
      <c r="E300" t="n">
        <v>-40.80739212036133</v>
      </c>
      <c r="F300" t="n">
        <v>15534</v>
      </c>
      <c r="G300" t="n">
        <v>-5817</v>
      </c>
      <c r="H300">
        <f>D300*F300</f>
        <v/>
      </c>
      <c r="I300">
        <f>E300*G300</f>
        <v/>
      </c>
      <c r="J300">
        <f>H300-I300</f>
        <v/>
      </c>
      <c r="K300" t="n">
        <v>-0.0175</v>
      </c>
      <c r="L300" t="n">
        <v>12147.88570082473</v>
      </c>
      <c r="M300" t="n">
        <v>-10314.82643036533</v>
      </c>
      <c r="N300" t="n">
        <v>-0</v>
      </c>
      <c r="O300" t="n">
        <v>0</v>
      </c>
      <c r="P300" t="n">
        <v>162.6936412056705</v>
      </c>
      <c r="Q300" t="n">
        <v>0.0432</v>
      </c>
      <c r="R300" t="n">
        <v>-18.75956340211297</v>
      </c>
      <c r="S300" t="n">
        <v>1857.958803383837</v>
      </c>
    </row>
    <row r="301">
      <c r="A301" s="1" t="n">
        <v>44945</v>
      </c>
      <c r="B301" t="inlineStr">
        <is>
          <t>GGLL</t>
        </is>
      </c>
      <c r="C301" t="inlineStr">
        <is>
          <t>GOOGL</t>
        </is>
      </c>
      <c r="D301" t="n">
        <v>92.28724670410156</v>
      </c>
      <c r="E301" t="n">
        <v>-17.26898002624512</v>
      </c>
      <c r="F301" t="n">
        <v>21017</v>
      </c>
      <c r="G301" t="n">
        <v>-56586</v>
      </c>
      <c r="H301">
        <f>D301*F301</f>
        <v/>
      </c>
      <c r="I301">
        <f>E301*G301</f>
        <v/>
      </c>
      <c r="J301">
        <f>H301-I301</f>
        <v/>
      </c>
      <c r="K301" t="n">
        <v>-0</v>
      </c>
      <c r="L301" t="n">
        <v>40231.95078384689</v>
      </c>
      <c r="M301" t="n">
        <v>-30217.3416318214</v>
      </c>
      <c r="N301" t="n">
        <v>-0</v>
      </c>
      <c r="O301" t="n">
        <v>0</v>
      </c>
      <c r="P301" t="n">
        <v>162.6936412056705</v>
      </c>
      <c r="Q301" t="n">
        <v>0.0432</v>
      </c>
      <c r="R301" t="n">
        <v>-18.75956340211297</v>
      </c>
      <c r="S301" t="n">
        <v>10058.16913622954</v>
      </c>
    </row>
    <row r="302">
      <c r="A302" s="1" t="n">
        <v>44945</v>
      </c>
      <c r="B302" t="inlineStr">
        <is>
          <t>CWEB</t>
        </is>
      </c>
      <c r="C302" t="inlineStr">
        <is>
          <t>KWEB</t>
        </is>
      </c>
      <c r="D302" t="n">
        <v>30.40600204467773</v>
      </c>
      <c r="E302" t="n">
        <v>-56.82385635375977</v>
      </c>
      <c r="F302" t="n">
        <v>14190</v>
      </c>
      <c r="G302" t="n">
        <v>-3658</v>
      </c>
      <c r="H302">
        <f>D302*F302</f>
        <v/>
      </c>
      <c r="I302">
        <f>E302*G302</f>
        <v/>
      </c>
      <c r="J302">
        <f>H302-I302</f>
        <v/>
      </c>
      <c r="K302" t="n">
        <v>-0.02</v>
      </c>
      <c r="L302" t="n">
        <v>7882.038292528467</v>
      </c>
      <c r="M302" t="n">
        <v>-6237.085747000346</v>
      </c>
      <c r="N302" t="n">
        <v>-0</v>
      </c>
      <c r="O302" t="n">
        <v>0</v>
      </c>
      <c r="P302" t="n">
        <v>162.6936412056705</v>
      </c>
      <c r="Q302" t="n">
        <v>0.0432</v>
      </c>
      <c r="R302" t="n">
        <v>-18.75956340211297</v>
      </c>
      <c r="S302" t="n">
        <v>1669.22892305761</v>
      </c>
    </row>
    <row r="303">
      <c r="A303" s="1" t="n">
        <v>44945</v>
      </c>
      <c r="B303" t="inlineStr">
        <is>
          <t>FBL</t>
        </is>
      </c>
      <c r="C303" t="inlineStr">
        <is>
          <t>META</t>
        </is>
      </c>
      <c r="D303" t="n">
        <v>135.0898895263672</v>
      </c>
      <c r="E303" t="n">
        <v>-4.13958740234375</v>
      </c>
      <c r="F303" t="n">
        <v>25557</v>
      </c>
      <c r="G303" t="n">
        <v>-416175</v>
      </c>
      <c r="H303">
        <f>D303*F303</f>
        <v/>
      </c>
      <c r="I303">
        <f>E303*G303</f>
        <v/>
      </c>
      <c r="J303">
        <f>H303-I303</f>
        <v/>
      </c>
      <c r="K303" t="n">
        <v>-0.01</v>
      </c>
      <c r="L303" t="n">
        <v>79374.09664689231</v>
      </c>
      <c r="M303" t="n">
        <v>-54779.41410331031</v>
      </c>
      <c r="N303" t="n">
        <v>-0</v>
      </c>
      <c r="O303" t="n">
        <v>0</v>
      </c>
      <c r="P303" t="n">
        <v>162.6936412056705</v>
      </c>
      <c r="Q303" t="n">
        <v>0.0432</v>
      </c>
      <c r="R303" t="n">
        <v>-18.75956340211297</v>
      </c>
      <c r="S303" t="n">
        <v>24657.58688686171</v>
      </c>
    </row>
    <row r="304">
      <c r="A304" s="1" t="n">
        <v>44945</v>
      </c>
      <c r="B304" t="inlineStr">
        <is>
          <t>MSFU</t>
        </is>
      </c>
      <c r="C304" t="inlineStr">
        <is>
          <t>MSFT</t>
        </is>
      </c>
      <c r="D304" t="n">
        <v>225.9984436035156</v>
      </c>
      <c r="E304" t="n">
        <v>-17.7935791015625</v>
      </c>
      <c r="F304" t="n">
        <v>8999</v>
      </c>
      <c r="G304" t="n">
        <v>-56464</v>
      </c>
      <c r="H304">
        <f>D304*F304</f>
        <v/>
      </c>
      <c r="I304">
        <f>E304*G304</f>
        <v/>
      </c>
      <c r="J304">
        <f>H304-I304</f>
        <v/>
      </c>
      <c r="K304" t="n">
        <v>-0.005</v>
      </c>
      <c r="L304" t="n">
        <v>-34024.64467106554</v>
      </c>
      <c r="M304" t="n">
        <v>24357.16507459117</v>
      </c>
      <c r="N304" t="n">
        <v>-0</v>
      </c>
      <c r="O304" t="n">
        <v>0</v>
      </c>
      <c r="P304" t="n">
        <v>162.6936412056705</v>
      </c>
      <c r="Q304" t="n">
        <v>0.0432</v>
      </c>
      <c r="R304" t="n">
        <v>-18.75956340211297</v>
      </c>
      <c r="S304" t="n">
        <v>-9622.715663102719</v>
      </c>
    </row>
    <row r="305">
      <c r="A305" s="1" t="n">
        <v>44945</v>
      </c>
      <c r="B305" t="inlineStr">
        <is>
          <t>NVDL</t>
        </is>
      </c>
      <c r="C305" t="inlineStr">
        <is>
          <t>NVDA</t>
        </is>
      </c>
      <c r="D305" t="n">
        <v>16.74732780456543</v>
      </c>
      <c r="E305" t="n">
        <v>-3.432158470153809</v>
      </c>
      <c r="F305" t="n">
        <v>281811</v>
      </c>
      <c r="G305" t="n">
        <v>-687933</v>
      </c>
      <c r="H305">
        <f>D305*F305</f>
        <v/>
      </c>
      <c r="I305">
        <f>E305*G305</f>
        <v/>
      </c>
      <c r="J305">
        <f>H305-I305</f>
        <v/>
      </c>
      <c r="K305" t="n">
        <v>-0</v>
      </c>
      <c r="L305" t="n">
        <v>-172293.7700444717</v>
      </c>
      <c r="M305" t="n">
        <v>124387.8839368039</v>
      </c>
      <c r="N305" t="n">
        <v>-0</v>
      </c>
      <c r="O305" t="n">
        <v>0</v>
      </c>
      <c r="P305" t="n">
        <v>162.6936412056705</v>
      </c>
      <c r="Q305" t="n">
        <v>0.0432</v>
      </c>
      <c r="R305" t="n">
        <v>-18.75956340211297</v>
      </c>
      <c r="S305" t="n">
        <v>-47826.78032057999</v>
      </c>
    </row>
    <row r="306">
      <c r="A306" s="1" t="n">
        <v>44945</v>
      </c>
      <c r="B306" t="inlineStr">
        <is>
          <t>SOXL</t>
        </is>
      </c>
      <c r="C306" t="inlineStr">
        <is>
          <t>SOXX</t>
        </is>
      </c>
      <c r="D306" t="n">
        <v>121.7351150512695</v>
      </c>
      <c r="E306" t="n">
        <v>-11.51712417602539</v>
      </c>
      <c r="F306" t="n">
        <v>8623</v>
      </c>
      <c r="G306" t="n">
        <v>-28873</v>
      </c>
      <c r="H306">
        <f>D306*F306</f>
        <v/>
      </c>
      <c r="I306">
        <f>E306*G306</f>
        <v/>
      </c>
      <c r="J306">
        <f>H306-I306</f>
        <v/>
      </c>
      <c r="K306" t="n">
        <v>-0.0175</v>
      </c>
      <c r="L306" t="n">
        <v>-30299.73417457331</v>
      </c>
      <c r="M306" t="n">
        <v>28088.26715091336</v>
      </c>
      <c r="N306" t="n">
        <v>-0</v>
      </c>
      <c r="O306" t="n">
        <v>0</v>
      </c>
      <c r="P306" t="n">
        <v>162.6936412056705</v>
      </c>
      <c r="Q306" t="n">
        <v>0.0432</v>
      </c>
      <c r="R306" t="n">
        <v>-18.75956340211297</v>
      </c>
      <c r="S306" t="n">
        <v>-2179.285347197465</v>
      </c>
    </row>
    <row r="307">
      <c r="A307" s="1" t="n">
        <v>44945</v>
      </c>
      <c r="B307" t="inlineStr">
        <is>
          <t>SOXS</t>
        </is>
      </c>
      <c r="C307" t="inlineStr">
        <is>
          <t>SOXX</t>
        </is>
      </c>
      <c r="D307" t="n">
        <v>-0</v>
      </c>
      <c r="E307" t="n">
        <v>-19832.02691061455</v>
      </c>
      <c r="F307" t="n">
        <v>-6748</v>
      </c>
      <c r="G307" t="n">
        <v>-57</v>
      </c>
      <c r="H307">
        <f>D307*F307</f>
        <v/>
      </c>
      <c r="I307">
        <f>E307*G307</f>
        <v/>
      </c>
      <c r="J307">
        <f>H307-I307</f>
        <v/>
      </c>
      <c r="K307" t="n">
        <v>0.07000000000000001</v>
      </c>
      <c r="L307" t="n">
        <v>23711.30768990151</v>
      </c>
      <c r="M307" t="n">
        <v>-22914.22154894287</v>
      </c>
      <c r="N307" t="n">
        <v>-12.828523402717</v>
      </c>
      <c r="O307" t="n">
        <v>0</v>
      </c>
      <c r="P307" t="n">
        <v>-1298.573751295945</v>
      </c>
      <c r="Q307" t="n">
        <v>0.0432</v>
      </c>
      <c r="R307" t="n">
        <v>-18.75956340211297</v>
      </c>
      <c r="S307" t="n">
        <v>828.6742277634695</v>
      </c>
    </row>
    <row r="308">
      <c r="A308" s="1" t="n">
        <v>44945</v>
      </c>
      <c r="B308" t="inlineStr">
        <is>
          <t>HIBL</t>
        </is>
      </c>
      <c r="C308" t="inlineStr">
        <is>
          <t>SPHB</t>
        </is>
      </c>
      <c r="D308" t="n">
        <v>65.15971374511719</v>
      </c>
      <c r="E308" t="n">
        <v>-27.49444198608398</v>
      </c>
      <c r="F308" t="n">
        <v>6387</v>
      </c>
      <c r="G308" t="n">
        <v>-4747</v>
      </c>
      <c r="H308">
        <f>D308*F308</f>
        <v/>
      </c>
      <c r="I308">
        <f>E308*G308</f>
        <v/>
      </c>
      <c r="J308">
        <f>H308-I308</f>
        <v/>
      </c>
      <c r="K308" t="n">
        <v>0.12</v>
      </c>
      <c r="L308" t="n">
        <v>-8281.6863648695</v>
      </c>
      <c r="M308" t="n">
        <v>8143.740169916485</v>
      </c>
      <c r="N308" t="n">
        <v>-9.290220257067094</v>
      </c>
      <c r="O308" t="n">
        <v>0</v>
      </c>
      <c r="P308" t="n">
        <v>-764.5227300140806</v>
      </c>
      <c r="Q308" t="n">
        <v>0.0432</v>
      </c>
      <c r="R308" t="n">
        <v>-18.75956340211297</v>
      </c>
      <c r="S308" t="n">
        <v>-104.5750503228234</v>
      </c>
    </row>
    <row r="309">
      <c r="A309" s="1" t="n">
        <v>44945</v>
      </c>
      <c r="B309" t="inlineStr">
        <is>
          <t>TSLL</t>
        </is>
      </c>
      <c r="C309" t="inlineStr">
        <is>
          <t>TSLA</t>
        </is>
      </c>
      <c r="D309" t="n">
        <v>127.1699981689453</v>
      </c>
      <c r="E309" t="n">
        <v>-5.575766086578369</v>
      </c>
      <c r="F309" t="n">
        <v>16126</v>
      </c>
      <c r="G309" t="n">
        <v>-187432</v>
      </c>
      <c r="H309">
        <f>D309*F309</f>
        <v/>
      </c>
      <c r="I309">
        <f>E309*G309</f>
        <v/>
      </c>
      <c r="J309">
        <f>H309-I309</f>
        <v/>
      </c>
      <c r="K309" t="n">
        <v>0.01</v>
      </c>
      <c r="L309" t="n">
        <v>-25963.96308764764</v>
      </c>
      <c r="M309" t="n">
        <v>21511.32781652472</v>
      </c>
      <c r="N309" t="n">
        <v>-6.199103799225692</v>
      </c>
      <c r="O309" t="n">
        <v>0</v>
      </c>
      <c r="P309" t="n">
        <v>-355.2569664973493</v>
      </c>
      <c r="Q309" t="n">
        <v>0.0432</v>
      </c>
      <c r="R309" t="n">
        <v>-18.75956340211297</v>
      </c>
      <c r="S309" t="n">
        <v>-4401.45507827644</v>
      </c>
    </row>
    <row r="310">
      <c r="A310" s="1" t="n">
        <v>44945</v>
      </c>
      <c r="B310" t="inlineStr">
        <is>
          <t>TSLQ</t>
        </is>
      </c>
      <c r="C310" t="inlineStr">
        <is>
          <t>TSLA</t>
        </is>
      </c>
      <c r="D310" t="n">
        <v>-0</v>
      </c>
      <c r="E310" t="n">
        <v>-3061.425696031103</v>
      </c>
      <c r="F310" t="n">
        <v>-5992</v>
      </c>
      <c r="G310" t="n">
        <v>-371</v>
      </c>
      <c r="H310">
        <f>D310*F310</f>
        <v/>
      </c>
      <c r="I310">
        <f>E310*G310</f>
        <v/>
      </c>
      <c r="J310">
        <f>H310-I310</f>
        <v/>
      </c>
      <c r="K310" t="n">
        <v>-0.02</v>
      </c>
      <c r="L310" t="n">
        <v>9647.529878530611</v>
      </c>
      <c r="M310" t="n">
        <v>-4676.056990679857</v>
      </c>
      <c r="N310" t="n">
        <v>-0</v>
      </c>
      <c r="O310" t="n">
        <v>0</v>
      </c>
      <c r="P310" t="n">
        <v>162.6936412056705</v>
      </c>
      <c r="Q310" t="n">
        <v>0.0432</v>
      </c>
      <c r="R310" t="n">
        <v>-18.75956340211297</v>
      </c>
      <c r="S310" t="n">
        <v>4990.232451252867</v>
      </c>
    </row>
    <row r="311">
      <c r="A311" s="1" t="n">
        <v>44945</v>
      </c>
      <c r="B311" t="inlineStr">
        <is>
          <t>LABU</t>
        </is>
      </c>
      <c r="C311" t="inlineStr">
        <is>
          <t>XBI</t>
        </is>
      </c>
      <c r="D311" t="n">
        <v>84.43692779541016</v>
      </c>
      <c r="E311" t="n">
        <v>-146.3349456787109</v>
      </c>
      <c r="F311" t="n">
        <v>3391</v>
      </c>
      <c r="G311" t="n">
        <v>-614</v>
      </c>
      <c r="H311">
        <f>D311*F311</f>
        <v/>
      </c>
      <c r="I311">
        <f>E311*G311</f>
        <v/>
      </c>
      <c r="J311">
        <f>H311-I311</f>
        <v/>
      </c>
      <c r="K311" t="n">
        <v>0.1</v>
      </c>
      <c r="L311" t="n">
        <v>-3002.02239999915</v>
      </c>
      <c r="M311" t="n">
        <v>2626.441783289993</v>
      </c>
      <c r="N311" t="n">
        <v>-5.329629813555107</v>
      </c>
      <c r="O311" t="n">
        <v>0</v>
      </c>
      <c r="P311" t="n">
        <v>-425.4687944571904</v>
      </c>
      <c r="Q311" t="n">
        <v>0.0432</v>
      </c>
      <c r="R311" t="n">
        <v>-18.75956340211297</v>
      </c>
      <c r="S311" t="n">
        <v>-347.8303634705442</v>
      </c>
    </row>
    <row r="312">
      <c r="A312" s="1" t="n">
        <v>44945</v>
      </c>
      <c r="B312" t="inlineStr">
        <is>
          <t>ERX</t>
        </is>
      </c>
      <c r="C312" t="inlineStr">
        <is>
          <t>XLE</t>
        </is>
      </c>
      <c r="D312" t="n">
        <v>40.20688629150391</v>
      </c>
      <c r="E312" t="n">
        <v>-63.4116096496582</v>
      </c>
      <c r="F312" t="n">
        <v>1882</v>
      </c>
      <c r="G312" t="n">
        <v>-596</v>
      </c>
      <c r="H312">
        <f>D312*F312</f>
        <v/>
      </c>
      <c r="I312">
        <f>E312*G312</f>
        <v/>
      </c>
      <c r="J312">
        <f>H312-I312</f>
        <v/>
      </c>
      <c r="K312" t="n">
        <v>0.12</v>
      </c>
      <c r="L312" t="n">
        <v>929.1287293652439</v>
      </c>
      <c r="M312" t="n">
        <v>-769.8338151816787</v>
      </c>
      <c r="N312" t="n">
        <v>-2.690152538157914</v>
      </c>
      <c r="O312" t="n">
        <v>0</v>
      </c>
      <c r="P312" t="n">
        <v>-75.86201417267584</v>
      </c>
      <c r="Q312" t="n">
        <v>0.0432</v>
      </c>
      <c r="R312" t="n">
        <v>-18.75956340211297</v>
      </c>
      <c r="S312" t="n">
        <v>181.7121651518779</v>
      </c>
    </row>
    <row r="313">
      <c r="A313" s="1" t="n">
        <v>44945</v>
      </c>
      <c r="B313" t="inlineStr">
        <is>
          <t>GUSH</t>
        </is>
      </c>
      <c r="C313" t="inlineStr">
        <is>
          <t>XOP</t>
        </is>
      </c>
      <c r="D313" t="n">
        <v>128.8745574951172</v>
      </c>
      <c r="E313" t="n">
        <v>-35.03131484985352</v>
      </c>
      <c r="F313" t="n">
        <v>3048</v>
      </c>
      <c r="G313" t="n">
        <v>-5589</v>
      </c>
      <c r="H313">
        <f>D313*F313</f>
        <v/>
      </c>
      <c r="I313">
        <f>E313*G313</f>
        <v/>
      </c>
      <c r="J313">
        <f>H313-I313</f>
        <v/>
      </c>
      <c r="K313" t="n">
        <v>-0.01</v>
      </c>
      <c r="L313" t="n">
        <v>7508.27647251396</v>
      </c>
      <c r="M313" t="n">
        <v>-6763.288405893863</v>
      </c>
      <c r="N313" t="n">
        <v>-0</v>
      </c>
      <c r="O313" t="n">
        <v>0</v>
      </c>
      <c r="P313" t="n">
        <v>162.6936412056705</v>
      </c>
      <c r="Q313" t="n">
        <v>0.0432</v>
      </c>
      <c r="R313" t="n">
        <v>-18.75956340211297</v>
      </c>
      <c r="S313" t="n">
        <v>768.7702322608109</v>
      </c>
    </row>
    <row r="314">
      <c r="A314" s="1" t="n">
        <v>44946</v>
      </c>
      <c r="B314" t="inlineStr">
        <is>
          <t>AAPB</t>
        </is>
      </c>
      <c r="C314" t="inlineStr">
        <is>
          <t>AAPL</t>
        </is>
      </c>
      <c r="D314" t="n">
        <v>135.6939849853516</v>
      </c>
      <c r="E314" t="n">
        <v>-13.68328094482422</v>
      </c>
      <c r="F314" t="n">
        <v>9057</v>
      </c>
      <c r="G314" t="n">
        <v>-45734</v>
      </c>
      <c r="H314">
        <f>D314*F314</f>
        <v/>
      </c>
      <c r="I314">
        <f>E314*G314</f>
        <v/>
      </c>
      <c r="J314">
        <f>H314-I314</f>
        <v/>
      </c>
      <c r="K314" t="n">
        <v>-0.005</v>
      </c>
      <c r="L314" t="n">
        <v>23177.33807814769</v>
      </c>
      <c r="M314" t="n">
        <v>-18013.58168667429</v>
      </c>
      <c r="N314" t="n">
        <v>0</v>
      </c>
      <c r="O314" t="n">
        <v>1</v>
      </c>
      <c r="P314" t="n">
        <v>162.6936412056705</v>
      </c>
      <c r="Q314" t="n">
        <v>0.0432</v>
      </c>
      <c r="R314" t="n">
        <v>0</v>
      </c>
      <c r="S314" t="n">
        <v>4252.870395545696</v>
      </c>
    </row>
    <row r="315">
      <c r="A315" s="1" t="n">
        <v>44946</v>
      </c>
      <c r="B315" t="inlineStr">
        <is>
          <t>AAPU</t>
        </is>
      </c>
      <c r="C315" t="inlineStr">
        <is>
          <t>AAPL</t>
        </is>
      </c>
      <c r="D315" t="n">
        <v>135.6939849853516</v>
      </c>
      <c r="E315" t="n">
        <v>-14.01326179504395</v>
      </c>
      <c r="F315" t="n">
        <v>7658</v>
      </c>
      <c r="G315" t="n">
        <v>-37829</v>
      </c>
      <c r="H315">
        <f>D315*F315</f>
        <v/>
      </c>
      <c r="I315">
        <f>E315*G315</f>
        <v/>
      </c>
      <c r="J315">
        <f>H315-I315</f>
        <v/>
      </c>
      <c r="K315" t="n">
        <v>0.02</v>
      </c>
      <c r="L315" t="n">
        <v>19597.2236946511</v>
      </c>
      <c r="M315" t="n">
        <v>-14111.46313408426</v>
      </c>
      <c r="N315" t="n">
        <v>352.1522440484214</v>
      </c>
      <c r="O315" t="n">
        <v>1</v>
      </c>
      <c r="P315" t="n">
        <v>-19.50206577440082</v>
      </c>
      <c r="Q315" t="n">
        <v>0.0432</v>
      </c>
      <c r="R315" t="n">
        <v>0</v>
      </c>
      <c r="S315" t="n">
        <v>4363.42338146108</v>
      </c>
    </row>
    <row r="316">
      <c r="A316" s="1" t="n">
        <v>44946</v>
      </c>
      <c r="B316" t="inlineStr">
        <is>
          <t>AMZU</t>
        </is>
      </c>
      <c r="C316" t="inlineStr">
        <is>
          <t>AMZN</t>
        </is>
      </c>
      <c r="D316" t="n">
        <v>97.25</v>
      </c>
      <c r="E316" t="n">
        <v>-13.80685043334961</v>
      </c>
      <c r="F316" t="n">
        <v>26092</v>
      </c>
      <c r="G316" t="n">
        <v>-91789</v>
      </c>
      <c r="H316">
        <f>D316*F316</f>
        <v/>
      </c>
      <c r="I316">
        <f>E316*G316</f>
        <v/>
      </c>
      <c r="J316">
        <f>H316-I316</f>
        <v/>
      </c>
      <c r="K316" t="n">
        <v>-0.0025</v>
      </c>
      <c r="L316" t="n">
        <v>93152.35433366451</v>
      </c>
      <c r="M316" t="n">
        <v>-64357.86184393091</v>
      </c>
      <c r="N316" t="n">
        <v>0</v>
      </c>
      <c r="O316" t="n">
        <v>1</v>
      </c>
      <c r="P316" t="n">
        <v>162.6936412056705</v>
      </c>
      <c r="Q316" t="n">
        <v>0.0432</v>
      </c>
      <c r="R316" t="n">
        <v>0</v>
      </c>
      <c r="S316" t="n">
        <v>26913.80757701203</v>
      </c>
    </row>
    <row r="317">
      <c r="A317" s="1" t="n">
        <v>44946</v>
      </c>
      <c r="B317" t="inlineStr">
        <is>
          <t>TARK</t>
        </is>
      </c>
      <c r="C317" t="inlineStr">
        <is>
          <t>ARKK</t>
        </is>
      </c>
      <c r="D317" t="n">
        <v>36.19811248779297</v>
      </c>
      <c r="E317" t="n">
        <v>-21.97653961181641</v>
      </c>
      <c r="F317" t="n">
        <v>18788</v>
      </c>
      <c r="G317" t="n">
        <v>-15784</v>
      </c>
      <c r="H317">
        <f>D317*F317</f>
        <v/>
      </c>
      <c r="I317">
        <f>E317*G317</f>
        <v/>
      </c>
      <c r="J317">
        <f>H317-I317</f>
        <v/>
      </c>
      <c r="K317" t="n">
        <v>-0.02</v>
      </c>
      <c r="L317" t="n">
        <v>31863.05009912644</v>
      </c>
      <c r="M317" t="n">
        <v>-29139.84281613308</v>
      </c>
      <c r="N317" t="n">
        <v>0</v>
      </c>
      <c r="O317" t="n">
        <v>1</v>
      </c>
      <c r="P317" t="n">
        <v>162.6936412056705</v>
      </c>
      <c r="Q317" t="n">
        <v>0.0432</v>
      </c>
      <c r="R317" t="n">
        <v>0</v>
      </c>
      <c r="S317" t="n">
        <v>2219.143450039303</v>
      </c>
    </row>
    <row r="318">
      <c r="A318" s="1" t="n">
        <v>44946</v>
      </c>
      <c r="B318" t="inlineStr">
        <is>
          <t>CHAU</t>
        </is>
      </c>
      <c r="C318" t="inlineStr">
        <is>
          <t>ASHR</t>
        </is>
      </c>
      <c r="D318" t="n">
        <v>29.59099769592285</v>
      </c>
      <c r="E318" t="n">
        <v>-23.21222305297852</v>
      </c>
      <c r="F318" t="n">
        <v>5665</v>
      </c>
      <c r="G318" t="n">
        <v>-3740</v>
      </c>
      <c r="H318">
        <f>D318*F318</f>
        <v/>
      </c>
      <c r="I318">
        <f>E318*G318</f>
        <v/>
      </c>
      <c r="J318">
        <f>H318-I318</f>
        <v/>
      </c>
      <c r="K318" t="n">
        <v>-0.01</v>
      </c>
      <c r="L318" t="n">
        <v>1601.657834778811</v>
      </c>
      <c r="M318" t="n">
        <v>-1622.535517383243</v>
      </c>
      <c r="N318" t="n">
        <v>0</v>
      </c>
      <c r="O318" t="n">
        <v>1</v>
      </c>
      <c r="P318" t="n">
        <v>162.6936412056705</v>
      </c>
      <c r="Q318" t="n">
        <v>0.0432</v>
      </c>
      <c r="R318" t="n">
        <v>0</v>
      </c>
      <c r="S318" t="n">
        <v>-145.1225860986552</v>
      </c>
    </row>
    <row r="319">
      <c r="A319" s="1" t="n">
        <v>44946</v>
      </c>
      <c r="B319" t="inlineStr">
        <is>
          <t>BABX</t>
        </is>
      </c>
      <c r="C319" t="inlineStr">
        <is>
          <t>BABA</t>
        </is>
      </c>
      <c r="D319" t="n">
        <v>113.8304443359375</v>
      </c>
      <c r="E319" t="n">
        <v>-40.39599990844727</v>
      </c>
      <c r="F319" t="n">
        <v>4529</v>
      </c>
      <c r="G319" t="n">
        <v>-6431</v>
      </c>
      <c r="H319">
        <f>D319*F319</f>
        <v/>
      </c>
      <c r="I319">
        <f>E319*G319</f>
        <v/>
      </c>
      <c r="J319">
        <f>H319-I319</f>
        <v/>
      </c>
      <c r="K319" t="n">
        <v>-0.0275</v>
      </c>
      <c r="L319" t="n">
        <v>14108.3848226615</v>
      </c>
      <c r="M319" t="n">
        <v>-9961.812510980593</v>
      </c>
      <c r="N319" t="n">
        <v>0</v>
      </c>
      <c r="O319" t="n">
        <v>1</v>
      </c>
      <c r="P319" t="n">
        <v>162.6936412056705</v>
      </c>
      <c r="Q319" t="n">
        <v>0.0432</v>
      </c>
      <c r="R319" t="n">
        <v>0</v>
      </c>
      <c r="S319" t="n">
        <v>3764.469870330087</v>
      </c>
    </row>
    <row r="320">
      <c r="A320" s="1" t="n">
        <v>44946</v>
      </c>
      <c r="B320" t="inlineStr">
        <is>
          <t>CONL</t>
        </is>
      </c>
      <c r="C320" t="inlineStr">
        <is>
          <t>COIN</t>
        </is>
      </c>
      <c r="D320" t="n">
        <v>55.15999984741211</v>
      </c>
      <c r="E320" t="n">
        <v>-8.538843154907227</v>
      </c>
      <c r="F320" t="n">
        <v>71777</v>
      </c>
      <c r="G320" t="n">
        <v>-242943</v>
      </c>
      <c r="H320">
        <f>D320*F320</f>
        <v/>
      </c>
      <c r="I320">
        <f>E320*G320</f>
        <v/>
      </c>
      <c r="J320">
        <f>H320-I320</f>
        <v/>
      </c>
      <c r="K320" t="n">
        <v>0.03</v>
      </c>
      <c r="L320" t="n">
        <v>412017.4489849843</v>
      </c>
      <c r="M320" t="n">
        <v>-289118.8543567965</v>
      </c>
      <c r="N320" t="n">
        <v>2067.097916219339</v>
      </c>
      <c r="O320" t="n">
        <v>1</v>
      </c>
      <c r="P320" t="n">
        <v>-103.7655720945841</v>
      </c>
      <c r="Q320" t="n">
        <v>0.0432</v>
      </c>
      <c r="R320" t="n">
        <v>18913.86633672113</v>
      </c>
      <c r="S320" t="n">
        <v>98983.16749949781</v>
      </c>
    </row>
    <row r="321">
      <c r="A321" s="1" t="n">
        <v>44946</v>
      </c>
      <c r="B321" t="inlineStr">
        <is>
          <t>MEXX</t>
        </is>
      </c>
      <c r="C321" t="inlineStr">
        <is>
          <t>EWW</t>
        </is>
      </c>
      <c r="D321" t="n">
        <v>51.52093124389648</v>
      </c>
      <c r="E321" t="n">
        <v>-22.9609489440918</v>
      </c>
      <c r="F321" t="n">
        <v>8705</v>
      </c>
      <c r="G321" t="n">
        <v>-6605</v>
      </c>
      <c r="H321">
        <f>D321*F321</f>
        <v/>
      </c>
      <c r="I321">
        <f>E321*G321</f>
        <v/>
      </c>
      <c r="J321">
        <f>H321-I321</f>
        <v/>
      </c>
      <c r="K321" t="n">
        <v>0.0075</v>
      </c>
      <c r="L321" t="n">
        <v>6782.470948186262</v>
      </c>
      <c r="M321" t="n">
        <v>-6101.857104705684</v>
      </c>
      <c r="N321" t="n">
        <v>37.77985495670092</v>
      </c>
      <c r="O321" t="n">
        <v>1</v>
      </c>
      <c r="P321" t="n">
        <v>141.5051134890533</v>
      </c>
      <c r="Q321" t="n">
        <v>0.0432</v>
      </c>
      <c r="R321" t="n">
        <v>0</v>
      </c>
      <c r="S321" t="n">
        <v>310.4259325194267</v>
      </c>
    </row>
    <row r="322">
      <c r="A322" s="1" t="n">
        <v>44946</v>
      </c>
      <c r="B322" t="inlineStr">
        <is>
          <t>KORU</t>
        </is>
      </c>
      <c r="C322" t="inlineStr">
        <is>
          <t>EWY</t>
        </is>
      </c>
      <c r="D322" t="n">
        <v>58.86991500854492</v>
      </c>
      <c r="E322" t="n">
        <v>-96.42086791992188</v>
      </c>
      <c r="F322" t="n">
        <v>12312</v>
      </c>
      <c r="G322" t="n">
        <v>-2618</v>
      </c>
      <c r="H322">
        <f>D322*F322</f>
        <v/>
      </c>
      <c r="I322">
        <f>E322*G322</f>
        <v/>
      </c>
      <c r="J322">
        <f>H322-I322</f>
        <v/>
      </c>
      <c r="K322" t="n">
        <v>0.0225</v>
      </c>
      <c r="L322" t="n">
        <v>12264.04691060221</v>
      </c>
      <c r="M322" t="n">
        <v>-12043.13587324525</v>
      </c>
      <c r="N322" t="n">
        <v>188.6511968286081</v>
      </c>
      <c r="O322" t="n">
        <v>1</v>
      </c>
      <c r="P322" t="n">
        <v>46.82052164348414</v>
      </c>
      <c r="Q322" t="n">
        <v>0.0432</v>
      </c>
      <c r="R322" t="n">
        <v>0</v>
      </c>
      <c r="S322" t="n">
        <v>-504.94643375435</v>
      </c>
    </row>
    <row r="323">
      <c r="A323" s="1" t="n">
        <v>44946</v>
      </c>
      <c r="B323" t="inlineStr">
        <is>
          <t>YINN</t>
        </is>
      </c>
      <c r="C323" t="inlineStr">
        <is>
          <t>FXI</t>
        </is>
      </c>
      <c r="D323" t="n">
        <v>30.17965698242188</v>
      </c>
      <c r="E323" t="n">
        <v>-63.55679321289062</v>
      </c>
      <c r="F323" t="n">
        <v>34613</v>
      </c>
      <c r="G323" t="n">
        <v>-5631</v>
      </c>
      <c r="H323">
        <f>D323*F323</f>
        <v/>
      </c>
      <c r="I323">
        <f>E323*G323</f>
        <v/>
      </c>
      <c r="J323">
        <f>H323-I323</f>
        <v/>
      </c>
      <c r="K323" t="n">
        <v>-0.02</v>
      </c>
      <c r="L323" t="n">
        <v>25400.97792615491</v>
      </c>
      <c r="M323" t="n">
        <v>-22830.1347851513</v>
      </c>
      <c r="N323" t="n">
        <v>0</v>
      </c>
      <c r="O323" t="n">
        <v>1</v>
      </c>
      <c r="P323" t="n">
        <v>162.6936412056705</v>
      </c>
      <c r="Q323" t="n">
        <v>0.0432</v>
      </c>
      <c r="R323" t="n">
        <v>0</v>
      </c>
      <c r="S323" t="n">
        <v>1796.608493408039</v>
      </c>
    </row>
    <row r="324">
      <c r="A324" s="1" t="n">
        <v>44946</v>
      </c>
      <c r="B324" t="inlineStr">
        <is>
          <t>JNUG</t>
        </is>
      </c>
      <c r="C324" t="inlineStr">
        <is>
          <t>GDXJ</t>
        </is>
      </c>
      <c r="D324" t="n">
        <v>38.09482192993164</v>
      </c>
      <c r="E324" t="n">
        <v>-42.697509765625</v>
      </c>
      <c r="F324" t="n">
        <v>13681</v>
      </c>
      <c r="G324" t="n">
        <v>-6148</v>
      </c>
      <c r="H324">
        <f>D324*F324</f>
        <v/>
      </c>
      <c r="I324">
        <f>E324*G324</f>
        <v/>
      </c>
      <c r="J324">
        <f>H324-I324</f>
        <v/>
      </c>
      <c r="K324" t="n">
        <v>-0.005</v>
      </c>
      <c r="L324" t="n">
        <v>8671.5986146739</v>
      </c>
      <c r="M324" t="n">
        <v>-8065.192071447252</v>
      </c>
      <c r="N324" t="n">
        <v>0</v>
      </c>
      <c r="O324" t="n">
        <v>1</v>
      </c>
      <c r="P324" t="n">
        <v>162.6936412056705</v>
      </c>
      <c r="Q324" t="n">
        <v>0.0432</v>
      </c>
      <c r="R324" t="n">
        <v>0</v>
      </c>
      <c r="S324" t="n">
        <v>220.1259840059356</v>
      </c>
    </row>
    <row r="325">
      <c r="A325" s="1" t="n">
        <v>44946</v>
      </c>
      <c r="B325" t="inlineStr">
        <is>
          <t>GDXU</t>
        </is>
      </c>
      <c r="C325" t="inlineStr">
        <is>
          <t>GDX</t>
        </is>
      </c>
      <c r="D325" t="n">
        <v>31.29881858825684</v>
      </c>
      <c r="E325" t="n">
        <v>-59.16999816894531</v>
      </c>
      <c r="F325" t="n">
        <v>52226</v>
      </c>
      <c r="G325" t="n">
        <v>-8886</v>
      </c>
      <c r="H325">
        <f>D325*F325</f>
        <v/>
      </c>
      <c r="I325">
        <f>E325*G325</f>
        <v/>
      </c>
      <c r="J325">
        <f>H325-I325</f>
        <v/>
      </c>
      <c r="K325" t="n">
        <v>-0.005</v>
      </c>
      <c r="L325" t="n">
        <v>20168.73484227737</v>
      </c>
      <c r="M325" t="n">
        <v>-19183.02341583692</v>
      </c>
      <c r="N325" t="n">
        <v>0</v>
      </c>
      <c r="O325" t="n">
        <v>1</v>
      </c>
      <c r="P325" t="n">
        <v>162.6936412056705</v>
      </c>
      <c r="Q325" t="n">
        <v>0.0432</v>
      </c>
      <c r="R325" t="n">
        <v>0</v>
      </c>
      <c r="S325" t="n">
        <v>-225.8174503603691</v>
      </c>
    </row>
    <row r="326">
      <c r="A326" s="1" t="n">
        <v>44946</v>
      </c>
      <c r="B326" t="inlineStr">
        <is>
          <t>NUGT</t>
        </is>
      </c>
      <c r="C326" t="inlineStr">
        <is>
          <t>GDX</t>
        </is>
      </c>
      <c r="D326" t="n">
        <v>31.29881858825684</v>
      </c>
      <c r="E326" t="n">
        <v>-41.76778793334961</v>
      </c>
      <c r="F326" t="n">
        <v>15534</v>
      </c>
      <c r="G326" t="n">
        <v>-5817</v>
      </c>
      <c r="H326">
        <f>D326*F326</f>
        <v/>
      </c>
      <c r="I326">
        <f>E326*G326</f>
        <v/>
      </c>
      <c r="J326">
        <f>H326-I326</f>
        <v/>
      </c>
      <c r="K326" t="n">
        <v>-0.0175</v>
      </c>
      <c r="L326" t="n">
        <v>5998.949317197117</v>
      </c>
      <c r="M326" t="n">
        <v>-5289.631953040172</v>
      </c>
      <c r="N326" t="n">
        <v>0</v>
      </c>
      <c r="O326" t="n">
        <v>1</v>
      </c>
      <c r="P326" t="n">
        <v>162.6936412056705</v>
      </c>
      <c r="Q326" t="n">
        <v>0.0432</v>
      </c>
      <c r="R326" t="n">
        <v>0</v>
      </c>
      <c r="S326" t="n">
        <v>348.9625682272555</v>
      </c>
    </row>
    <row r="327">
      <c r="A327" s="1" t="n">
        <v>44946</v>
      </c>
      <c r="B327" t="inlineStr">
        <is>
          <t>GGLL</t>
        </is>
      </c>
      <c r="C327" t="inlineStr">
        <is>
          <t>GOOGL</t>
        </is>
      </c>
      <c r="D327" t="n">
        <v>97.21650695800781</v>
      </c>
      <c r="E327" t="n">
        <v>-18.63574409484863</v>
      </c>
      <c r="F327" t="n">
        <v>21017</v>
      </c>
      <c r="G327" t="n">
        <v>-56586</v>
      </c>
      <c r="H327">
        <f>D327*F327</f>
        <v/>
      </c>
      <c r="I327">
        <f>E327*G327</f>
        <v/>
      </c>
      <c r="J327">
        <f>H327-I327</f>
        <v/>
      </c>
      <c r="K327" t="n">
        <v>-0</v>
      </c>
      <c r="L327" t="n">
        <v>103602.6250743701</v>
      </c>
      <c r="M327" t="n">
        <v>-73228.25441199933</v>
      </c>
      <c r="N327" t="n">
        <v>0</v>
      </c>
      <c r="O327" t="n">
        <v>1</v>
      </c>
      <c r="P327" t="n">
        <v>162.6936412056705</v>
      </c>
      <c r="Q327" t="n">
        <v>0.0432</v>
      </c>
      <c r="R327" t="n">
        <v>0</v>
      </c>
      <c r="S327" t="n">
        <v>28860.00833382707</v>
      </c>
    </row>
    <row r="328">
      <c r="A328" s="1" t="n">
        <v>44946</v>
      </c>
      <c r="B328" t="inlineStr">
        <is>
          <t>CWEB</t>
        </is>
      </c>
      <c r="C328" t="inlineStr">
        <is>
          <t>KWEB</t>
        </is>
      </c>
      <c r="D328" t="n">
        <v>31.22124862670898</v>
      </c>
      <c r="E328" t="n">
        <v>-59.9031982421875</v>
      </c>
      <c r="F328" t="n">
        <v>14190</v>
      </c>
      <c r="G328" t="n">
        <v>-3658</v>
      </c>
      <c r="H328">
        <f>D328*F328</f>
        <v/>
      </c>
      <c r="I328">
        <f>E328*G328</f>
        <v/>
      </c>
      <c r="J328">
        <f>H328-I328</f>
        <v/>
      </c>
      <c r="K328" t="n">
        <v>-0.02</v>
      </c>
      <c r="L328" t="n">
        <v>11568.83611932821</v>
      </c>
      <c r="M328" t="n">
        <v>-10665.41464551881</v>
      </c>
      <c r="N328" t="n">
        <v>0</v>
      </c>
      <c r="O328" t="n">
        <v>1</v>
      </c>
      <c r="P328" t="n">
        <v>162.6936412056705</v>
      </c>
      <c r="Q328" t="n">
        <v>0.0432</v>
      </c>
      <c r="R328" t="n">
        <v>0</v>
      </c>
      <c r="S328" t="n">
        <v>575.060357136872</v>
      </c>
    </row>
    <row r="329">
      <c r="A329" s="1" t="n">
        <v>44946</v>
      </c>
      <c r="B329" t="inlineStr">
        <is>
          <t>FBL</t>
        </is>
      </c>
      <c r="C329" t="inlineStr">
        <is>
          <t>META</t>
        </is>
      </c>
      <c r="D329" t="n">
        <v>138.2848052978516</v>
      </c>
      <c r="E329" t="n">
        <v>-4.278473854064941</v>
      </c>
      <c r="F329" t="n">
        <v>25557</v>
      </c>
      <c r="G329" t="n">
        <v>-416175</v>
      </c>
      <c r="H329">
        <f>D329*F329</f>
        <v/>
      </c>
      <c r="I329">
        <f>E329*G329</f>
        <v/>
      </c>
      <c r="J329">
        <f>H329-I329</f>
        <v/>
      </c>
      <c r="K329" t="n">
        <v>-0.01</v>
      </c>
      <c r="L329" t="n">
        <v>81655.90059558302</v>
      </c>
      <c r="M329" t="n">
        <v>-54728.30584079873</v>
      </c>
      <c r="N329" t="n">
        <v>0</v>
      </c>
      <c r="O329" t="n">
        <v>1</v>
      </c>
      <c r="P329" t="n">
        <v>162.6936412056705</v>
      </c>
      <c r="Q329" t="n">
        <v>0.0432</v>
      </c>
      <c r="R329" t="n">
        <v>0</v>
      </c>
      <c r="S329" t="n">
        <v>24308.18526704843</v>
      </c>
    </row>
    <row r="330">
      <c r="A330" s="1" t="n">
        <v>44946</v>
      </c>
      <c r="B330" t="inlineStr">
        <is>
          <t>MSFU</t>
        </is>
      </c>
      <c r="C330" t="inlineStr">
        <is>
          <t>MSFT</t>
        </is>
      </c>
      <c r="D330" t="n">
        <v>234.0764312744141</v>
      </c>
      <c r="E330" t="n">
        <v>-18.71154403686523</v>
      </c>
      <c r="F330" t="n">
        <v>8999</v>
      </c>
      <c r="G330" t="n">
        <v>-56464</v>
      </c>
      <c r="H330">
        <f>D330*F330</f>
        <v/>
      </c>
      <c r="I330">
        <f>E330*G330</f>
        <v/>
      </c>
      <c r="J330">
        <f>H330-I330</f>
        <v/>
      </c>
      <c r="K330" t="n">
        <v>-0.005</v>
      </c>
      <c r="L330" t="n">
        <v>72696.87204307673</v>
      </c>
      <c r="M330" t="n">
        <v>-49076.53212414266</v>
      </c>
      <c r="N330" t="n">
        <v>0</v>
      </c>
      <c r="O330" t="n">
        <v>1</v>
      </c>
      <c r="P330" t="n">
        <v>162.6936412056705</v>
      </c>
      <c r="Q330" t="n">
        <v>0.0432</v>
      </c>
      <c r="R330" t="n">
        <v>0</v>
      </c>
      <c r="S330" t="n">
        <v>22059.09513609495</v>
      </c>
    </row>
    <row r="331">
      <c r="A331" s="1" t="n">
        <v>44946</v>
      </c>
      <c r="B331" t="inlineStr">
        <is>
          <t>NVDL</t>
        </is>
      </c>
      <c r="C331" t="inlineStr">
        <is>
          <t>NVDA</t>
        </is>
      </c>
      <c r="D331" t="n">
        <v>17.8201961517334</v>
      </c>
      <c r="E331" t="n">
        <v>-3.752580642700195</v>
      </c>
      <c r="F331" t="n">
        <v>281811</v>
      </c>
      <c r="G331" t="n">
        <v>-687933</v>
      </c>
      <c r="H331">
        <f>D331*F331</f>
        <v/>
      </c>
      <c r="I331">
        <f>E331*G331</f>
        <v/>
      </c>
      <c r="J331">
        <f>H331-I331</f>
        <v/>
      </c>
      <c r="K331" t="n">
        <v>-0</v>
      </c>
      <c r="L331" t="n">
        <v>302358.8329803355</v>
      </c>
      <c r="M331" t="n">
        <v>-208710.7588946635</v>
      </c>
      <c r="N331" t="n">
        <v>0</v>
      </c>
      <c r="O331" t="n">
        <v>1</v>
      </c>
      <c r="P331" t="n">
        <v>162.6936412056705</v>
      </c>
      <c r="Q331" t="n">
        <v>0.0432</v>
      </c>
      <c r="R331" t="n">
        <v>0</v>
      </c>
      <c r="S331" t="n">
        <v>89925.96170200466</v>
      </c>
    </row>
    <row r="332">
      <c r="A332" s="1" t="n">
        <v>44946</v>
      </c>
      <c r="B332" t="inlineStr">
        <is>
          <t>SOXL</t>
        </is>
      </c>
      <c r="C332" t="inlineStr">
        <is>
          <t>SOXX</t>
        </is>
      </c>
      <c r="D332" t="n">
        <v>125.5451202392578</v>
      </c>
      <c r="E332" t="n">
        <v>-12.51521015167236</v>
      </c>
      <c r="F332" t="n">
        <v>8623</v>
      </c>
      <c r="G332" t="n">
        <v>-28873</v>
      </c>
      <c r="H332">
        <f>D332*F332</f>
        <v/>
      </c>
      <c r="I332">
        <f>E332*G332</f>
        <v/>
      </c>
      <c r="J332">
        <f>H332-I332</f>
        <v/>
      </c>
      <c r="K332" t="n">
        <v>-0.0175</v>
      </c>
      <c r="L332" t="n">
        <v>32855.05813931167</v>
      </c>
      <c r="M332" t="n">
        <v>-27285.75640587019</v>
      </c>
      <c r="N332" t="n">
        <v>0</v>
      </c>
      <c r="O332" t="n">
        <v>1</v>
      </c>
      <c r="P332" t="n">
        <v>162.6936412056705</v>
      </c>
      <c r="Q332" t="n">
        <v>0.0432</v>
      </c>
      <c r="R332" t="n">
        <v>0</v>
      </c>
      <c r="S332" t="n">
        <v>4766.926927264771</v>
      </c>
    </row>
    <row r="333">
      <c r="A333" s="1" t="n">
        <v>44946</v>
      </c>
      <c r="B333" t="inlineStr">
        <is>
          <t>SOXS</t>
        </is>
      </c>
      <c r="C333" t="inlineStr">
        <is>
          <t>SOXX</t>
        </is>
      </c>
      <c r="D333" t="n">
        <v>-0</v>
      </c>
      <c r="E333" t="n">
        <v>-19783.67961361534</v>
      </c>
      <c r="F333" t="n">
        <v>-6748</v>
      </c>
      <c r="G333" t="n">
        <v>-57</v>
      </c>
      <c r="H333">
        <f>D333*F333</f>
        <v/>
      </c>
      <c r="I333">
        <f>E333*G333</f>
        <v/>
      </c>
      <c r="J333">
        <f>H333-I333</f>
        <v/>
      </c>
      <c r="K333" t="n">
        <v>0.07000000000000001</v>
      </c>
      <c r="L333" t="n">
        <v>-25710.99760223532</v>
      </c>
      <c r="M333" t="n">
        <v>26952.44499627867</v>
      </c>
      <c r="N333" t="n">
        <v>652.1593897753158</v>
      </c>
      <c r="O333" t="n">
        <v>1</v>
      </c>
      <c r="P333" t="n">
        <v>-646.4143615206287</v>
      </c>
      <c r="Q333" t="n">
        <v>0.0432</v>
      </c>
      <c r="R333" t="n">
        <v>0</v>
      </c>
      <c r="S333" t="n">
        <v>589.2880042680368</v>
      </c>
    </row>
    <row r="334">
      <c r="A334" s="1" t="n">
        <v>44946</v>
      </c>
      <c r="B334" t="inlineStr">
        <is>
          <t>HIBL</t>
        </is>
      </c>
      <c r="C334" t="inlineStr">
        <is>
          <t>SPHB</t>
        </is>
      </c>
      <c r="D334" t="n">
        <v>67.28492736816406</v>
      </c>
      <c r="E334" t="n">
        <v>-30.28415107727051</v>
      </c>
      <c r="F334" t="n">
        <v>6387</v>
      </c>
      <c r="G334" t="n">
        <v>-4747</v>
      </c>
      <c r="H334">
        <f>D334*F334</f>
        <v/>
      </c>
      <c r="I334">
        <f>E334*G334</f>
        <v/>
      </c>
      <c r="J334">
        <f>H334-I334</f>
        <v/>
      </c>
      <c r="K334" t="n">
        <v>0.12</v>
      </c>
      <c r="L334" t="n">
        <v>13574.31097373056</v>
      </c>
      <c r="M334" t="n">
        <v>-12538.75114207846</v>
      </c>
      <c r="N334" t="n">
        <v>572.996870297945</v>
      </c>
      <c r="O334" t="n">
        <v>1</v>
      </c>
      <c r="P334" t="n">
        <v>-191.5258597161356</v>
      </c>
      <c r="Q334" t="n">
        <v>0.0432</v>
      </c>
      <c r="R334" t="n">
        <v>0</v>
      </c>
      <c r="S334" t="n">
        <v>144.0451192434203</v>
      </c>
    </row>
    <row r="335">
      <c r="A335" s="1" t="n">
        <v>44946</v>
      </c>
      <c r="B335" t="inlineStr">
        <is>
          <t>TSLL</t>
        </is>
      </c>
      <c r="C335" t="inlineStr">
        <is>
          <t>TSLA</t>
        </is>
      </c>
      <c r="D335" t="n">
        <v>133.4199981689453</v>
      </c>
      <c r="E335" t="n">
        <v>-5.99135160446167</v>
      </c>
      <c r="F335" t="n">
        <v>16126</v>
      </c>
      <c r="G335" t="n">
        <v>-187432</v>
      </c>
      <c r="H335">
        <f>D335*F335</f>
        <v/>
      </c>
      <c r="I335">
        <f>E335*G335</f>
        <v/>
      </c>
      <c r="J335">
        <f>H335-I335</f>
        <v/>
      </c>
      <c r="K335" t="n">
        <v>0.01</v>
      </c>
      <c r="L335" t="n">
        <v>100791.7439623598</v>
      </c>
      <c r="M335" t="n">
        <v>-73753.09976428437</v>
      </c>
      <c r="N335" t="n">
        <v>372.9966355365101</v>
      </c>
      <c r="O335" t="n">
        <v>1</v>
      </c>
      <c r="P335" t="n">
        <v>17.73966903916079</v>
      </c>
      <c r="Q335" t="n">
        <v>0.0432</v>
      </c>
      <c r="R335" t="n">
        <v>9800.596741065145</v>
      </c>
      <c r="S335" t="n">
        <v>15270.39616071996</v>
      </c>
    </row>
    <row r="336">
      <c r="A336" s="1" t="n">
        <v>44946</v>
      </c>
      <c r="B336" t="inlineStr">
        <is>
          <t>TSLQ</t>
        </is>
      </c>
      <c r="C336" t="inlineStr">
        <is>
          <t>TSLA</t>
        </is>
      </c>
      <c r="D336" t="n">
        <v>-0</v>
      </c>
      <c r="E336" t="n">
        <v>-3112.21540573408</v>
      </c>
      <c r="F336" t="n">
        <v>-5992</v>
      </c>
      <c r="G336" t="n">
        <v>-371</v>
      </c>
      <c r="H336">
        <f>D336*F336</f>
        <v/>
      </c>
      <c r="I336">
        <f>E336*G336</f>
        <v/>
      </c>
      <c r="J336">
        <f>H336-I336</f>
        <v/>
      </c>
      <c r="K336" t="n">
        <v>-0.02</v>
      </c>
      <c r="L336" t="n">
        <v>-37451.57694545827</v>
      </c>
      <c r="M336" t="n">
        <v>17617.84984785426</v>
      </c>
      <c r="N336" t="n">
        <v>0</v>
      </c>
      <c r="O336" t="n">
        <v>1</v>
      </c>
      <c r="P336" t="n">
        <v>162.6936412056705</v>
      </c>
      <c r="Q336" t="n">
        <v>0.0432</v>
      </c>
      <c r="R336" t="n">
        <v>0</v>
      </c>
      <c r="S336" t="n">
        <v>-19833.72709760401</v>
      </c>
    </row>
    <row r="337">
      <c r="A337" s="1" t="n">
        <v>44946</v>
      </c>
      <c r="B337" t="inlineStr">
        <is>
          <t>LABU</t>
        </is>
      </c>
      <c r="C337" t="inlineStr">
        <is>
          <t>XBI</t>
        </is>
      </c>
      <c r="D337" t="n">
        <v>86.52574157714844</v>
      </c>
      <c r="E337" t="n">
        <v>-153.9954528808594</v>
      </c>
      <c r="F337" t="n">
        <v>3391</v>
      </c>
      <c r="G337" t="n">
        <v>-614</v>
      </c>
      <c r="H337">
        <f>D337*F337</f>
        <v/>
      </c>
      <c r="I337">
        <f>E337*G337</f>
        <v/>
      </c>
      <c r="J337">
        <f>H337-I337</f>
        <v/>
      </c>
      <c r="K337" t="n">
        <v>0.1</v>
      </c>
      <c r="L337" t="n">
        <v>7083.465792055359</v>
      </c>
      <c r="M337" t="n">
        <v>-4453.505878359356</v>
      </c>
      <c r="N337" t="n">
        <v>314.0600073506614</v>
      </c>
      <c r="O337" t="n">
        <v>1</v>
      </c>
      <c r="P337" t="n">
        <v>-111.408787106529</v>
      </c>
      <c r="Q337" t="n">
        <v>0.0432</v>
      </c>
      <c r="R337" t="n">
        <v>835.1901952872905</v>
      </c>
      <c r="S337" t="n">
        <v>1263.243303276401</v>
      </c>
    </row>
    <row r="338">
      <c r="A338" s="1" t="n">
        <v>44946</v>
      </c>
      <c r="B338" t="inlineStr">
        <is>
          <t>ERX</t>
        </is>
      </c>
      <c r="C338" t="inlineStr">
        <is>
          <t>XLE</t>
        </is>
      </c>
      <c r="D338" t="n">
        <v>40.60630416870117</v>
      </c>
      <c r="E338" t="n">
        <v>-64.86734771728516</v>
      </c>
      <c r="F338" t="n">
        <v>1882</v>
      </c>
      <c r="G338" t="n">
        <v>-596</v>
      </c>
      <c r="H338">
        <f>D338*F338</f>
        <v/>
      </c>
      <c r="I338">
        <f>E338*G338</f>
        <v/>
      </c>
      <c r="J338">
        <f>H338-I338</f>
        <v/>
      </c>
      <c r="K338" t="n">
        <v>0.12</v>
      </c>
      <c r="L338" t="n">
        <v>751.7360976732466</v>
      </c>
      <c r="M338" t="n">
        <v>-821.4963388260134</v>
      </c>
      <c r="N338" t="n">
        <v>154.0955207303028</v>
      </c>
      <c r="O338" t="n">
        <v>1</v>
      </c>
      <c r="P338" t="n">
        <v>78.233506557627</v>
      </c>
      <c r="Q338" t="n">
        <v>0.0432</v>
      </c>
      <c r="R338" t="n">
        <v>0</v>
      </c>
      <c r="S338" t="n">
        <v>-280.4969224341143</v>
      </c>
    </row>
    <row r="339">
      <c r="A339" s="1" t="n">
        <v>44946</v>
      </c>
      <c r="B339" t="inlineStr">
        <is>
          <t>GUSH</t>
        </is>
      </c>
      <c r="C339" t="inlineStr">
        <is>
          <t>XOP</t>
        </is>
      </c>
      <c r="D339" t="n">
        <v>130.7289581298828</v>
      </c>
      <c r="E339" t="n">
        <v>-36.04731750488281</v>
      </c>
      <c r="F339" t="n">
        <v>3048</v>
      </c>
      <c r="G339" t="n">
        <v>-5589</v>
      </c>
      <c r="H339">
        <f>D339*F339</f>
        <v/>
      </c>
      <c r="I339">
        <f>E339*G339</f>
        <v/>
      </c>
      <c r="J339">
        <f>H339-I339</f>
        <v/>
      </c>
      <c r="K339" t="n">
        <v>-0.01</v>
      </c>
      <c r="L339" t="n">
        <v>5652.45113828584</v>
      </c>
      <c r="M339" t="n">
        <v>-5376.567295571975</v>
      </c>
      <c r="N339" t="n">
        <v>0</v>
      </c>
      <c r="O339" t="n">
        <v>1</v>
      </c>
      <c r="P339" t="n">
        <v>162.6936412056705</v>
      </c>
      <c r="Q339" t="n">
        <v>0.0432</v>
      </c>
      <c r="R339" t="n">
        <v>0</v>
      </c>
      <c r="S339" t="n">
        <v>-19.44497267977835</v>
      </c>
    </row>
    <row r="340">
      <c r="A340" s="1" t="n">
        <v>44949</v>
      </c>
      <c r="B340" t="inlineStr">
        <is>
          <t>AAPB</t>
        </is>
      </c>
      <c r="C340" t="inlineStr">
        <is>
          <t>AAPL</t>
        </is>
      </c>
      <c r="D340" t="n">
        <v>138.8828582763672</v>
      </c>
      <c r="E340" t="n">
        <v>-14.24062728881836</v>
      </c>
      <c r="F340" t="n">
        <v>9057</v>
      </c>
      <c r="G340" t="n">
        <v>-45734</v>
      </c>
      <c r="H340">
        <f>D340*F340</f>
        <v/>
      </c>
      <c r="I340">
        <f>E340*G340</f>
        <v/>
      </c>
      <c r="J340">
        <f>H340-I340</f>
        <v/>
      </c>
      <c r="K340" t="n">
        <v>-0.005</v>
      </c>
      <c r="L340" t="n">
        <v>28882.84154487263</v>
      </c>
      <c r="M340" t="n">
        <v>-24134.62068763611</v>
      </c>
      <c r="N340" t="n">
        <v>0</v>
      </c>
      <c r="O340" t="n">
        <v>0</v>
      </c>
      <c r="P340" t="n">
        <v>162.6936412056705</v>
      </c>
      <c r="Q340" t="n">
        <v>0.0432</v>
      </c>
      <c r="R340" t="n">
        <v>744.8422464347884</v>
      </c>
      <c r="S340" t="n">
        <v>3409.688404475665</v>
      </c>
    </row>
    <row r="341">
      <c r="A341" s="1" t="n">
        <v>44949</v>
      </c>
      <c r="B341" t="inlineStr">
        <is>
          <t>AAPU</t>
        </is>
      </c>
      <c r="C341" t="inlineStr">
        <is>
          <t>AAPL</t>
        </is>
      </c>
      <c r="D341" t="n">
        <v>138.8828582763672</v>
      </c>
      <c r="E341" t="n">
        <v>-14.46904182434082</v>
      </c>
      <c r="F341" t="n">
        <v>7658</v>
      </c>
      <c r="G341" t="n">
        <v>-37829</v>
      </c>
      <c r="H341">
        <f>D341*F341</f>
        <v/>
      </c>
      <c r="I341">
        <f>E341*G341</f>
        <v/>
      </c>
      <c r="J341">
        <f>H341-I341</f>
        <v/>
      </c>
      <c r="K341" t="n">
        <v>0.02</v>
      </c>
      <c r="L341" t="n">
        <v>24421.41995700945</v>
      </c>
      <c r="M341" t="n">
        <v>-16325.11639868208</v>
      </c>
      <c r="N341" t="n">
        <v>239.6588873356517</v>
      </c>
      <c r="O341" t="n">
        <v>0</v>
      </c>
      <c r="P341" t="n">
        <v>220.1568215612508</v>
      </c>
      <c r="Q341" t="n">
        <v>0.0432</v>
      </c>
      <c r="R341" t="n">
        <v>744.8422464347884</v>
      </c>
      <c r="S341" t="n">
        <v>6609.817263902742</v>
      </c>
    </row>
    <row r="342">
      <c r="A342" s="1" t="n">
        <v>44949</v>
      </c>
      <c r="B342" t="inlineStr">
        <is>
          <t>AMZU</t>
        </is>
      </c>
      <c r="C342" t="inlineStr">
        <is>
          <t>AMZN</t>
        </is>
      </c>
      <c r="D342" t="n">
        <v>97.51999664306641</v>
      </c>
      <c r="E342" t="n">
        <v>-13.85270023345947</v>
      </c>
      <c r="F342" t="n">
        <v>26092</v>
      </c>
      <c r="G342" t="n">
        <v>-91789</v>
      </c>
      <c r="H342">
        <f>D342*F342</f>
        <v/>
      </c>
      <c r="I342">
        <f>E342*G342</f>
        <v/>
      </c>
      <c r="J342">
        <f>H342-I342</f>
        <v/>
      </c>
      <c r="K342" t="n">
        <v>-0.0025</v>
      </c>
      <c r="L342" t="n">
        <v>7045.04905148464</v>
      </c>
      <c r="M342" t="n">
        <v>-3984.778803884498</v>
      </c>
      <c r="N342" t="n">
        <v>0</v>
      </c>
      <c r="O342" t="n">
        <v>0</v>
      </c>
      <c r="P342" t="n">
        <v>162.6936412056705</v>
      </c>
      <c r="Q342" t="n">
        <v>0.0432</v>
      </c>
      <c r="R342" t="n">
        <v>744.8422464347884</v>
      </c>
      <c r="S342" t="n">
        <v>1114.469727088009</v>
      </c>
    </row>
    <row r="343">
      <c r="A343" s="1" t="n">
        <v>44949</v>
      </c>
      <c r="B343" t="inlineStr">
        <is>
          <t>TARK</t>
        </is>
      </c>
      <c r="C343" t="inlineStr">
        <is>
          <t>ARKK</t>
        </is>
      </c>
      <c r="D343" t="n">
        <v>37.76504898071289</v>
      </c>
      <c r="E343" t="n">
        <v>-23.84413528442383</v>
      </c>
      <c r="F343" t="n">
        <v>18788</v>
      </c>
      <c r="G343" t="n">
        <v>-15784</v>
      </c>
      <c r="H343">
        <f>D343*F343</f>
        <v/>
      </c>
      <c r="I343">
        <f>E343*G343</f>
        <v/>
      </c>
      <c r="J343">
        <f>H343-I343</f>
        <v/>
      </c>
      <c r="K343" t="n">
        <v>-0.02</v>
      </c>
      <c r="L343" t="n">
        <v>29440.84247245011</v>
      </c>
      <c r="M343" t="n">
        <v>-27911.04293027376</v>
      </c>
      <c r="N343" t="n">
        <v>0</v>
      </c>
      <c r="O343" t="n">
        <v>0</v>
      </c>
      <c r="P343" t="n">
        <v>162.6936412056705</v>
      </c>
      <c r="Q343" t="n">
        <v>0.0432</v>
      </c>
      <c r="R343" t="n">
        <v>744.8422464347884</v>
      </c>
      <c r="S343" t="n">
        <v>450.0709234633273</v>
      </c>
    </row>
    <row r="344">
      <c r="A344" s="1" t="n">
        <v>44949</v>
      </c>
      <c r="B344" t="inlineStr">
        <is>
          <t>CHAU</t>
        </is>
      </c>
      <c r="C344" t="inlineStr">
        <is>
          <t>ASHR</t>
        </is>
      </c>
      <c r="D344" t="n">
        <v>29.74178123474121</v>
      </c>
      <c r="E344" t="n">
        <v>-23.45965385437012</v>
      </c>
      <c r="F344" t="n">
        <v>5665</v>
      </c>
      <c r="G344" t="n">
        <v>-3740</v>
      </c>
      <c r="H344">
        <f>D344*F344</f>
        <v/>
      </c>
      <c r="I344">
        <f>E344*G344</f>
        <v/>
      </c>
      <c r="J344">
        <f>H344-I344</f>
        <v/>
      </c>
      <c r="K344" t="n">
        <v>-0.01</v>
      </c>
      <c r="L344" t="n">
        <v>854.2247156053578</v>
      </c>
      <c r="M344" t="n">
        <v>-876.1964666000949</v>
      </c>
      <c r="N344" t="n">
        <v>0</v>
      </c>
      <c r="O344" t="n">
        <v>0</v>
      </c>
      <c r="P344" t="n">
        <v>162.6936412056705</v>
      </c>
      <c r="Q344" t="n">
        <v>0.0432</v>
      </c>
      <c r="R344" t="n">
        <v>744.8422464347884</v>
      </c>
      <c r="S344" t="n">
        <v>-846.3371814010424</v>
      </c>
    </row>
    <row r="345">
      <c r="A345" s="1" t="n">
        <v>44949</v>
      </c>
      <c r="B345" t="inlineStr">
        <is>
          <t>BABX</t>
        </is>
      </c>
      <c r="C345" t="inlineStr">
        <is>
          <t>BABA</t>
        </is>
      </c>
      <c r="D345" t="n">
        <v>113.5170440673828</v>
      </c>
      <c r="E345" t="n">
        <v>-40.33499908447266</v>
      </c>
      <c r="F345" t="n">
        <v>4529</v>
      </c>
      <c r="G345" t="n">
        <v>-6431</v>
      </c>
      <c r="H345">
        <f>D345*F345</f>
        <v/>
      </c>
      <c r="I345">
        <f>E345*G345</f>
        <v/>
      </c>
      <c r="J345">
        <f>H345-I345</f>
        <v/>
      </c>
      <c r="K345" t="n">
        <v>-0.0275</v>
      </c>
      <c r="L345" t="n">
        <v>-1419.449583983093</v>
      </c>
      <c r="M345" t="n">
        <v>371.4414315432502</v>
      </c>
      <c r="N345" t="n">
        <v>0</v>
      </c>
      <c r="O345" t="n">
        <v>0</v>
      </c>
      <c r="P345" t="n">
        <v>162.6936412056705</v>
      </c>
      <c r="Q345" t="n">
        <v>0.0432</v>
      </c>
      <c r="R345" t="n">
        <v>744.8422464347884</v>
      </c>
      <c r="S345" t="n">
        <v>-2035.505969335088</v>
      </c>
    </row>
    <row r="346">
      <c r="A346" s="1" t="n">
        <v>44949</v>
      </c>
      <c r="B346" t="inlineStr">
        <is>
          <t>CONL</t>
        </is>
      </c>
      <c r="C346" t="inlineStr">
        <is>
          <t>COIN</t>
        </is>
      </c>
      <c r="D346" t="n">
        <v>55.95999908447266</v>
      </c>
      <c r="E346" t="n">
        <v>-8.715405464172363</v>
      </c>
      <c r="F346" t="n">
        <v>71777</v>
      </c>
      <c r="G346" t="n">
        <v>-233353</v>
      </c>
      <c r="H346">
        <f>D346*F346</f>
        <v/>
      </c>
      <c r="I346">
        <f>E346*G346</f>
        <v/>
      </c>
      <c r="J346">
        <f>H346-I346</f>
        <v/>
      </c>
      <c r="K346" t="n">
        <v>0.03</v>
      </c>
      <c r="L346" t="n">
        <v>57423.96314623775</v>
      </c>
      <c r="M346" t="n">
        <v>-39011.03946784201</v>
      </c>
      <c r="N346" t="n">
        <v>1335.737595626272</v>
      </c>
      <c r="O346" t="n">
        <v>0</v>
      </c>
      <c r="P346" t="n">
        <v>1231.972023531687</v>
      </c>
      <c r="Q346" t="n">
        <v>0.0432</v>
      </c>
      <c r="R346" t="n">
        <v>744.8422464347884</v>
      </c>
      <c r="S346" t="n">
        <v>14436.5553892385</v>
      </c>
    </row>
    <row r="347">
      <c r="A347" s="1" t="n">
        <v>44949</v>
      </c>
      <c r="B347" t="inlineStr">
        <is>
          <t>MEXX</t>
        </is>
      </c>
      <c r="C347" t="inlineStr">
        <is>
          <t>EWW</t>
        </is>
      </c>
      <c r="D347" t="n">
        <v>52.218505859375</v>
      </c>
      <c r="E347" t="n">
        <v>-23.83536529541016</v>
      </c>
      <c r="F347" t="n">
        <v>8705</v>
      </c>
      <c r="G347" t="n">
        <v>-6605</v>
      </c>
      <c r="H347">
        <f>D347*F347</f>
        <v/>
      </c>
      <c r="I347">
        <f>E347*G347</f>
        <v/>
      </c>
      <c r="J347">
        <f>H347-I347</f>
        <v/>
      </c>
      <c r="K347" t="n">
        <v>0.0075</v>
      </c>
      <c r="L347" t="n">
        <v>6072.642723952608</v>
      </c>
      <c r="M347" t="n">
        <v>-5468.487524482551</v>
      </c>
      <c r="N347" t="n">
        <v>25.84965835584585</v>
      </c>
      <c r="O347" t="n">
        <v>0</v>
      </c>
      <c r="P347" t="n">
        <v>167.3547718448991</v>
      </c>
      <c r="Q347" t="n">
        <v>0.0432</v>
      </c>
      <c r="R347" t="n">
        <v>744.8422464347884</v>
      </c>
      <c r="S347" t="n">
        <v>-381.0825401658007</v>
      </c>
    </row>
    <row r="348">
      <c r="A348" s="1" t="n">
        <v>44949</v>
      </c>
      <c r="B348" t="inlineStr">
        <is>
          <t>KORU</t>
        </is>
      </c>
      <c r="C348" t="inlineStr">
        <is>
          <t>EWY</t>
        </is>
      </c>
      <c r="D348" t="n">
        <v>59.48430633544922</v>
      </c>
      <c r="E348" t="n">
        <v>-99.31723785400391</v>
      </c>
      <c r="F348" t="n">
        <v>12312</v>
      </c>
      <c r="G348" t="n">
        <v>-2618</v>
      </c>
      <c r="H348">
        <f>D348*F348</f>
        <v/>
      </c>
      <c r="I348">
        <f>E348*G348</f>
        <v/>
      </c>
      <c r="J348">
        <f>H348-I348</f>
        <v/>
      </c>
      <c r="K348" t="n">
        <v>0.0225</v>
      </c>
      <c r="L348" t="n">
        <v>7564.70453818546</v>
      </c>
      <c r="M348" t="n">
        <v>-7179.592684320083</v>
      </c>
      <c r="N348" t="n">
        <v>128.0783438191835</v>
      </c>
      <c r="O348" t="n">
        <v>0</v>
      </c>
      <c r="P348" t="n">
        <v>174.8988654626677</v>
      </c>
      <c r="Q348" t="n">
        <v>0.0432</v>
      </c>
      <c r="R348" t="n">
        <v>744.8422464347884</v>
      </c>
      <c r="S348" t="n">
        <v>-833.4757037199665</v>
      </c>
    </row>
    <row r="349">
      <c r="A349" s="1" t="n">
        <v>44949</v>
      </c>
      <c r="B349" t="inlineStr">
        <is>
          <t>YINN</t>
        </is>
      </c>
      <c r="C349" t="inlineStr">
        <is>
          <t>FXI</t>
        </is>
      </c>
      <c r="D349" t="n">
        <v>30.5140552520752</v>
      </c>
      <c r="E349" t="n">
        <v>-65.48274993896484</v>
      </c>
      <c r="F349" t="n">
        <v>34613</v>
      </c>
      <c r="G349" t="n">
        <v>-5631</v>
      </c>
      <c r="H349">
        <f>D349*F349</f>
        <v/>
      </c>
      <c r="I349">
        <f>E349*G349</f>
        <v/>
      </c>
      <c r="J349">
        <f>H349-I349</f>
        <v/>
      </c>
      <c r="K349" t="n">
        <v>-0.02</v>
      </c>
      <c r="L349" t="n">
        <v>11575.0146879715</v>
      </c>
      <c r="M349" t="n">
        <v>-10268.52785882384</v>
      </c>
      <c r="N349" t="n">
        <v>0</v>
      </c>
      <c r="O349" t="n">
        <v>0</v>
      </c>
      <c r="P349" t="n">
        <v>162.6936412056705</v>
      </c>
      <c r="Q349" t="n">
        <v>0.0432</v>
      </c>
      <c r="R349" t="n">
        <v>744.8422464347884</v>
      </c>
      <c r="S349" t="n">
        <v>63.14357365644264</v>
      </c>
    </row>
    <row r="350">
      <c r="A350" s="1" t="n">
        <v>44949</v>
      </c>
      <c r="B350" t="inlineStr">
        <is>
          <t>JNUG</t>
        </is>
      </c>
      <c r="C350" t="inlineStr">
        <is>
          <t>GDXJ</t>
        </is>
      </c>
      <c r="D350" t="n">
        <v>37.86777877807617</v>
      </c>
      <c r="E350" t="n">
        <v>-42.16390609741211</v>
      </c>
      <c r="F350" t="n">
        <v>13681</v>
      </c>
      <c r="G350" t="n">
        <v>-6148</v>
      </c>
      <c r="H350">
        <f>D350*F350</f>
        <v/>
      </c>
      <c r="I350">
        <f>E350*G350</f>
        <v/>
      </c>
      <c r="J350">
        <f>H350-I350</f>
        <v/>
      </c>
      <c r="K350" t="n">
        <v>-0.005</v>
      </c>
      <c r="L350" t="n">
        <v>-3106.308155522152</v>
      </c>
      <c r="M350" t="n">
        <v>3106.195590147861</v>
      </c>
      <c r="N350" t="n">
        <v>0</v>
      </c>
      <c r="O350" t="n">
        <v>0</v>
      </c>
      <c r="P350" t="n">
        <v>162.6936412056705</v>
      </c>
      <c r="Q350" t="n">
        <v>0.0432</v>
      </c>
      <c r="R350" t="n">
        <v>744.8422464347884</v>
      </c>
      <c r="S350" t="n">
        <v>-989.4749008747881</v>
      </c>
    </row>
    <row r="351">
      <c r="A351" s="1" t="n">
        <v>44949</v>
      </c>
      <c r="B351" t="inlineStr">
        <is>
          <t>GDXU</t>
        </is>
      </c>
      <c r="C351" t="inlineStr">
        <is>
          <t>GDX</t>
        </is>
      </c>
      <c r="D351" t="n">
        <v>31.27951431274414</v>
      </c>
      <c r="E351" t="n">
        <v>-58.72999954223633</v>
      </c>
      <c r="F351" t="n">
        <v>52226</v>
      </c>
      <c r="G351" t="n">
        <v>-8886</v>
      </c>
      <c r="H351">
        <f>D351*F351</f>
        <v/>
      </c>
      <c r="I351">
        <f>E351*G351</f>
        <v/>
      </c>
      <c r="J351">
        <f>H351-I351</f>
        <v/>
      </c>
      <c r="K351" t="n">
        <v>-0.005</v>
      </c>
      <c r="L351" t="n">
        <v>-1008.227545607024</v>
      </c>
      <c r="M351" t="n">
        <v>3701.977402679789</v>
      </c>
      <c r="N351" t="n">
        <v>0</v>
      </c>
      <c r="O351" t="n">
        <v>0</v>
      </c>
      <c r="P351" t="n">
        <v>162.6936412056705</v>
      </c>
      <c r="Q351" t="n">
        <v>0.0432</v>
      </c>
      <c r="R351" t="n">
        <v>744.8422464347884</v>
      </c>
      <c r="S351" t="n">
        <v>1177.873420481187</v>
      </c>
    </row>
    <row r="352">
      <c r="A352" s="1" t="n">
        <v>44949</v>
      </c>
      <c r="B352" t="inlineStr">
        <is>
          <t>NUGT</t>
        </is>
      </c>
      <c r="C352" t="inlineStr">
        <is>
          <t>GDX</t>
        </is>
      </c>
      <c r="D352" t="n">
        <v>31.27951431274414</v>
      </c>
      <c r="E352" t="n">
        <v>-41.84462356567383</v>
      </c>
      <c r="F352" t="n">
        <v>15534</v>
      </c>
      <c r="G352" t="n">
        <v>-5817</v>
      </c>
      <c r="H352">
        <f>D352*F352</f>
        <v/>
      </c>
      <c r="I352">
        <f>E352*G352</f>
        <v/>
      </c>
      <c r="J352">
        <f>H352-I352</f>
        <v/>
      </c>
      <c r="K352" t="n">
        <v>-0.0175</v>
      </c>
      <c r="L352" t="n">
        <v>-299.8852428571881</v>
      </c>
      <c r="M352" t="n">
        <v>-423.1924071072487</v>
      </c>
      <c r="N352" t="n">
        <v>0</v>
      </c>
      <c r="O352" t="n">
        <v>0</v>
      </c>
      <c r="P352" t="n">
        <v>162.6936412056705</v>
      </c>
      <c r="Q352" t="n">
        <v>0.0432</v>
      </c>
      <c r="R352" t="n">
        <v>744.8422464347884</v>
      </c>
      <c r="S352" t="n">
        <v>-1697.254808318491</v>
      </c>
    </row>
    <row r="353">
      <c r="A353" s="1" t="n">
        <v>44949</v>
      </c>
      <c r="B353" t="inlineStr">
        <is>
          <t>GGLL</t>
        </is>
      </c>
      <c r="C353" t="inlineStr">
        <is>
          <t>GOOGL</t>
        </is>
      </c>
      <c r="D353" t="n">
        <v>98.97199249267578</v>
      </c>
      <c r="E353" t="n">
        <v>-19.12845420837402</v>
      </c>
      <c r="F353" t="n">
        <v>21017</v>
      </c>
      <c r="G353" t="n">
        <v>-56586</v>
      </c>
      <c r="H353">
        <f>D353*F353</f>
        <v/>
      </c>
      <c r="I353">
        <f>E353*G353</f>
        <v/>
      </c>
      <c r="J353">
        <f>H353-I353</f>
        <v/>
      </c>
      <c r="K353" t="n">
        <v>-0</v>
      </c>
      <c r="L353" t="n">
        <v>36896.59305928477</v>
      </c>
      <c r="M353" t="n">
        <v>-26398.33924041275</v>
      </c>
      <c r="N353" t="n">
        <v>0</v>
      </c>
      <c r="O353" t="n">
        <v>0</v>
      </c>
      <c r="P353" t="n">
        <v>162.6936412056705</v>
      </c>
      <c r="Q353" t="n">
        <v>0.0432</v>
      </c>
      <c r="R353" t="n">
        <v>744.8422464347884</v>
      </c>
      <c r="S353" t="n">
        <v>8771.641229654657</v>
      </c>
    </row>
    <row r="354">
      <c r="A354" s="1" t="n">
        <v>44949</v>
      </c>
      <c r="B354" t="inlineStr">
        <is>
          <t>CWEB</t>
        </is>
      </c>
      <c r="C354" t="inlineStr">
        <is>
          <t>KWEB</t>
        </is>
      </c>
      <c r="D354" t="n">
        <v>31.51688575744629</v>
      </c>
      <c r="E354" t="n">
        <v>-61.13674926757812</v>
      </c>
      <c r="F354" t="n">
        <v>14190</v>
      </c>
      <c r="G354" t="n">
        <v>-3658</v>
      </c>
      <c r="H354">
        <f>D354*F354</f>
        <v/>
      </c>
      <c r="I354">
        <f>E354*G354</f>
        <v/>
      </c>
      <c r="J354">
        <f>H354-I354</f>
        <v/>
      </c>
      <c r="K354" t="n">
        <v>-0.02</v>
      </c>
      <c r="L354" t="n">
        <v>4195.267532145488</v>
      </c>
      <c r="M354" t="n">
        <v>-4272.449649594882</v>
      </c>
      <c r="N354" t="n">
        <v>0</v>
      </c>
      <c r="O354" t="n">
        <v>0</v>
      </c>
      <c r="P354" t="n">
        <v>162.6936412056705</v>
      </c>
      <c r="Q354" t="n">
        <v>0.0432</v>
      </c>
      <c r="R354" t="n">
        <v>744.8422464347884</v>
      </c>
      <c r="S354" t="n">
        <v>-1033.107026627481</v>
      </c>
    </row>
    <row r="355">
      <c r="A355" s="1" t="n">
        <v>44949</v>
      </c>
      <c r="B355" t="inlineStr">
        <is>
          <t>FBL</t>
        </is>
      </c>
      <c r="C355" t="inlineStr">
        <is>
          <t>META</t>
        </is>
      </c>
      <c r="D355" t="n">
        <v>142.1544494628906</v>
      </c>
      <c r="E355" t="n">
        <v>-4.461361885070801</v>
      </c>
      <c r="F355" t="n">
        <v>25557</v>
      </c>
      <c r="G355" t="n">
        <v>-416175</v>
      </c>
      <c r="H355">
        <f>D355*F355</f>
        <v/>
      </c>
      <c r="I355">
        <f>E355*G355</f>
        <v/>
      </c>
      <c r="J355">
        <f>H355-I355</f>
        <v/>
      </c>
      <c r="K355" t="n">
        <v>-0.01</v>
      </c>
      <c r="L355" t="n">
        <v>98900.66026182026</v>
      </c>
      <c r="M355" t="n">
        <v>-72067.15969389942</v>
      </c>
      <c r="N355" t="n">
        <v>0</v>
      </c>
      <c r="O355" t="n">
        <v>0</v>
      </c>
      <c r="P355" t="n">
        <v>162.6936412056705</v>
      </c>
      <c r="Q355" t="n">
        <v>0.0432</v>
      </c>
      <c r="R355" t="n">
        <v>744.8422464347884</v>
      </c>
      <c r="S355" t="n">
        <v>24373.92257394835</v>
      </c>
    </row>
    <row r="356">
      <c r="A356" s="1" t="n">
        <v>44949</v>
      </c>
      <c r="B356" t="inlineStr">
        <is>
          <t>MSFU</t>
        </is>
      </c>
      <c r="C356" t="inlineStr">
        <is>
          <t>MSFT</t>
        </is>
      </c>
      <c r="D356" t="n">
        <v>236.3760833740234</v>
      </c>
      <c r="E356" t="n">
        <v>-19.00285339355469</v>
      </c>
      <c r="F356" t="n">
        <v>8999</v>
      </c>
      <c r="G356" t="n">
        <v>-56464</v>
      </c>
      <c r="H356">
        <f>D356*F356</f>
        <v/>
      </c>
      <c r="I356">
        <f>E356*G356</f>
        <v/>
      </c>
      <c r="J356">
        <f>H356-I356</f>
        <v/>
      </c>
      <c r="K356" t="n">
        <v>-0.005</v>
      </c>
      <c r="L356" t="n">
        <v>20695.44065178078</v>
      </c>
      <c r="M356" t="n">
        <v>-15574.07309563352</v>
      </c>
      <c r="N356" t="n">
        <v>0</v>
      </c>
      <c r="O356" t="n">
        <v>0</v>
      </c>
      <c r="P356" t="n">
        <v>162.6936412056705</v>
      </c>
      <c r="Q356" t="n">
        <v>0.0432</v>
      </c>
      <c r="R356" t="n">
        <v>744.8422464347884</v>
      </c>
      <c r="S356" t="n">
        <v>3372.546248721351</v>
      </c>
    </row>
    <row r="357">
      <c r="A357" s="1" t="n">
        <v>44949</v>
      </c>
      <c r="B357" t="inlineStr">
        <is>
          <t>NVDL</t>
        </is>
      </c>
      <c r="C357" t="inlineStr">
        <is>
          <t>NVDA</t>
        </is>
      </c>
      <c r="D357" t="n">
        <v>19.17276954650879</v>
      </c>
      <c r="E357" t="n">
        <v>-4.136609554290771</v>
      </c>
      <c r="F357" t="n">
        <v>281811</v>
      </c>
      <c r="G357" t="n">
        <v>-687933</v>
      </c>
      <c r="H357">
        <f>D357*F357</f>
        <v/>
      </c>
      <c r="I357">
        <f>E357*G357</f>
        <v/>
      </c>
      <c r="J357">
        <f>H357-I357</f>
        <v/>
      </c>
      <c r="K357" t="n">
        <v>-0</v>
      </c>
      <c r="L357" t="n">
        <v>381186.1112727099</v>
      </c>
      <c r="M357" t="n">
        <v>-250141.7581018291</v>
      </c>
      <c r="N357" t="n">
        <v>0</v>
      </c>
      <c r="O357" t="n">
        <v>0</v>
      </c>
      <c r="P357" t="n">
        <v>162.6936412056705</v>
      </c>
      <c r="Q357" t="n">
        <v>0.0432</v>
      </c>
      <c r="R357" t="n">
        <v>744.8422464347884</v>
      </c>
      <c r="S357" t="n">
        <v>127749.3378015057</v>
      </c>
    </row>
    <row r="358">
      <c r="A358" s="1" t="n">
        <v>44949</v>
      </c>
      <c r="B358" t="inlineStr">
        <is>
          <t>SOXL</t>
        </is>
      </c>
      <c r="C358" t="inlineStr">
        <is>
          <t>SOXX</t>
        </is>
      </c>
      <c r="D358" t="n">
        <v>131.8495788574219</v>
      </c>
      <c r="E358" t="n">
        <v>-14.42331314086914</v>
      </c>
      <c r="F358" t="n">
        <v>8623</v>
      </c>
      <c r="G358" t="n">
        <v>-28873</v>
      </c>
      <c r="H358">
        <f>D358*F358</f>
        <v/>
      </c>
      <c r="I358">
        <f>E358*G358</f>
        <v/>
      </c>
      <c r="J358">
        <f>H358-I358</f>
        <v/>
      </c>
      <c r="K358" t="n">
        <v>-0.0175</v>
      </c>
      <c r="L358" t="n">
        <v>54365.63579747594</v>
      </c>
      <c r="M358" t="n">
        <v>-52163.87629010358</v>
      </c>
      <c r="N358" t="n">
        <v>0</v>
      </c>
      <c r="O358" t="n">
        <v>0</v>
      </c>
      <c r="P358" t="n">
        <v>162.6936412056705</v>
      </c>
      <c r="Q358" t="n">
        <v>0.0432</v>
      </c>
      <c r="R358" t="n">
        <v>744.8422464347884</v>
      </c>
      <c r="S358" t="n">
        <v>920.3007834094228</v>
      </c>
    </row>
    <row r="359">
      <c r="A359" s="1" t="n">
        <v>44949</v>
      </c>
      <c r="B359" t="inlineStr">
        <is>
          <t>SOXS</t>
        </is>
      </c>
      <c r="C359" t="inlineStr">
        <is>
          <t>SOXX</t>
        </is>
      </c>
      <c r="D359" t="n">
        <v>-0</v>
      </c>
      <c r="E359" t="n">
        <v>-19793.99362021998</v>
      </c>
      <c r="F359" t="n">
        <v>-6748</v>
      </c>
      <c r="G359" t="n">
        <v>-57</v>
      </c>
      <c r="H359">
        <f>D359*F359</f>
        <v/>
      </c>
      <c r="I359">
        <f>E359*G359</f>
        <v/>
      </c>
      <c r="J359">
        <f>H359-I359</f>
        <v/>
      </c>
      <c r="K359" t="n">
        <v>0.07000000000000001</v>
      </c>
      <c r="L359" t="n">
        <v>-42544.27813537837</v>
      </c>
      <c r="M359" t="n">
        <v>39724.24009035811</v>
      </c>
      <c r="N359" t="n">
        <v>365.5544854378829</v>
      </c>
      <c r="O359" t="n">
        <v>0</v>
      </c>
      <c r="P359" t="n">
        <v>-280.8598760827458</v>
      </c>
      <c r="Q359" t="n">
        <v>0.0432</v>
      </c>
      <c r="R359" t="n">
        <v>744.8422464347884</v>
      </c>
      <c r="S359" t="n">
        <v>-3930.434776892929</v>
      </c>
    </row>
    <row r="360">
      <c r="A360" s="1" t="n">
        <v>44949</v>
      </c>
      <c r="B360" t="inlineStr">
        <is>
          <t>HIBL</t>
        </is>
      </c>
      <c r="C360" t="inlineStr">
        <is>
          <t>SPHB</t>
        </is>
      </c>
      <c r="D360" t="n">
        <v>69.26390075683594</v>
      </c>
      <c r="E360" t="n">
        <v>-32.9492301940918</v>
      </c>
      <c r="F360" t="n">
        <v>6387</v>
      </c>
      <c r="G360" t="n">
        <v>-4747</v>
      </c>
      <c r="H360">
        <f>D360*F360</f>
        <v/>
      </c>
      <c r="I360">
        <f>E360*G360</f>
        <v/>
      </c>
      <c r="J360">
        <f>H360-I360</f>
        <v/>
      </c>
      <c r="K360" t="n">
        <v>0.12</v>
      </c>
      <c r="L360" t="n">
        <v>12640.23526635227</v>
      </c>
      <c r="M360" t="n">
        <v>-11978.58369008631</v>
      </c>
      <c r="N360" t="n">
        <v>410.90806016277</v>
      </c>
      <c r="O360" t="n">
        <v>0</v>
      </c>
      <c r="P360" t="n">
        <v>219.3822004466343</v>
      </c>
      <c r="Q360" t="n">
        <v>0.0432</v>
      </c>
      <c r="R360" t="n">
        <v>744.8422464347884</v>
      </c>
      <c r="S360" t="n">
        <v>-702.8988452943056</v>
      </c>
    </row>
    <row r="361">
      <c r="A361" s="1" t="n">
        <v>44949</v>
      </c>
      <c r="B361" t="inlineStr">
        <is>
          <t>TSLL</t>
        </is>
      </c>
      <c r="C361" t="inlineStr">
        <is>
          <t>TSLA</t>
        </is>
      </c>
      <c r="D361" t="n">
        <v>143.75</v>
      </c>
      <c r="E361" t="n">
        <v>-6.683992385864258</v>
      </c>
      <c r="F361" t="n">
        <v>16126</v>
      </c>
      <c r="G361" t="n">
        <v>-180093</v>
      </c>
      <c r="H361">
        <f>D361*F361</f>
        <v/>
      </c>
      <c r="I361">
        <f>E361*G361</f>
        <v/>
      </c>
      <c r="J361">
        <f>H361-I361</f>
        <v/>
      </c>
      <c r="K361" t="n">
        <v>0.01</v>
      </c>
      <c r="L361" t="n">
        <v>166588.6239498196</v>
      </c>
      <c r="M361" t="n">
        <v>-118108.4648273153</v>
      </c>
      <c r="N361" t="n">
        <v>263.5309873433326</v>
      </c>
      <c r="O361" t="n">
        <v>0</v>
      </c>
      <c r="P361" t="n">
        <v>281.2706563824934</v>
      </c>
      <c r="Q361" t="n">
        <v>0.0432</v>
      </c>
      <c r="R361" t="n">
        <v>744.8422464347884</v>
      </c>
      <c r="S361" t="n">
        <v>46377.67489996801</v>
      </c>
    </row>
    <row r="362">
      <c r="A362" s="1" t="n">
        <v>44949</v>
      </c>
      <c r="B362" t="inlineStr">
        <is>
          <t>TSLQ</t>
        </is>
      </c>
      <c r="C362" t="inlineStr">
        <is>
          <t>TSLA</t>
        </is>
      </c>
      <c r="D362" t="n">
        <v>-0</v>
      </c>
      <c r="E362" t="n">
        <v>-3206.042778734891</v>
      </c>
      <c r="F362" t="n">
        <v>-5992</v>
      </c>
      <c r="G362" t="n">
        <v>-371</v>
      </c>
      <c r="H362">
        <f>D362*F362</f>
        <v/>
      </c>
      <c r="I362">
        <f>E362*G362</f>
        <v/>
      </c>
      <c r="J362">
        <f>H362-I362</f>
        <v/>
      </c>
      <c r="K362" t="n">
        <v>-0.02</v>
      </c>
      <c r="L362" t="n">
        <v>-61899.97734759512</v>
      </c>
      <c r="M362" t="n">
        <v>25647.42121987003</v>
      </c>
      <c r="N362" t="n">
        <v>0</v>
      </c>
      <c r="O362" t="n">
        <v>0</v>
      </c>
      <c r="P362" t="n">
        <v>162.6936412056705</v>
      </c>
      <c r="Q362" t="n">
        <v>0.0432</v>
      </c>
      <c r="R362" t="n">
        <v>744.8422464347884</v>
      </c>
      <c r="S362" t="n">
        <v>-36997.39837415987</v>
      </c>
    </row>
    <row r="363">
      <c r="A363" s="1" t="n">
        <v>44949</v>
      </c>
      <c r="B363" t="inlineStr">
        <is>
          <t>LABU</t>
        </is>
      </c>
      <c r="C363" t="inlineStr">
        <is>
          <t>XBI</t>
        </is>
      </c>
      <c r="D363" t="n">
        <v>86.69482421875</v>
      </c>
      <c r="E363" t="n">
        <v>-155.5668334960938</v>
      </c>
      <c r="F363" t="n">
        <v>3391</v>
      </c>
      <c r="G363" t="n">
        <v>-638</v>
      </c>
      <c r="H363">
        <f>D363*F363</f>
        <v/>
      </c>
      <c r="I363">
        <f>E363*G363</f>
        <v/>
      </c>
      <c r="J363">
        <f>H363-I363</f>
        <v/>
      </c>
      <c r="K363" t="n">
        <v>0.1</v>
      </c>
      <c r="L363" t="n">
        <v>573.3833806948185</v>
      </c>
      <c r="M363" t="n">
        <v>-949.2447493875663</v>
      </c>
      <c r="N363" t="n">
        <v>217.2884293369261</v>
      </c>
      <c r="O363" t="n">
        <v>0</v>
      </c>
      <c r="P363" t="n">
        <v>105.8796422303971</v>
      </c>
      <c r="Q363" t="n">
        <v>0.0432</v>
      </c>
      <c r="R363" t="n">
        <v>744.8422464347884</v>
      </c>
      <c r="S363" t="n">
        <v>-1476.746785504174</v>
      </c>
    </row>
    <row r="364">
      <c r="A364" s="1" t="n">
        <v>44949</v>
      </c>
      <c r="B364" t="inlineStr">
        <is>
          <t>ERX</t>
        </is>
      </c>
      <c r="C364" t="inlineStr">
        <is>
          <t>XLE</t>
        </is>
      </c>
      <c r="D364" t="n">
        <v>40.66016006469727</v>
      </c>
      <c r="E364" t="n">
        <v>-64.81241607666016</v>
      </c>
      <c r="F364" t="n">
        <v>1882</v>
      </c>
      <c r="G364" t="n">
        <v>-596</v>
      </c>
      <c r="H364">
        <f>D364*F364</f>
        <v/>
      </c>
      <c r="I364">
        <f>E364*G364</f>
        <v/>
      </c>
      <c r="J364">
        <f>H364-I364</f>
        <v/>
      </c>
      <c r="K364" t="n">
        <v>0.12</v>
      </c>
      <c r="L364" t="n">
        <v>101.3610641989484</v>
      </c>
      <c r="M364" t="n">
        <v>30.9988058035093</v>
      </c>
      <c r="N364" t="n">
        <v>101.4809740760945</v>
      </c>
      <c r="O364" t="n">
        <v>0</v>
      </c>
      <c r="P364" t="n">
        <v>179.7144806337215</v>
      </c>
      <c r="Q364" t="n">
        <v>0.0432</v>
      </c>
      <c r="R364" t="n">
        <v>744.8422464347884</v>
      </c>
      <c r="S364" t="n">
        <v>-750.0806752573261</v>
      </c>
    </row>
    <row r="365">
      <c r="A365" s="1" t="n">
        <v>44949</v>
      </c>
      <c r="B365" t="inlineStr">
        <is>
          <t>GUSH</t>
        </is>
      </c>
      <c r="C365" t="inlineStr">
        <is>
          <t>XOP</t>
        </is>
      </c>
      <c r="D365" t="n">
        <v>132.6110076904297</v>
      </c>
      <c r="E365" t="n">
        <v>-37.05411148071289</v>
      </c>
      <c r="F365" t="n">
        <v>3048</v>
      </c>
      <c r="G365" t="n">
        <v>-5589</v>
      </c>
      <c r="H365">
        <f>D365*F365</f>
        <v/>
      </c>
      <c r="I365">
        <f>E365*G365</f>
        <v/>
      </c>
      <c r="J365">
        <f>H365-I365</f>
        <v/>
      </c>
      <c r="K365" t="n">
        <v>-0.01</v>
      </c>
      <c r="L365" t="n">
        <v>5736.728612675488</v>
      </c>
      <c r="M365" t="n">
        <v>-5327.836041600493</v>
      </c>
      <c r="N365" t="n">
        <v>0</v>
      </c>
      <c r="O365" t="n">
        <v>0</v>
      </c>
      <c r="P365" t="n">
        <v>162.6936412056705</v>
      </c>
      <c r="Q365" t="n">
        <v>0.0432</v>
      </c>
      <c r="R365" t="n">
        <v>744.8422464347884</v>
      </c>
      <c r="S365" t="n">
        <v>-526.7246519620433</v>
      </c>
    </row>
    <row r="366">
      <c r="A366" s="1" t="n">
        <v>44950</v>
      </c>
      <c r="B366" t="inlineStr">
        <is>
          <t>AAPB</t>
        </is>
      </c>
      <c r="C366" t="inlineStr">
        <is>
          <t>AAPL</t>
        </is>
      </c>
      <c r="D366" t="n">
        <v>140.2804412841797</v>
      </c>
      <c r="E366" t="n">
        <v>-14.52334022521973</v>
      </c>
      <c r="F366" t="n">
        <v>9057</v>
      </c>
      <c r="G366" t="n">
        <v>-45734</v>
      </c>
      <c r="H366">
        <f>D366*F366</f>
        <v/>
      </c>
      <c r="I366">
        <f>E366*G366</f>
        <v/>
      </c>
      <c r="J366">
        <f>H366-I366</f>
        <v/>
      </c>
      <c r="K366" t="n">
        <v>-0.005</v>
      </c>
      <c r="L366" t="n">
        <v>12658.44230129278</v>
      </c>
      <c r="M366" t="n">
        <v>-12242.24318874607</v>
      </c>
      <c r="N366" t="n">
        <v>-0</v>
      </c>
      <c r="O366" t="n">
        <v>0</v>
      </c>
      <c r="P366" t="n">
        <v>162.6936412056705</v>
      </c>
      <c r="Q366" t="n">
        <v>0.0432</v>
      </c>
      <c r="R366" t="n">
        <v>-58.96755435281697</v>
      </c>
      <c r="S366" t="n">
        <v>522.9327482878136</v>
      </c>
    </row>
    <row r="367">
      <c r="A367" s="1" t="n">
        <v>44950</v>
      </c>
      <c r="B367" t="inlineStr">
        <is>
          <t>AAPU</t>
        </is>
      </c>
      <c r="C367" t="inlineStr">
        <is>
          <t>AAPL</t>
        </is>
      </c>
      <c r="D367" t="n">
        <v>140.2804412841797</v>
      </c>
      <c r="E367" t="n">
        <v>-14.72396850585938</v>
      </c>
      <c r="F367" t="n">
        <v>7658</v>
      </c>
      <c r="G367" t="n">
        <v>-37829</v>
      </c>
      <c r="H367">
        <f>D367*F367</f>
        <v/>
      </c>
      <c r="I367">
        <f>E367*G367</f>
        <v/>
      </c>
      <c r="J367">
        <f>H367-I367</f>
        <v/>
      </c>
      <c r="K367" t="n">
        <v>0.02</v>
      </c>
      <c r="L367" t="n">
        <v>10703.1413429723</v>
      </c>
      <c r="M367" t="n">
        <v>-9130.956780489845</v>
      </c>
      <c r="N367" t="n">
        <v>-19.77275802123654</v>
      </c>
      <c r="O367" t="n">
        <v>0</v>
      </c>
      <c r="P367" t="n">
        <v>200.3840635400143</v>
      </c>
      <c r="Q367" t="n">
        <v>0.0432</v>
      </c>
      <c r="R367" t="n">
        <v>-58.96755435281697</v>
      </c>
      <c r="S367" t="n">
        <v>1691.312713133142</v>
      </c>
    </row>
    <row r="368">
      <c r="A368" s="1" t="n">
        <v>44950</v>
      </c>
      <c r="B368" t="inlineStr">
        <is>
          <t>AMZU</t>
        </is>
      </c>
      <c r="C368" t="inlineStr">
        <is>
          <t>AMZN</t>
        </is>
      </c>
      <c r="D368" t="n">
        <v>96.31999969482422</v>
      </c>
      <c r="E368" t="n">
        <v>-13.62518215179443</v>
      </c>
      <c r="F368" t="n">
        <v>26092</v>
      </c>
      <c r="G368" t="n">
        <v>-91789</v>
      </c>
      <c r="H368">
        <f>D368*F368</f>
        <v/>
      </c>
      <c r="I368">
        <f>E368*G368</f>
        <v/>
      </c>
      <c r="J368">
        <f>H368-I368</f>
        <v/>
      </c>
      <c r="K368" t="n">
        <v>-0.0025</v>
      </c>
      <c r="L368" t="n">
        <v>-31311.63878922301</v>
      </c>
      <c r="M368" t="n">
        <v>19773.46089071125</v>
      </c>
      <c r="N368" t="n">
        <v>-0</v>
      </c>
      <c r="O368" t="n">
        <v>0</v>
      </c>
      <c r="P368" t="n">
        <v>162.6936412056705</v>
      </c>
      <c r="Q368" t="n">
        <v>0.0432</v>
      </c>
      <c r="R368" t="n">
        <v>-58.96755435281697</v>
      </c>
      <c r="S368" t="n">
        <v>-11384.72554036492</v>
      </c>
    </row>
    <row r="369">
      <c r="A369" s="1" t="n">
        <v>44950</v>
      </c>
      <c r="B369" t="inlineStr">
        <is>
          <t>TARK</t>
        </is>
      </c>
      <c r="C369" t="inlineStr">
        <is>
          <t>ARKK</t>
        </is>
      </c>
      <c r="D369" t="n">
        <v>37.17000961303711</v>
      </c>
      <c r="E369" t="n">
        <v>-22.95144653320312</v>
      </c>
      <c r="F369" t="n">
        <v>18788</v>
      </c>
      <c r="G369" t="n">
        <v>-15784</v>
      </c>
      <c r="H369">
        <f>D369*F369</f>
        <v/>
      </c>
      <c r="I369">
        <f>E369*G369</f>
        <v/>
      </c>
      <c r="J369">
        <f>H369-I369</f>
        <v/>
      </c>
      <c r="K369" t="n">
        <v>-0.02</v>
      </c>
      <c r="L369" t="n">
        <v>-11180.07039073043</v>
      </c>
      <c r="M369" t="n">
        <v>13341.15002735443</v>
      </c>
      <c r="N369" t="n">
        <v>-0</v>
      </c>
      <c r="O369" t="n">
        <v>0</v>
      </c>
      <c r="P369" t="n">
        <v>162.6936412056705</v>
      </c>
      <c r="Q369" t="n">
        <v>0.0432</v>
      </c>
      <c r="R369" t="n">
        <v>-58.96755435281697</v>
      </c>
      <c r="S369" t="n">
        <v>2246.302150198586</v>
      </c>
    </row>
    <row r="370">
      <c r="A370" s="1" t="n">
        <v>44950</v>
      </c>
      <c r="B370" t="inlineStr">
        <is>
          <t>CHAU</t>
        </is>
      </c>
      <c r="C370" t="inlineStr">
        <is>
          <t>ASHR</t>
        </is>
      </c>
      <c r="D370" t="n">
        <v>29.7040843963623</v>
      </c>
      <c r="E370" t="n">
        <v>-23.37717628479004</v>
      </c>
      <c r="F370" t="n">
        <v>5665</v>
      </c>
      <c r="G370" t="n">
        <v>-3740</v>
      </c>
      <c r="H370">
        <f>D370*F370</f>
        <v/>
      </c>
      <c r="I370">
        <f>E370*G370</f>
        <v/>
      </c>
      <c r="J370">
        <f>H370-I370</f>
        <v/>
      </c>
      <c r="K370" t="n">
        <v>-0.01</v>
      </c>
      <c r="L370" t="n">
        <v>-213.5615816938332</v>
      </c>
      <c r="M370" t="n">
        <v>292.0677402869247</v>
      </c>
      <c r="N370" t="n">
        <v>-0</v>
      </c>
      <c r="O370" t="n">
        <v>0</v>
      </c>
      <c r="P370" t="n">
        <v>162.6936412056705</v>
      </c>
      <c r="Q370" t="n">
        <v>0.0432</v>
      </c>
      <c r="R370" t="n">
        <v>-58.96755435281697</v>
      </c>
      <c r="S370" t="n">
        <v>143.8000774007045</v>
      </c>
    </row>
    <row r="371">
      <c r="A371" s="1" t="n">
        <v>44950</v>
      </c>
      <c r="B371" t="inlineStr">
        <is>
          <t>BABX</t>
        </is>
      </c>
      <c r="C371" t="inlineStr">
        <is>
          <t>BABA</t>
        </is>
      </c>
      <c r="D371" t="n">
        <v>113.4315719604492</v>
      </c>
      <c r="E371" t="n">
        <v>-40.18500137329102</v>
      </c>
      <c r="F371" t="n">
        <v>4529</v>
      </c>
      <c r="G371" t="n">
        <v>-6431</v>
      </c>
      <c r="H371">
        <f>D371*F371</f>
        <v/>
      </c>
      <c r="I371">
        <f>E371*G371</f>
        <v/>
      </c>
      <c r="J371">
        <f>H371-I371</f>
        <v/>
      </c>
      <c r="K371" t="n">
        <v>-0.0275</v>
      </c>
      <c r="L371" t="n">
        <v>-387.119472451497</v>
      </c>
      <c r="M371" t="n">
        <v>913.3542948978891</v>
      </c>
      <c r="N371" t="n">
        <v>-0</v>
      </c>
      <c r="O371" t="n">
        <v>0</v>
      </c>
      <c r="P371" t="n">
        <v>162.6936412056705</v>
      </c>
      <c r="Q371" t="n">
        <v>0.0432</v>
      </c>
      <c r="R371" t="n">
        <v>-58.96755435281697</v>
      </c>
      <c r="S371" t="n">
        <v>604.5164731908651</v>
      </c>
    </row>
    <row r="372">
      <c r="A372" s="1" t="n">
        <v>44950</v>
      </c>
      <c r="B372" t="inlineStr">
        <is>
          <t>CONL</t>
        </is>
      </c>
      <c r="C372" t="inlineStr">
        <is>
          <t>COIN</t>
        </is>
      </c>
      <c r="D372" t="n">
        <v>53.56000137329102</v>
      </c>
      <c r="E372" t="n">
        <v>-8.13983154296875</v>
      </c>
      <c r="F372" t="n">
        <v>71777</v>
      </c>
      <c r="G372" t="n">
        <v>-233353</v>
      </c>
      <c r="H372">
        <f>D372*F372</f>
        <v/>
      </c>
      <c r="I372">
        <f>E372*G372</f>
        <v/>
      </c>
      <c r="J372">
        <f>H372-I372</f>
        <v/>
      </c>
      <c r="K372" t="n">
        <v>0.03</v>
      </c>
      <c r="L372" t="n">
        <v>-172271.8894387133</v>
      </c>
      <c r="M372" t="n">
        <v>127171.7449221671</v>
      </c>
      <c r="N372" t="n">
        <v>-101.1434062358076</v>
      </c>
      <c r="O372" t="n">
        <v>0</v>
      </c>
      <c r="P372" t="n">
        <v>1130.82861729588</v>
      </c>
      <c r="Q372" t="n">
        <v>0.0432</v>
      </c>
      <c r="R372" t="n">
        <v>-58.96755435281697</v>
      </c>
      <c r="S372" t="n">
        <v>-44795.50155835022</v>
      </c>
    </row>
    <row r="373">
      <c r="A373" s="1" t="n">
        <v>44950</v>
      </c>
      <c r="B373" t="inlineStr">
        <is>
          <t>MEXX</t>
        </is>
      </c>
      <c r="C373" t="inlineStr">
        <is>
          <t>EWW</t>
        </is>
      </c>
      <c r="D373" t="n">
        <v>52.57181930541992</v>
      </c>
      <c r="E373" t="n">
        <v>-24.32126998901367</v>
      </c>
      <c r="F373" t="n">
        <v>8705</v>
      </c>
      <c r="G373" t="n">
        <v>-6605</v>
      </c>
      <c r="H373">
        <f>D373*F373</f>
        <v/>
      </c>
      <c r="I373">
        <f>E373*G373</f>
        <v/>
      </c>
      <c r="J373">
        <f>H373-I373</f>
        <v/>
      </c>
      <c r="K373" t="n">
        <v>0.0075</v>
      </c>
      <c r="L373" t="n">
        <v>3075.723054984643</v>
      </c>
      <c r="M373" t="n">
        <v>-3038.78552940156</v>
      </c>
      <c r="N373" t="n">
        <v>-2.138493079792764</v>
      </c>
      <c r="O373" t="n">
        <v>0</v>
      </c>
      <c r="P373" t="n">
        <v>165.2162787651064</v>
      </c>
      <c r="Q373" t="n">
        <v>0.0432</v>
      </c>
      <c r="R373" t="n">
        <v>-58.96755435281697</v>
      </c>
      <c r="S373" t="n">
        <v>115.2487801363593</v>
      </c>
    </row>
    <row r="374">
      <c r="A374" s="1" t="n">
        <v>44950</v>
      </c>
      <c r="B374" t="inlineStr">
        <is>
          <t>KORU</t>
        </is>
      </c>
      <c r="C374" t="inlineStr">
        <is>
          <t>EWY</t>
        </is>
      </c>
      <c r="D374" t="n">
        <v>59.30743408203125</v>
      </c>
      <c r="E374" t="n">
        <v>-98.28950500488281</v>
      </c>
      <c r="F374" t="n">
        <v>12312</v>
      </c>
      <c r="G374" t="n">
        <v>-2618</v>
      </c>
      <c r="H374">
        <f>D374*F374</f>
        <v/>
      </c>
      <c r="I374">
        <f>E374*G374</f>
        <v/>
      </c>
      <c r="J374">
        <f>H374-I374</f>
        <v/>
      </c>
      <c r="K374" t="n">
        <v>0.0225</v>
      </c>
      <c r="L374" t="n">
        <v>-2177.742880667998</v>
      </c>
      <c r="M374" t="n">
        <v>2547.569341249853</v>
      </c>
      <c r="N374" t="n">
        <v>-10.27653778205987</v>
      </c>
      <c r="O374" t="n">
        <v>0</v>
      </c>
      <c r="P374" t="n">
        <v>164.6223276806078</v>
      </c>
      <c r="Q374" t="n">
        <v>0.0432</v>
      </c>
      <c r="R374" t="n">
        <v>-58.96755435281697</v>
      </c>
      <c r="S374" t="n">
        <v>466.5226712111723</v>
      </c>
    </row>
    <row r="375">
      <c r="A375" s="1" t="n">
        <v>44950</v>
      </c>
      <c r="B375" t="inlineStr">
        <is>
          <t>YINN</t>
        </is>
      </c>
      <c r="C375" t="inlineStr">
        <is>
          <t>FXI</t>
        </is>
      </c>
      <c r="D375" t="n">
        <v>30.45832061767578</v>
      </c>
      <c r="E375" t="n">
        <v>-65.33318328857422</v>
      </c>
      <c r="F375" t="n">
        <v>34613</v>
      </c>
      <c r="G375" t="n">
        <v>-5631</v>
      </c>
      <c r="H375">
        <f>D375*F375</f>
        <v/>
      </c>
      <c r="I375">
        <f>E375*G375</f>
        <v/>
      </c>
      <c r="J375">
        <f>H375-I375</f>
        <v/>
      </c>
      <c r="K375" t="n">
        <v>-0.02</v>
      </c>
      <c r="L375" t="n">
        <v>-1929.224132860384</v>
      </c>
      <c r="M375" t="n">
        <v>797.4370843822965</v>
      </c>
      <c r="N375" t="n">
        <v>-0</v>
      </c>
      <c r="O375" t="n">
        <v>0</v>
      </c>
      <c r="P375" t="n">
        <v>162.6936412056705</v>
      </c>
      <c r="Q375" t="n">
        <v>0.0432</v>
      </c>
      <c r="R375" t="n">
        <v>-58.96755435281697</v>
      </c>
      <c r="S375" t="n">
        <v>-1033.184087368718</v>
      </c>
    </row>
    <row r="376">
      <c r="A376" s="1" t="n">
        <v>44950</v>
      </c>
      <c r="B376" t="inlineStr">
        <is>
          <t>JNUG</t>
        </is>
      </c>
      <c r="C376" t="inlineStr">
        <is>
          <t>GDXJ</t>
        </is>
      </c>
      <c r="D376" t="n">
        <v>38.43537521362305</v>
      </c>
      <c r="E376" t="n">
        <v>-43.36216735839844</v>
      </c>
      <c r="F376" t="n">
        <v>13681</v>
      </c>
      <c r="G376" t="n">
        <v>-6148</v>
      </c>
      <c r="H376">
        <f>D376*F376</f>
        <v/>
      </c>
      <c r="I376">
        <f>E376*G376</f>
        <v/>
      </c>
      <c r="J376">
        <f>H376-I376</f>
        <v/>
      </c>
      <c r="K376" t="n">
        <v>-0.005</v>
      </c>
      <c r="L376" t="n">
        <v>7765.613815592797</v>
      </c>
      <c r="M376" t="n">
        <v>-6975.277844671368</v>
      </c>
      <c r="N376" t="n">
        <v>-0</v>
      </c>
      <c r="O376" t="n">
        <v>0</v>
      </c>
      <c r="P376" t="n">
        <v>162.6936412056705</v>
      </c>
      <c r="Q376" t="n">
        <v>0.0432</v>
      </c>
      <c r="R376" t="n">
        <v>-58.96755435281697</v>
      </c>
      <c r="S376" t="n">
        <v>869.0726340554104</v>
      </c>
    </row>
    <row r="377">
      <c r="A377" s="1" t="n">
        <v>44950</v>
      </c>
      <c r="B377" t="inlineStr">
        <is>
          <t>GDXU</t>
        </is>
      </c>
      <c r="C377" t="inlineStr">
        <is>
          <t>GDX</t>
        </is>
      </c>
      <c r="D377" t="n">
        <v>31.59809875488281</v>
      </c>
      <c r="E377" t="n">
        <v>-60.59000015258789</v>
      </c>
      <c r="F377" t="n">
        <v>52226</v>
      </c>
      <c r="G377" t="n">
        <v>-8886</v>
      </c>
      <c r="H377">
        <f>D377*F377</f>
        <v/>
      </c>
      <c r="I377">
        <f>E377*G377</f>
        <v/>
      </c>
      <c r="J377">
        <f>H377-I377</f>
        <v/>
      </c>
      <c r="K377" t="n">
        <v>-0.005</v>
      </c>
      <c r="L377" t="n">
        <v>16639.09168488699</v>
      </c>
      <c r="M377" t="n">
        <v>-15649.32208992165</v>
      </c>
      <c r="N377" t="n">
        <v>-0</v>
      </c>
      <c r="O377" t="n">
        <v>0</v>
      </c>
      <c r="P377" t="n">
        <v>162.6936412056705</v>
      </c>
      <c r="Q377" t="n">
        <v>0.0432</v>
      </c>
      <c r="R377" t="n">
        <v>-58.96755435281697</v>
      </c>
      <c r="S377" t="n">
        <v>1110.779156499551</v>
      </c>
    </row>
    <row r="378">
      <c r="A378" s="1" t="n">
        <v>44950</v>
      </c>
      <c r="B378" t="inlineStr">
        <is>
          <t>NUGT</t>
        </is>
      </c>
      <c r="C378" t="inlineStr">
        <is>
          <t>GDX</t>
        </is>
      </c>
      <c r="D378" t="n">
        <v>31.59809875488281</v>
      </c>
      <c r="E378" t="n">
        <v>-42.62254333496094</v>
      </c>
      <c r="F378" t="n">
        <v>15534</v>
      </c>
      <c r="G378" t="n">
        <v>-5817</v>
      </c>
      <c r="H378">
        <f>D378*F378</f>
        <v/>
      </c>
      <c r="I378">
        <f>E378*G378</f>
        <v/>
      </c>
      <c r="J378">
        <f>H378-I378</f>
        <v/>
      </c>
      <c r="K378" t="n">
        <v>-0.0175</v>
      </c>
      <c r="L378" t="n">
        <v>4949.099112186161</v>
      </c>
      <c r="M378" t="n">
        <v>-4284.597259664379</v>
      </c>
      <c r="N378" t="n">
        <v>-0</v>
      </c>
      <c r="O378" t="n">
        <v>0</v>
      </c>
      <c r="P378" t="n">
        <v>162.6936412056705</v>
      </c>
      <c r="Q378" t="n">
        <v>0.0432</v>
      </c>
      <c r="R378" t="n">
        <v>-58.96755435281697</v>
      </c>
      <c r="S378" t="n">
        <v>741.9230609847323</v>
      </c>
    </row>
    <row r="379">
      <c r="A379" s="1" t="n">
        <v>44950</v>
      </c>
      <c r="B379" t="inlineStr">
        <is>
          <t>GGLL</t>
        </is>
      </c>
      <c r="C379" t="inlineStr">
        <is>
          <t>GOOGL</t>
        </is>
      </c>
      <c r="D379" t="n">
        <v>96.89912414550781</v>
      </c>
      <c r="E379" t="n">
        <v>-18.49674797058105</v>
      </c>
      <c r="F379" t="n">
        <v>21017</v>
      </c>
      <c r="G379" t="n">
        <v>-56586</v>
      </c>
      <c r="H379">
        <f>D379*F379</f>
        <v/>
      </c>
      <c r="I379">
        <f>E379*G379</f>
        <v/>
      </c>
      <c r="J379">
        <f>H379-I379</f>
        <v/>
      </c>
      <c r="K379" t="n">
        <v>-0</v>
      </c>
      <c r="L379" t="n">
        <v>-43567.30850840903</v>
      </c>
      <c r="M379" t="n">
        <v>33845.4501090412</v>
      </c>
      <c r="N379" t="n">
        <v>-0</v>
      </c>
      <c r="O379" t="n">
        <v>0</v>
      </c>
      <c r="P379" t="n">
        <v>162.6936412056705</v>
      </c>
      <c r="Q379" t="n">
        <v>0.0432</v>
      </c>
      <c r="R379" t="n">
        <v>-58.96755435281697</v>
      </c>
      <c r="S379" t="n">
        <v>-9586.326124957695</v>
      </c>
    </row>
    <row r="380">
      <c r="A380" s="1" t="n">
        <v>44950</v>
      </c>
      <c r="B380" t="inlineStr">
        <is>
          <t>CWEB</t>
        </is>
      </c>
      <c r="C380" t="inlineStr">
        <is>
          <t>KWEB</t>
        </is>
      </c>
      <c r="D380" t="n">
        <v>31.37354850769043</v>
      </c>
      <c r="E380" t="n">
        <v>-60.56047821044922</v>
      </c>
      <c r="F380" t="n">
        <v>14190</v>
      </c>
      <c r="G380" t="n">
        <v>-3658</v>
      </c>
      <c r="H380">
        <f>D380*F380</f>
        <v/>
      </c>
      <c r="I380">
        <f>E380*G380</f>
        <v/>
      </c>
      <c r="J380">
        <f>H380-I380</f>
        <v/>
      </c>
      <c r="K380" t="n">
        <v>-0.02</v>
      </c>
      <c r="L380" t="n">
        <v>-2034.04121988357</v>
      </c>
      <c r="M380" t="n">
        <v>1995.936143235263</v>
      </c>
      <c r="N380" t="n">
        <v>-0</v>
      </c>
      <c r="O380" t="n">
        <v>0</v>
      </c>
      <c r="P380" t="n">
        <v>162.6936412056705</v>
      </c>
      <c r="Q380" t="n">
        <v>0.0432</v>
      </c>
      <c r="R380" t="n">
        <v>-58.96755435281697</v>
      </c>
      <c r="S380" t="n">
        <v>37.59972993550515</v>
      </c>
    </row>
    <row r="381">
      <c r="A381" s="1" t="n">
        <v>44950</v>
      </c>
      <c r="B381" t="inlineStr">
        <is>
          <t>FBL</t>
        </is>
      </c>
      <c r="C381" t="inlineStr">
        <is>
          <t>META</t>
        </is>
      </c>
      <c r="D381" t="n">
        <v>142.0254669189453</v>
      </c>
      <c r="E381" t="n">
        <v>-4.448641777038574</v>
      </c>
      <c r="F381" t="n">
        <v>25557</v>
      </c>
      <c r="G381" t="n">
        <v>-416175</v>
      </c>
      <c r="H381">
        <f>D381*F381</f>
        <v/>
      </c>
      <c r="I381">
        <f>E381*G381</f>
        <v/>
      </c>
      <c r="J381">
        <f>H381-I381</f>
        <v/>
      </c>
      <c r="K381" t="n">
        <v>-0.01</v>
      </c>
      <c r="L381" t="n">
        <v>-3296.545680786616</v>
      </c>
      <c r="M381" t="n">
        <v>5012.367686613428</v>
      </c>
      <c r="N381" t="n">
        <v>-0</v>
      </c>
      <c r="O381" t="n">
        <v>0</v>
      </c>
      <c r="P381" t="n">
        <v>162.6936412056705</v>
      </c>
      <c r="Q381" t="n">
        <v>0.0432</v>
      </c>
      <c r="R381" t="n">
        <v>-58.96755435281697</v>
      </c>
      <c r="S381" t="n">
        <v>1911.252342517218</v>
      </c>
    </row>
    <row r="382">
      <c r="A382" s="1" t="n">
        <v>44950</v>
      </c>
      <c r="B382" t="inlineStr">
        <is>
          <t>MSFU</t>
        </is>
      </c>
      <c r="C382" t="inlineStr">
        <is>
          <t>MSFT</t>
        </is>
      </c>
      <c r="D382" t="n">
        <v>235.8498840332031</v>
      </c>
      <c r="E382" t="n">
        <v>-18.93341255187988</v>
      </c>
      <c r="F382" t="n">
        <v>8999</v>
      </c>
      <c r="G382" t="n">
        <v>-56464</v>
      </c>
      <c r="H382">
        <f>D382*F382</f>
        <v/>
      </c>
      <c r="I382">
        <f>E382*G382</f>
        <v/>
      </c>
      <c r="J382">
        <f>H382-I382</f>
        <v/>
      </c>
      <c r="K382" t="n">
        <v>-0.005</v>
      </c>
      <c r="L382" t="n">
        <v>-4735.467260809902</v>
      </c>
      <c r="M382" t="n">
        <v>3712.468272066585</v>
      </c>
      <c r="N382" t="n">
        <v>-0</v>
      </c>
      <c r="O382" t="n">
        <v>0</v>
      </c>
      <c r="P382" t="n">
        <v>162.6936412056705</v>
      </c>
      <c r="Q382" t="n">
        <v>0.0432</v>
      </c>
      <c r="R382" t="n">
        <v>-58.96755435281697</v>
      </c>
      <c r="S382" t="n">
        <v>-884.2378375681253</v>
      </c>
    </row>
    <row r="383">
      <c r="A383" s="1" t="n">
        <v>44950</v>
      </c>
      <c r="B383" t="inlineStr">
        <is>
          <t>NVDL</t>
        </is>
      </c>
      <c r="C383" t="inlineStr">
        <is>
          <t>NVDA</t>
        </is>
      </c>
      <c r="D383" t="n">
        <v>19.24469375610352</v>
      </c>
      <c r="E383" t="n">
        <v>-4.206799507141113</v>
      </c>
      <c r="F383" t="n">
        <v>281811</v>
      </c>
      <c r="G383" t="n">
        <v>-687933</v>
      </c>
      <c r="H383">
        <f>D383*F383</f>
        <v/>
      </c>
      <c r="I383">
        <f>E383*G383</f>
        <v/>
      </c>
      <c r="J383">
        <f>H383-I383</f>
        <v/>
      </c>
      <c r="K383" t="n">
        <v>-0</v>
      </c>
      <c r="L383" t="n">
        <v>20269.88691902368</v>
      </c>
      <c r="M383" t="n">
        <v>-45719.05311594731</v>
      </c>
      <c r="N383" t="n">
        <v>-0</v>
      </c>
      <c r="O383" t="n">
        <v>0</v>
      </c>
      <c r="P383" t="n">
        <v>162.6936412056705</v>
      </c>
      <c r="Q383" t="n">
        <v>0.0432</v>
      </c>
      <c r="R383" t="n">
        <v>-58.96755435281697</v>
      </c>
      <c r="S383" t="n">
        <v>-25186.3034112403</v>
      </c>
    </row>
    <row r="384">
      <c r="A384" s="1" t="n">
        <v>44950</v>
      </c>
      <c r="B384" t="inlineStr">
        <is>
          <t>SOXL</t>
        </is>
      </c>
      <c r="C384" t="inlineStr">
        <is>
          <t>SOXX</t>
        </is>
      </c>
      <c r="D384" t="n">
        <v>130.8531036376953</v>
      </c>
      <c r="E384" t="n">
        <v>-14.1297607421875</v>
      </c>
      <c r="F384" t="n">
        <v>8623</v>
      </c>
      <c r="G384" t="n">
        <v>-28873</v>
      </c>
      <c r="H384">
        <f>D384*F384</f>
        <v/>
      </c>
      <c r="I384">
        <f>E384*G384</f>
        <v/>
      </c>
      <c r="J384">
        <f>H384-I384</f>
        <v/>
      </c>
      <c r="K384" t="n">
        <v>-0.0175</v>
      </c>
      <c r="L384" t="n">
        <v>-8592.967637344927</v>
      </c>
      <c r="M384" t="n">
        <v>8025.159593685379</v>
      </c>
      <c r="N384" t="n">
        <v>-0</v>
      </c>
      <c r="O384" t="n">
        <v>0</v>
      </c>
      <c r="P384" t="n">
        <v>162.6936412056705</v>
      </c>
      <c r="Q384" t="n">
        <v>0.0432</v>
      </c>
      <c r="R384" t="n">
        <v>-58.96755435281697</v>
      </c>
      <c r="S384" t="n">
        <v>-466.4195249445582</v>
      </c>
    </row>
    <row r="385">
      <c r="A385" s="1" t="n">
        <v>44950</v>
      </c>
      <c r="B385" t="inlineStr">
        <is>
          <t>SOXS</t>
        </is>
      </c>
      <c r="C385" t="inlineStr">
        <is>
          <t>SOXX</t>
        </is>
      </c>
      <c r="D385" t="n">
        <v>-0</v>
      </c>
      <c r="E385" t="n">
        <v>-19750.84622888398</v>
      </c>
      <c r="F385" t="n">
        <v>-6748</v>
      </c>
      <c r="G385" t="n">
        <v>-57</v>
      </c>
      <c r="H385">
        <f>D385*F385</f>
        <v/>
      </c>
      <c r="I385">
        <f>E385*G385</f>
        <v/>
      </c>
      <c r="J385">
        <f>H385-I385</f>
        <v/>
      </c>
      <c r="K385" t="n">
        <v>0.07000000000000001</v>
      </c>
      <c r="L385" t="n">
        <v>6724.497926105018</v>
      </c>
      <c r="M385" t="n">
        <v>-4038.091685074001</v>
      </c>
      <c r="N385" t="n">
        <v>-30.16733219260927</v>
      </c>
      <c r="O385" t="n">
        <v>0</v>
      </c>
      <c r="P385" t="n">
        <v>-311.0272082753551</v>
      </c>
      <c r="Q385" t="n">
        <v>0.0432</v>
      </c>
      <c r="R385" t="n">
        <v>-58.96755435281697</v>
      </c>
      <c r="S385" t="n">
        <v>2775.541127576444</v>
      </c>
    </row>
    <row r="386">
      <c r="A386" s="1" t="n">
        <v>44950</v>
      </c>
      <c r="B386" t="inlineStr">
        <is>
          <t>HIBL</t>
        </is>
      </c>
      <c r="C386" t="inlineStr">
        <is>
          <t>SPHB</t>
        </is>
      </c>
      <c r="D386" t="n">
        <v>68.88370513916016</v>
      </c>
      <c r="E386" t="n">
        <v>-32.30693054199219</v>
      </c>
      <c r="F386" t="n">
        <v>6387</v>
      </c>
      <c r="G386" t="n">
        <v>-4747</v>
      </c>
      <c r="H386">
        <f>D386*F386</f>
        <v/>
      </c>
      <c r="I386">
        <f>E386*G386</f>
        <v/>
      </c>
      <c r="J386">
        <f>H386-I386</f>
        <v/>
      </c>
      <c r="K386" t="n">
        <v>0.12</v>
      </c>
      <c r="L386" t="n">
        <v>-2428.411661403507</v>
      </c>
      <c r="M386" t="n">
        <v>2886.908718104076</v>
      </c>
      <c r="N386" t="n">
        <v>-32.6650773380665</v>
      </c>
      <c r="O386" t="n">
        <v>0</v>
      </c>
      <c r="P386" t="n">
        <v>186.7171231085678</v>
      </c>
      <c r="Q386" t="n">
        <v>0.0432</v>
      </c>
      <c r="R386" t="n">
        <v>-58.96755435281697</v>
      </c>
      <c r="S386" t="n">
        <v>566.6702990215836</v>
      </c>
    </row>
    <row r="387">
      <c r="A387" s="1" t="n">
        <v>44950</v>
      </c>
      <c r="B387" t="inlineStr">
        <is>
          <t>TSLL</t>
        </is>
      </c>
      <c r="C387" t="inlineStr">
        <is>
          <t>TSLA</t>
        </is>
      </c>
      <c r="D387" t="n">
        <v>143.8899993896484</v>
      </c>
      <c r="E387" t="n">
        <v>-6.701308727264404</v>
      </c>
      <c r="F387" t="n">
        <v>16126</v>
      </c>
      <c r="G387" t="n">
        <v>-180093</v>
      </c>
      <c r="H387">
        <f>D387*F387</f>
        <v/>
      </c>
      <c r="I387">
        <f>E387*G387</f>
        <v/>
      </c>
      <c r="J387">
        <f>H387-I387</f>
        <v/>
      </c>
      <c r="K387" t="n">
        <v>0.01</v>
      </c>
      <c r="L387" t="n">
        <v>2257.725221813114</v>
      </c>
      <c r="M387" t="n">
        <v>-2952.76650481866</v>
      </c>
      <c r="N387" t="n">
        <v>-21.4212087717774</v>
      </c>
      <c r="O387" t="n">
        <v>0</v>
      </c>
      <c r="P387" t="n">
        <v>259.849447610716</v>
      </c>
      <c r="Q387" t="n">
        <v>0.0432</v>
      </c>
      <c r="R387" t="n">
        <v>-58.96755435281697</v>
      </c>
      <c r="S387" t="n">
        <v>-527.4165910766751</v>
      </c>
    </row>
    <row r="388">
      <c r="A388" s="1" t="n">
        <v>44950</v>
      </c>
      <c r="B388" t="inlineStr">
        <is>
          <t>TSLQ</t>
        </is>
      </c>
      <c r="C388" t="inlineStr">
        <is>
          <t>TSLA</t>
        </is>
      </c>
      <c r="D388" t="n">
        <v>-0</v>
      </c>
      <c r="E388" t="n">
        <v>-3206.690314526828</v>
      </c>
      <c r="F388" t="n">
        <v>-5992</v>
      </c>
      <c r="G388" t="n">
        <v>-371</v>
      </c>
      <c r="H388">
        <f>D388*F388</f>
        <v/>
      </c>
      <c r="I388">
        <f>E388*G388</f>
        <v/>
      </c>
      <c r="J388">
        <f>H388-I388</f>
        <v/>
      </c>
      <c r="K388" t="n">
        <v>-0.02</v>
      </c>
      <c r="L388" t="n">
        <v>-838.9116661977042</v>
      </c>
      <c r="M388" t="n">
        <v>566.8162270118497</v>
      </c>
      <c r="N388" t="n">
        <v>-0</v>
      </c>
      <c r="O388" t="n">
        <v>0</v>
      </c>
      <c r="P388" t="n">
        <v>162.6936412056705</v>
      </c>
      <c r="Q388" t="n">
        <v>0.0432</v>
      </c>
      <c r="R388" t="n">
        <v>-58.96755435281697</v>
      </c>
      <c r="S388" t="n">
        <v>-213.1278848330375</v>
      </c>
    </row>
    <row r="389">
      <c r="A389" s="1" t="n">
        <v>44950</v>
      </c>
      <c r="B389" t="inlineStr">
        <is>
          <t>LABU</t>
        </is>
      </c>
      <c r="C389" t="inlineStr">
        <is>
          <t>XBI</t>
        </is>
      </c>
      <c r="D389" t="n">
        <v>88.34597015380859</v>
      </c>
      <c r="E389" t="n">
        <v>-165.1915283203125</v>
      </c>
      <c r="F389" t="n">
        <v>3391</v>
      </c>
      <c r="G389" t="n">
        <v>-638</v>
      </c>
      <c r="H389">
        <f>D389*F389</f>
        <v/>
      </c>
      <c r="I389">
        <f>E389*G389</f>
        <v/>
      </c>
      <c r="J389">
        <f>H389-I389</f>
        <v/>
      </c>
      <c r="K389" t="n">
        <v>0.1</v>
      </c>
      <c r="L389" t="n">
        <v>5599.271630114245</v>
      </c>
      <c r="M389" t="n">
        <v>-5814.117176814384</v>
      </c>
      <c r="N389" t="n">
        <v>-18.70664759856053</v>
      </c>
      <c r="O389" t="n">
        <v>0</v>
      </c>
      <c r="P389" t="n">
        <v>87.1729946318366</v>
      </c>
      <c r="Q389" t="n">
        <v>0.0432</v>
      </c>
      <c r="R389" t="n">
        <v>-58.96755435281697</v>
      </c>
      <c r="S389" t="n">
        <v>-125.9083817550923</v>
      </c>
    </row>
    <row r="390">
      <c r="A390" s="1" t="n">
        <v>44950</v>
      </c>
      <c r="B390" t="inlineStr">
        <is>
          <t>ERX</t>
        </is>
      </c>
      <c r="C390" t="inlineStr">
        <is>
          <t>XLE</t>
        </is>
      </c>
      <c r="D390" t="n">
        <v>40.50308609008789</v>
      </c>
      <c r="E390" t="n">
        <v>-64.48281860351562</v>
      </c>
      <c r="F390" t="n">
        <v>1882</v>
      </c>
      <c r="G390" t="n">
        <v>-596</v>
      </c>
      <c r="H390">
        <f>D390*F390</f>
        <v/>
      </c>
      <c r="I390">
        <f>E390*G390</f>
        <v/>
      </c>
      <c r="J390">
        <f>H390-I390</f>
        <v/>
      </c>
      <c r="K390" t="n">
        <v>0.12</v>
      </c>
      <c r="L390" t="n">
        <v>-295.6256679030953</v>
      </c>
      <c r="M390" t="n">
        <v>185.9971402107507</v>
      </c>
      <c r="N390" t="n">
        <v>-8.185760492172681</v>
      </c>
      <c r="O390" t="n">
        <v>0</v>
      </c>
      <c r="P390" t="n">
        <v>171.5287201415488</v>
      </c>
      <c r="Q390" t="n">
        <v>0.0432</v>
      </c>
      <c r="R390" t="n">
        <v>-58.96755435281697</v>
      </c>
      <c r="S390" t="n">
        <v>-39.60941298589343</v>
      </c>
    </row>
    <row r="391">
      <c r="A391" s="1" t="n">
        <v>44950</v>
      </c>
      <c r="B391" t="inlineStr">
        <is>
          <t>GUSH</t>
        </is>
      </c>
      <c r="C391" t="inlineStr">
        <is>
          <t>XOP</t>
        </is>
      </c>
      <c r="D391" t="n">
        <v>131.1809692382812</v>
      </c>
      <c r="E391" t="n">
        <v>-36.2725830078125</v>
      </c>
      <c r="F391" t="n">
        <v>3048</v>
      </c>
      <c r="G391" t="n">
        <v>-5589</v>
      </c>
      <c r="H391">
        <f>D391*F391</f>
        <v/>
      </c>
      <c r="I391">
        <f>E391*G391</f>
        <v/>
      </c>
      <c r="J391">
        <f>H391-I391</f>
        <v/>
      </c>
      <c r="K391" t="n">
        <v>-0.01</v>
      </c>
      <c r="L391" t="n">
        <v>-4358.940740796599</v>
      </c>
      <c r="M391" t="n">
        <v>4135.757330115819</v>
      </c>
      <c r="N391" t="n">
        <v>-0</v>
      </c>
      <c r="O391" t="n">
        <v>0</v>
      </c>
      <c r="P391" t="n">
        <v>162.6936412056705</v>
      </c>
      <c r="Q391" t="n">
        <v>0.0432</v>
      </c>
      <c r="R391" t="n">
        <v>-58.96755435281697</v>
      </c>
      <c r="S391" t="n">
        <v>-149.183608703859</v>
      </c>
    </row>
    <row r="392">
      <c r="A392" s="1" t="n">
        <v>44951</v>
      </c>
      <c r="B392" t="inlineStr">
        <is>
          <t>AAPB</t>
        </is>
      </c>
      <c r="C392" t="inlineStr">
        <is>
          <t>AAPL</t>
        </is>
      </c>
      <c r="D392" t="n">
        <v>139.6210479736328</v>
      </c>
      <c r="E392" t="n">
        <v>-14.38036823272705</v>
      </c>
      <c r="F392" t="n">
        <v>9057</v>
      </c>
      <c r="G392" t="n">
        <v>-45734</v>
      </c>
      <c r="H392">
        <f>D392*F392</f>
        <v/>
      </c>
      <c r="I392">
        <f>E392*G392</f>
        <v/>
      </c>
      <c r="J392">
        <f>H392-I392</f>
        <v/>
      </c>
      <c r="K392" t="n">
        <v>-0.005</v>
      </c>
      <c r="L392" t="n">
        <v>-5972.37668800841</v>
      </c>
      <c r="M392" t="n">
        <v>6191.078213661996</v>
      </c>
      <c r="N392" t="n">
        <v>0</v>
      </c>
      <c r="O392" t="n">
        <v>0</v>
      </c>
      <c r="P392" t="n">
        <v>162.6936412056705</v>
      </c>
      <c r="Q392" t="n">
        <v>0.0432</v>
      </c>
      <c r="R392" t="n">
        <v>18.37470585223308</v>
      </c>
      <c r="S392" t="n">
        <v>185.4813692835871</v>
      </c>
    </row>
    <row r="393">
      <c r="A393" s="1" t="n">
        <v>44951</v>
      </c>
      <c r="B393" t="inlineStr">
        <is>
          <t>AAPU</t>
        </is>
      </c>
      <c r="C393" t="inlineStr">
        <is>
          <t>AAPL</t>
        </is>
      </c>
      <c r="D393" t="n">
        <v>139.6210479736328</v>
      </c>
      <c r="E393" t="n">
        <v>-14.56946754455566</v>
      </c>
      <c r="F393" t="n">
        <v>7658</v>
      </c>
      <c r="G393" t="n">
        <v>-37829</v>
      </c>
      <c r="H393">
        <f>D393*F393</f>
        <v/>
      </c>
      <c r="I393">
        <f>E393*G393</f>
        <v/>
      </c>
      <c r="J393">
        <f>H393-I393</f>
        <v/>
      </c>
      <c r="K393" t="n">
        <v>0.02</v>
      </c>
      <c r="L393" t="n">
        <v>-5049.846602270995</v>
      </c>
      <c r="M393" t="n">
        <v>5533.911130073839</v>
      </c>
      <c r="N393" t="n">
        <v>6.155115002113897</v>
      </c>
      <c r="O393" t="n">
        <v>0</v>
      </c>
      <c r="P393" t="n">
        <v>206.5391785421282</v>
      </c>
      <c r="Q393" t="n">
        <v>0.0432</v>
      </c>
      <c r="R393" t="n">
        <v>18.37470585223308</v>
      </c>
      <c r="S393" t="n">
        <v>446.9823761474536</v>
      </c>
    </row>
    <row r="394">
      <c r="A394" s="1" t="n">
        <v>44951</v>
      </c>
      <c r="B394" t="inlineStr">
        <is>
          <t>AMZU</t>
        </is>
      </c>
      <c r="C394" t="inlineStr">
        <is>
          <t>AMZN</t>
        </is>
      </c>
      <c r="D394" t="n">
        <v>97.18000030517578</v>
      </c>
      <c r="E394" t="n">
        <v>-13.7584056854248</v>
      </c>
      <c r="F394" t="n">
        <v>26092</v>
      </c>
      <c r="G394" t="n">
        <v>-91789</v>
      </c>
      <c r="H394">
        <f>D394*F394</f>
        <v/>
      </c>
      <c r="I394">
        <f>E394*G394</f>
        <v/>
      </c>
      <c r="J394">
        <f>H394-I394</f>
        <v/>
      </c>
      <c r="K394" t="n">
        <v>-0.0025</v>
      </c>
      <c r="L394" t="n">
        <v>22440.08079294277</v>
      </c>
      <c r="M394" t="n">
        <v>-11578.37791477515</v>
      </c>
      <c r="N394" t="n">
        <v>0</v>
      </c>
      <c r="O394" t="n">
        <v>0</v>
      </c>
      <c r="P394" t="n">
        <v>162.6936412056705</v>
      </c>
      <c r="Q394" t="n">
        <v>0.0432</v>
      </c>
      <c r="R394" t="n">
        <v>18.37470585223308</v>
      </c>
      <c r="S394" t="n">
        <v>10813.56067065517</v>
      </c>
    </row>
    <row r="395">
      <c r="A395" s="1" t="n">
        <v>44951</v>
      </c>
      <c r="B395" t="inlineStr">
        <is>
          <t>TARK</t>
        </is>
      </c>
      <c r="C395" t="inlineStr">
        <is>
          <t>ARKK</t>
        </is>
      </c>
      <c r="D395" t="n">
        <v>37.19975662231445</v>
      </c>
      <c r="E395" t="n">
        <v>-23.18832015991211</v>
      </c>
      <c r="F395" t="n">
        <v>18788</v>
      </c>
      <c r="G395" t="n">
        <v>-15784</v>
      </c>
      <c r="H395">
        <f>D395*F395</f>
        <v/>
      </c>
      <c r="I395">
        <f>E395*G395</f>
        <v/>
      </c>
      <c r="J395">
        <f>H395-I395</f>
        <v/>
      </c>
      <c r="K395" t="n">
        <v>-0.02</v>
      </c>
      <c r="L395" t="n">
        <v>558.9103439213511</v>
      </c>
      <c r="M395" t="n">
        <v>-3540.054231810085</v>
      </c>
      <c r="N395" t="n">
        <v>0</v>
      </c>
      <c r="O395" t="n">
        <v>0</v>
      </c>
      <c r="P395" t="n">
        <v>162.6936412056705</v>
      </c>
      <c r="Q395" t="n">
        <v>0.0432</v>
      </c>
      <c r="R395" t="n">
        <v>18.37470585223308</v>
      </c>
      <c r="S395" t="n">
        <v>-3007.723597240676</v>
      </c>
    </row>
    <row r="396">
      <c r="A396" s="1" t="n">
        <v>44951</v>
      </c>
      <c r="B396" t="inlineStr">
        <is>
          <t>CHAU</t>
        </is>
      </c>
      <c r="C396" t="inlineStr">
        <is>
          <t>ASHR</t>
        </is>
      </c>
      <c r="D396" t="n">
        <v>29.89256286621094</v>
      </c>
      <c r="E396" t="n">
        <v>-23.67958831787109</v>
      </c>
      <c r="F396" t="n">
        <v>5665</v>
      </c>
      <c r="G396" t="n">
        <v>-3740</v>
      </c>
      <c r="H396">
        <f>D396*F396</f>
        <v/>
      </c>
      <c r="I396">
        <f>E396*G396</f>
        <v/>
      </c>
      <c r="J396">
        <f>H396-I396</f>
        <v/>
      </c>
      <c r="K396" t="n">
        <v>-0.01</v>
      </c>
      <c r="L396" t="n">
        <v>1067.775491714204</v>
      </c>
      <c r="M396" t="n">
        <v>-1070.894784936686</v>
      </c>
      <c r="N396" t="n">
        <v>0</v>
      </c>
      <c r="O396" t="n">
        <v>0</v>
      </c>
      <c r="P396" t="n">
        <v>162.6936412056705</v>
      </c>
      <c r="Q396" t="n">
        <v>0.0432</v>
      </c>
      <c r="R396" t="n">
        <v>18.37470585223308</v>
      </c>
      <c r="S396" t="n">
        <v>-23.48202107443417</v>
      </c>
    </row>
    <row r="397">
      <c r="A397" s="1" t="n">
        <v>44951</v>
      </c>
      <c r="B397" t="inlineStr">
        <is>
          <t>BABX</t>
        </is>
      </c>
      <c r="C397" t="inlineStr">
        <is>
          <t>BABA</t>
        </is>
      </c>
      <c r="D397" t="n">
        <v>114.2008285522461</v>
      </c>
      <c r="E397" t="n">
        <v>-40.59500122070312</v>
      </c>
      <c r="F397" t="n">
        <v>4529</v>
      </c>
      <c r="G397" t="n">
        <v>-6431</v>
      </c>
      <c r="H397">
        <f>D397*F397</f>
        <v/>
      </c>
      <c r="I397">
        <f>E397*G397</f>
        <v/>
      </c>
      <c r="J397">
        <f>H397-I397</f>
        <v/>
      </c>
      <c r="K397" t="n">
        <v>-0.0275</v>
      </c>
      <c r="L397" t="n">
        <v>3484.109807046285</v>
      </c>
      <c r="M397" t="n">
        <v>-2496.538904436058</v>
      </c>
      <c r="N397" t="n">
        <v>0</v>
      </c>
      <c r="O397" t="n">
        <v>0</v>
      </c>
      <c r="P397" t="n">
        <v>162.6936412056705</v>
      </c>
      <c r="Q397" t="n">
        <v>0.0432</v>
      </c>
      <c r="R397" t="n">
        <v>18.37470585223308</v>
      </c>
      <c r="S397" t="n">
        <v>963.1242256544887</v>
      </c>
    </row>
    <row r="398">
      <c r="A398" s="1" t="n">
        <v>44951</v>
      </c>
      <c r="B398" t="inlineStr">
        <is>
          <t>CONL</t>
        </is>
      </c>
      <c r="C398" t="inlineStr">
        <is>
          <t>COIN</t>
        </is>
      </c>
      <c r="D398" t="n">
        <v>52.7599983215332</v>
      </c>
      <c r="E398" t="n">
        <v>-7.96027660369873</v>
      </c>
      <c r="F398" t="n">
        <v>71777</v>
      </c>
      <c r="G398" t="n">
        <v>-233353</v>
      </c>
      <c r="H398">
        <f>D398*F398</f>
        <v/>
      </c>
      <c r="I398">
        <f>E398*G398</f>
        <v/>
      </c>
      <c r="J398">
        <f>H398-I398</f>
        <v/>
      </c>
      <c r="K398" t="n">
        <v>0.03</v>
      </c>
      <c r="L398" t="n">
        <v>-57424.23696529288</v>
      </c>
      <c r="M398" t="n">
        <v>39672.25424079686</v>
      </c>
      <c r="N398" t="n">
        <v>31.11719467256685</v>
      </c>
      <c r="O398" t="n">
        <v>0</v>
      </c>
      <c r="P398" t="n">
        <v>1161.945811968447</v>
      </c>
      <c r="Q398" t="n">
        <v>0.0432</v>
      </c>
      <c r="R398" t="n">
        <v>18.37470585223308</v>
      </c>
      <c r="S398" t="n">
        <v>-17845.93244840313</v>
      </c>
    </row>
    <row r="399">
      <c r="A399" s="1" t="n">
        <v>44951</v>
      </c>
      <c r="B399" t="inlineStr">
        <is>
          <t>MEXX</t>
        </is>
      </c>
      <c r="C399" t="inlineStr">
        <is>
          <t>EWW</t>
        </is>
      </c>
      <c r="D399" t="n">
        <v>52.66242218017578</v>
      </c>
      <c r="E399" t="n">
        <v>-24.42273330688477</v>
      </c>
      <c r="F399" t="n">
        <v>8705</v>
      </c>
      <c r="G399" t="n">
        <v>-6605</v>
      </c>
      <c r="H399">
        <f>D399*F399</f>
        <v/>
      </c>
      <c r="I399">
        <f>E399*G399</f>
        <v/>
      </c>
      <c r="J399">
        <f>H399-I399</f>
        <v/>
      </c>
      <c r="K399" t="n">
        <v>0.0075</v>
      </c>
      <c r="L399" t="n">
        <v>788.7312352642573</v>
      </c>
      <c r="M399" t="n">
        <v>-634.538554927677</v>
      </c>
      <c r="N399" t="n">
        <v>0.6755632045262878</v>
      </c>
      <c r="O399" t="n">
        <v>0</v>
      </c>
      <c r="P399" t="n">
        <v>165.8918419696326</v>
      </c>
      <c r="Q399" t="n">
        <v>0.0432</v>
      </c>
      <c r="R399" t="n">
        <v>18.37470585223308</v>
      </c>
      <c r="S399" t="n">
        <v>129.7606091477007</v>
      </c>
    </row>
    <row r="400">
      <c r="A400" s="1" t="n">
        <v>44951</v>
      </c>
      <c r="B400" t="inlineStr">
        <is>
          <t>KORU</t>
        </is>
      </c>
      <c r="C400" t="inlineStr">
        <is>
          <t>EWY</t>
        </is>
      </c>
      <c r="D400" t="n">
        <v>59.44707107543945</v>
      </c>
      <c r="E400" t="n">
        <v>-99.03692626953125</v>
      </c>
      <c r="F400" t="n">
        <v>12312</v>
      </c>
      <c r="G400" t="n">
        <v>-2618</v>
      </c>
      <c r="H400">
        <f>D400*F400</f>
        <v/>
      </c>
      <c r="I400">
        <f>E400*G400</f>
        <v/>
      </c>
      <c r="J400">
        <f>H400-I400</f>
        <v/>
      </c>
      <c r="K400" t="n">
        <v>0.0225</v>
      </c>
      <c r="L400" t="n">
        <v>1719.283055403788</v>
      </c>
      <c r="M400" t="n">
        <v>-1852.726124736525</v>
      </c>
      <c r="N400" t="n">
        <v>3.257518929373896</v>
      </c>
      <c r="O400" t="n">
        <v>0</v>
      </c>
      <c r="P400" t="n">
        <v>167.8798466099817</v>
      </c>
      <c r="Q400" t="n">
        <v>0.0432</v>
      </c>
      <c r="R400" t="n">
        <v>18.37470585223308</v>
      </c>
      <c r="S400" t="n">
        <v>-163.667747592597</v>
      </c>
    </row>
    <row r="401">
      <c r="A401" s="1" t="n">
        <v>44951</v>
      </c>
      <c r="B401" t="inlineStr">
        <is>
          <t>YINN</t>
        </is>
      </c>
      <c r="C401" t="inlineStr">
        <is>
          <t>FXI</t>
        </is>
      </c>
      <c r="D401" t="n">
        <v>30.52334785461426</v>
      </c>
      <c r="E401" t="n">
        <v>-65.76322937011719</v>
      </c>
      <c r="F401" t="n">
        <v>34613</v>
      </c>
      <c r="G401" t="n">
        <v>-5631</v>
      </c>
      <c r="H401">
        <f>D401*F401</f>
        <v/>
      </c>
      <c r="I401">
        <f>E401*G401</f>
        <v/>
      </c>
      <c r="J401">
        <f>H401-I401</f>
        <v/>
      </c>
      <c r="K401" t="n">
        <v>-0.02</v>
      </c>
      <c r="L401" t="n">
        <v>2250.88252837374</v>
      </c>
      <c r="M401" t="n">
        <v>-2292.855342551362</v>
      </c>
      <c r="N401" t="n">
        <v>0</v>
      </c>
      <c r="O401" t="n">
        <v>0</v>
      </c>
      <c r="P401" t="n">
        <v>162.6936412056705</v>
      </c>
      <c r="Q401" t="n">
        <v>0.0432</v>
      </c>
      <c r="R401" t="n">
        <v>18.37470585223308</v>
      </c>
      <c r="S401" t="n">
        <v>-72.75059957634045</v>
      </c>
    </row>
    <row r="402">
      <c r="A402" s="1" t="n">
        <v>44951</v>
      </c>
      <c r="B402" t="inlineStr">
        <is>
          <t>JNUG</t>
        </is>
      </c>
      <c r="C402" t="inlineStr">
        <is>
          <t>GDXJ</t>
        </is>
      </c>
      <c r="D402" t="n">
        <v>38.89890670776367</v>
      </c>
      <c r="E402" t="n">
        <v>-44.36384201049805</v>
      </c>
      <c r="F402" t="n">
        <v>13681</v>
      </c>
      <c r="G402" t="n">
        <v>-6148</v>
      </c>
      <c r="H402">
        <f>D402*F402</f>
        <v/>
      </c>
      <c r="I402">
        <f>E402*G402</f>
        <v/>
      </c>
      <c r="J402">
        <f>H402-I402</f>
        <v/>
      </c>
      <c r="K402" t="n">
        <v>-0.005</v>
      </c>
      <c r="L402" t="n">
        <v>6341.841402496854</v>
      </c>
      <c r="M402" t="n">
        <v>-5830.914539128229</v>
      </c>
      <c r="N402" t="n">
        <v>0</v>
      </c>
      <c r="O402" t="n">
        <v>0</v>
      </c>
      <c r="P402" t="n">
        <v>162.6936412056705</v>
      </c>
      <c r="Q402" t="n">
        <v>0.0432</v>
      </c>
      <c r="R402" t="n">
        <v>18.37470585223308</v>
      </c>
      <c r="S402" t="n">
        <v>486.3045554669841</v>
      </c>
    </row>
    <row r="403">
      <c r="A403" s="1" t="n">
        <v>44951</v>
      </c>
      <c r="B403" t="inlineStr">
        <is>
          <t>GDXU</t>
        </is>
      </c>
      <c r="C403" t="inlineStr">
        <is>
          <t>GDX</t>
        </is>
      </c>
      <c r="D403" t="n">
        <v>32.11942291259766</v>
      </c>
      <c r="E403" t="n">
        <v>-63.47000122070312</v>
      </c>
      <c r="F403" t="n">
        <v>52226</v>
      </c>
      <c r="G403" t="n">
        <v>-8886</v>
      </c>
      <c r="H403">
        <f>D403*F403</f>
        <v/>
      </c>
      <c r="I403">
        <f>E403*G403</f>
        <v/>
      </c>
      <c r="J403">
        <f>H403-I403</f>
        <v/>
      </c>
      <c r="K403" t="n">
        <v>-0.005</v>
      </c>
      <c r="L403" t="n">
        <v>27227.82192228971</v>
      </c>
      <c r="M403" t="n">
        <v>-24231.20943263287</v>
      </c>
      <c r="N403" t="n">
        <v>0</v>
      </c>
      <c r="O403" t="n">
        <v>0</v>
      </c>
      <c r="P403" t="n">
        <v>162.6936412056705</v>
      </c>
      <c r="Q403" t="n">
        <v>0.0432</v>
      </c>
      <c r="R403" t="n">
        <v>18.37470585223308</v>
      </c>
      <c r="S403" t="n">
        <v>2958.544750348105</v>
      </c>
    </row>
    <row r="404">
      <c r="A404" s="1" t="n">
        <v>44951</v>
      </c>
      <c r="B404" t="inlineStr">
        <is>
          <t>NUGT</t>
        </is>
      </c>
      <c r="C404" t="inlineStr">
        <is>
          <t>GDX</t>
        </is>
      </c>
      <c r="D404" t="n">
        <v>32.11942291259766</v>
      </c>
      <c r="E404" t="n">
        <v>-43.97671508789062</v>
      </c>
      <c r="F404" t="n">
        <v>15534</v>
      </c>
      <c r="G404" t="n">
        <v>-5817</v>
      </c>
      <c r="H404">
        <f>D404*F404</f>
        <v/>
      </c>
      <c r="I404">
        <f>E404*G404</f>
        <v/>
      </c>
      <c r="J404">
        <f>H404-I404</f>
        <v/>
      </c>
      <c r="K404" t="n">
        <v>-0.0175</v>
      </c>
      <c r="L404" t="n">
        <v>8098.590467216489</v>
      </c>
      <c r="M404" t="n">
        <v>-7458.456271183994</v>
      </c>
      <c r="N404" t="n">
        <v>0</v>
      </c>
      <c r="O404" t="n">
        <v>0</v>
      </c>
      <c r="P404" t="n">
        <v>162.6936412056705</v>
      </c>
      <c r="Q404" t="n">
        <v>0.0432</v>
      </c>
      <c r="R404" t="n">
        <v>18.37470585223308</v>
      </c>
      <c r="S404" t="n">
        <v>615.9020325592835</v>
      </c>
    </row>
    <row r="405">
      <c r="A405" s="1" t="n">
        <v>44951</v>
      </c>
      <c r="B405" t="inlineStr">
        <is>
          <t>GGLL</t>
        </is>
      </c>
      <c r="C405" t="inlineStr">
        <is>
          <t>GOOGL</t>
        </is>
      </c>
      <c r="D405" t="n">
        <v>94.43946075439453</v>
      </c>
      <c r="E405" t="n">
        <v>-17.77505683898926</v>
      </c>
      <c r="F405" t="n">
        <v>21017</v>
      </c>
      <c r="G405" t="n">
        <v>-56586</v>
      </c>
      <c r="H405">
        <f>D405*F405</f>
        <v/>
      </c>
      <c r="I405">
        <f>E405*G405</f>
        <v/>
      </c>
      <c r="J405">
        <f>H405-I405</f>
        <v/>
      </c>
      <c r="K405" t="n">
        <v>-0</v>
      </c>
      <c r="L405" t="n">
        <v>-51696.9222545557</v>
      </c>
      <c r="M405" t="n">
        <v>38666.64554994129</v>
      </c>
      <c r="N405" t="n">
        <v>0</v>
      </c>
      <c r="O405" t="n">
        <v>0</v>
      </c>
      <c r="P405" t="n">
        <v>162.6936412056705</v>
      </c>
      <c r="Q405" t="n">
        <v>0.0432</v>
      </c>
      <c r="R405" t="n">
        <v>18.37470585223308</v>
      </c>
      <c r="S405" t="n">
        <v>-13071.95282807735</v>
      </c>
    </row>
    <row r="406">
      <c r="A406" s="1" t="n">
        <v>44951</v>
      </c>
      <c r="B406" t="inlineStr">
        <is>
          <t>CWEB</t>
        </is>
      </c>
      <c r="C406" t="inlineStr">
        <is>
          <t>KWEB</t>
        </is>
      </c>
      <c r="D406" t="n">
        <v>31.49001312255859</v>
      </c>
      <c r="E406" t="n">
        <v>-60.99267578125</v>
      </c>
      <c r="F406" t="n">
        <v>14190</v>
      </c>
      <c r="G406" t="n">
        <v>-3658</v>
      </c>
      <c r="H406">
        <f>D406*F406</f>
        <v/>
      </c>
      <c r="I406">
        <f>E406*G406</f>
        <v/>
      </c>
      <c r="J406">
        <f>H406-I406</f>
        <v/>
      </c>
      <c r="K406" t="n">
        <v>-0.02</v>
      </c>
      <c r="L406" t="n">
        <v>1652.702474082643</v>
      </c>
      <c r="M406" t="n">
        <v>-1496.932288908615</v>
      </c>
      <c r="N406" t="n">
        <v>0</v>
      </c>
      <c r="O406" t="n">
        <v>0</v>
      </c>
      <c r="P406" t="n">
        <v>162.6936412056705</v>
      </c>
      <c r="Q406" t="n">
        <v>0.0432</v>
      </c>
      <c r="R406" t="n">
        <v>18.37470585223308</v>
      </c>
      <c r="S406" t="n">
        <v>132.1496596466644</v>
      </c>
    </row>
    <row r="407">
      <c r="A407" s="1" t="n">
        <v>44951</v>
      </c>
      <c r="B407" t="inlineStr">
        <is>
          <t>FBL</t>
        </is>
      </c>
      <c r="C407" t="inlineStr">
        <is>
          <t>META</t>
        </is>
      </c>
      <c r="D407" t="n">
        <v>140.3982086181641</v>
      </c>
      <c r="E407" t="n">
        <v>-4.376472473144531</v>
      </c>
      <c r="F407" t="n">
        <v>25557</v>
      </c>
      <c r="G407" t="n">
        <v>-416175</v>
      </c>
      <c r="H407">
        <f>D407*F407</f>
        <v/>
      </c>
      <c r="I407">
        <f>E407*G407</f>
        <v/>
      </c>
      <c r="J407">
        <f>H407-I407</f>
        <v/>
      </c>
      <c r="K407" t="n">
        <v>-0.01</v>
      </c>
      <c r="L407" t="n">
        <v>-41589.59157480278</v>
      </c>
      <c r="M407" t="n">
        <v>28438.3659232622</v>
      </c>
      <c r="N407" t="n">
        <v>0</v>
      </c>
      <c r="O407" t="n">
        <v>0</v>
      </c>
      <c r="P407" t="n">
        <v>162.6936412056705</v>
      </c>
      <c r="Q407" t="n">
        <v>0.0432</v>
      </c>
      <c r="R407" t="n">
        <v>18.37470585223308</v>
      </c>
      <c r="S407" t="n">
        <v>-13211.72435312376</v>
      </c>
    </row>
    <row r="408">
      <c r="A408" s="1" t="n">
        <v>44951</v>
      </c>
      <c r="B408" t="inlineStr">
        <is>
          <t>MSFU</t>
        </is>
      </c>
      <c r="C408" t="inlineStr">
        <is>
          <t>MSFT</t>
        </is>
      </c>
      <c r="D408" t="n">
        <v>234.4564514160156</v>
      </c>
      <c r="E408" t="n">
        <v>-18.73186874389648</v>
      </c>
      <c r="F408" t="n">
        <v>8999</v>
      </c>
      <c r="G408" t="n">
        <v>-56464</v>
      </c>
      <c r="H408">
        <f>D408*F408</f>
        <v/>
      </c>
      <c r="I408">
        <f>E408*G408</f>
        <v/>
      </c>
      <c r="J408">
        <f>H408-I408</f>
        <v/>
      </c>
      <c r="K408" t="n">
        <v>-0.005</v>
      </c>
      <c r="L408" t="n">
        <v>-12540.02813562883</v>
      </c>
      <c r="M408" t="n">
        <v>10774.99889868596</v>
      </c>
      <c r="N408" t="n">
        <v>0</v>
      </c>
      <c r="O408" t="n">
        <v>0</v>
      </c>
      <c r="P408" t="n">
        <v>162.6936412056705</v>
      </c>
      <c r="Q408" t="n">
        <v>0.0432</v>
      </c>
      <c r="R408" t="n">
        <v>18.37470585223308</v>
      </c>
      <c r="S408" t="n">
        <v>-1808.173289941007</v>
      </c>
    </row>
    <row r="409">
      <c r="A409" s="1" t="n">
        <v>44951</v>
      </c>
      <c r="B409" t="inlineStr">
        <is>
          <t>NVDL</t>
        </is>
      </c>
      <c r="C409" t="inlineStr">
        <is>
          <t>NVDA</t>
        </is>
      </c>
      <c r="D409" t="n">
        <v>19.30263137817383</v>
      </c>
      <c r="E409" t="n">
        <v>-4.230895519256592</v>
      </c>
      <c r="F409" t="n">
        <v>281811</v>
      </c>
      <c r="G409" t="n">
        <v>-687933</v>
      </c>
      <c r="H409">
        <f>D409*F409</f>
        <v/>
      </c>
      <c r="I409">
        <f>E409*G409</f>
        <v/>
      </c>
      <c r="J409">
        <f>H409-I409</f>
        <v/>
      </c>
      <c r="K409" t="n">
        <v>-0</v>
      </c>
      <c r="L409" t="n">
        <v>16328.14673028358</v>
      </c>
      <c r="M409" t="n">
        <v>-15695.22151039182</v>
      </c>
      <c r="N409" t="n">
        <v>0</v>
      </c>
      <c r="O409" t="n">
        <v>0</v>
      </c>
      <c r="P409" t="n">
        <v>162.6936412056705</v>
      </c>
      <c r="Q409" t="n">
        <v>0.0432</v>
      </c>
      <c r="R409" t="n">
        <v>18.37470585223308</v>
      </c>
      <c r="S409" t="n">
        <v>550.6899752049692</v>
      </c>
    </row>
    <row r="410">
      <c r="A410" s="1" t="n">
        <v>44951</v>
      </c>
      <c r="B410" t="inlineStr">
        <is>
          <t>SOXL</t>
        </is>
      </c>
      <c r="C410" t="inlineStr">
        <is>
          <t>SOXX</t>
        </is>
      </c>
      <c r="D410" t="n">
        <v>131.2080841064453</v>
      </c>
      <c r="E410" t="n">
        <v>-14.21782779693604</v>
      </c>
      <c r="F410" t="n">
        <v>8623</v>
      </c>
      <c r="G410" t="n">
        <v>-28873</v>
      </c>
      <c r="H410">
        <f>D410*F410</f>
        <v/>
      </c>
      <c r="I410">
        <f>E410*G410</f>
        <v/>
      </c>
      <c r="J410">
        <f>H410-I410</f>
        <v/>
      </c>
      <c r="K410" t="n">
        <v>-0.0175</v>
      </c>
      <c r="L410" t="n">
        <v>3061.125474545478</v>
      </c>
      <c r="M410" t="n">
        <v>-2407.584378383157</v>
      </c>
      <c r="N410" t="n">
        <v>0</v>
      </c>
      <c r="O410" t="n">
        <v>0</v>
      </c>
      <c r="P410" t="n">
        <v>162.6936412056705</v>
      </c>
      <c r="Q410" t="n">
        <v>0.0432</v>
      </c>
      <c r="R410" t="n">
        <v>18.37470585223308</v>
      </c>
      <c r="S410" t="n">
        <v>621.8839736180907</v>
      </c>
    </row>
    <row r="411">
      <c r="A411" s="1" t="n">
        <v>44951</v>
      </c>
      <c r="B411" t="inlineStr">
        <is>
          <t>SOXS</t>
        </is>
      </c>
      <c r="C411" t="inlineStr">
        <is>
          <t>SOXX</t>
        </is>
      </c>
      <c r="D411" t="n">
        <v>-0</v>
      </c>
      <c r="E411" t="n">
        <v>-19761.55013342071</v>
      </c>
      <c r="F411" t="n">
        <v>-6748</v>
      </c>
      <c r="G411" t="n">
        <v>-57</v>
      </c>
      <c r="H411">
        <f>D411*F411</f>
        <v/>
      </c>
      <c r="I411">
        <f>E411*G411</f>
        <v/>
      </c>
      <c r="J411">
        <f>H411-I411</f>
        <v/>
      </c>
      <c r="K411" t="n">
        <v>0.07000000000000001</v>
      </c>
      <c r="L411" t="n">
        <v>-2395.509069028515</v>
      </c>
      <c r="M411" t="n">
        <v>1690.378056691542</v>
      </c>
      <c r="N411" t="n">
        <v>9.420672808282593</v>
      </c>
      <c r="O411" t="n">
        <v>0</v>
      </c>
      <c r="P411" t="n">
        <v>-301.6065354670725</v>
      </c>
      <c r="Q411" t="n">
        <v>0.0432</v>
      </c>
      <c r="R411" t="n">
        <v>18.37470585223308</v>
      </c>
      <c r="S411" t="n">
        <v>-732.9263909974881</v>
      </c>
    </row>
    <row r="412">
      <c r="A412" s="1" t="n">
        <v>44951</v>
      </c>
      <c r="B412" t="inlineStr">
        <is>
          <t>HIBL</t>
        </is>
      </c>
      <c r="C412" t="inlineStr">
        <is>
          <t>SPHB</t>
        </is>
      </c>
      <c r="D412" t="n">
        <v>69.00068664550781</v>
      </c>
      <c r="E412" t="n">
        <v>-32.57535552978516</v>
      </c>
      <c r="F412" t="n">
        <v>6387</v>
      </c>
      <c r="G412" t="n">
        <v>-4747</v>
      </c>
      <c r="H412">
        <f>D412*F412</f>
        <v/>
      </c>
      <c r="I412">
        <f>E412*G412</f>
        <v/>
      </c>
      <c r="J412">
        <f>H412-I412</f>
        <v/>
      </c>
      <c r="K412" t="n">
        <v>0.12</v>
      </c>
      <c r="L412" t="n">
        <v>747.1923425099827</v>
      </c>
      <c r="M412" t="n">
        <v>-1206.4749449628</v>
      </c>
      <c r="N412" t="n">
        <v>10.36161083342945</v>
      </c>
      <c r="O412" t="n">
        <v>0</v>
      </c>
      <c r="P412" t="n">
        <v>197.0787339419973</v>
      </c>
      <c r="Q412" t="n">
        <v>0.0432</v>
      </c>
      <c r="R412" t="n">
        <v>18.37470585223308</v>
      </c>
      <c r="S412" t="n">
        <v>-493.1927049952505</v>
      </c>
    </row>
    <row r="413">
      <c r="A413" s="1" t="n">
        <v>44951</v>
      </c>
      <c r="B413" t="inlineStr">
        <is>
          <t>TSLL</t>
        </is>
      </c>
      <c r="C413" t="inlineStr">
        <is>
          <t>TSLA</t>
        </is>
      </c>
      <c r="D413" t="n">
        <v>144.4299926757812</v>
      </c>
      <c r="E413" t="n">
        <v>-6.735939979553223</v>
      </c>
      <c r="F413" t="n">
        <v>16126</v>
      </c>
      <c r="G413" t="n">
        <v>-180093</v>
      </c>
      <c r="H413">
        <f>D413*F413</f>
        <v/>
      </c>
      <c r="I413">
        <f>E413*G413</f>
        <v/>
      </c>
      <c r="J413">
        <f>H413-I413</f>
        <v/>
      </c>
      <c r="K413" t="n">
        <v>0.01</v>
      </c>
      <c r="L413" t="n">
        <v>8708.29840596668</v>
      </c>
      <c r="M413" t="n">
        <v>-5905.289080144978</v>
      </c>
      <c r="N413" t="n">
        <v>6.773804778392106</v>
      </c>
      <c r="O413" t="n">
        <v>0</v>
      </c>
      <c r="P413" t="n">
        <v>266.6232523891081</v>
      </c>
      <c r="Q413" t="n">
        <v>0.0432</v>
      </c>
      <c r="R413" t="n">
        <v>18.37470585223308</v>
      </c>
      <c r="S413" t="n">
        <v>2750.518066851651</v>
      </c>
    </row>
    <row r="414">
      <c r="A414" s="1" t="n">
        <v>44951</v>
      </c>
      <c r="B414" t="inlineStr">
        <is>
          <t>TSLQ</t>
        </is>
      </c>
      <c r="C414" t="inlineStr">
        <is>
          <t>TSLA</t>
        </is>
      </c>
      <c r="D414" t="n">
        <v>-0</v>
      </c>
      <c r="E414" t="n">
        <v>-3214.47049238097</v>
      </c>
      <c r="F414" t="n">
        <v>-5992</v>
      </c>
      <c r="G414" t="n">
        <v>-371</v>
      </c>
      <c r="H414">
        <f>D414*F414</f>
        <v/>
      </c>
      <c r="I414">
        <f>E414*G414</f>
        <v/>
      </c>
      <c r="J414">
        <f>H414-I414</f>
        <v/>
      </c>
      <c r="K414" t="n">
        <v>-0.02</v>
      </c>
      <c r="L414" t="n">
        <v>-3235.776016901423</v>
      </c>
      <c r="M414" t="n">
        <v>330.630292270293</v>
      </c>
      <c r="N414" t="n">
        <v>0</v>
      </c>
      <c r="O414" t="n">
        <v>0</v>
      </c>
      <c r="P414" t="n">
        <v>162.6936412056705</v>
      </c>
      <c r="Q414" t="n">
        <v>0.0432</v>
      </c>
      <c r="R414" t="n">
        <v>18.37470585223308</v>
      </c>
      <c r="S414" t="n">
        <v>-2923.520430483363</v>
      </c>
    </row>
    <row r="415">
      <c r="A415" s="1" t="n">
        <v>44951</v>
      </c>
      <c r="B415" t="inlineStr">
        <is>
          <t>LABU</t>
        </is>
      </c>
      <c r="C415" t="inlineStr">
        <is>
          <t>XBI</t>
        </is>
      </c>
      <c r="D415" t="n">
        <v>88.425537109375</v>
      </c>
      <c r="E415" t="n">
        <v>-164.2094421386719</v>
      </c>
      <c r="F415" t="n">
        <v>3391</v>
      </c>
      <c r="G415" t="n">
        <v>-638</v>
      </c>
      <c r="H415">
        <f>D415*F415</f>
        <v/>
      </c>
      <c r="I415">
        <f>E415*G415</f>
        <v/>
      </c>
      <c r="J415">
        <f>H415-I415</f>
        <v/>
      </c>
      <c r="K415" t="n">
        <v>0.1</v>
      </c>
      <c r="L415" t="n">
        <v>269.8229075564598</v>
      </c>
      <c r="M415" t="n">
        <v>593.2618376034894</v>
      </c>
      <c r="N415" t="n">
        <v>5.850007718872775</v>
      </c>
      <c r="O415" t="n">
        <v>0</v>
      </c>
      <c r="P415" t="n">
        <v>93.02300235070938</v>
      </c>
      <c r="Q415" t="n">
        <v>0.0432</v>
      </c>
      <c r="R415" t="n">
        <v>18.37470585223308</v>
      </c>
      <c r="S415" t="n">
        <v>835.3398617558317</v>
      </c>
    </row>
    <row r="416">
      <c r="A416" s="1" t="n">
        <v>44951</v>
      </c>
      <c r="B416" t="inlineStr">
        <is>
          <t>ERX</t>
        </is>
      </c>
      <c r="C416" t="inlineStr">
        <is>
          <t>XLE</t>
        </is>
      </c>
      <c r="D416" t="n">
        <v>40.507568359375</v>
      </c>
      <c r="E416" t="n">
        <v>-64.33631896972656</v>
      </c>
      <c r="F416" t="n">
        <v>1882</v>
      </c>
      <c r="G416" t="n">
        <v>-596</v>
      </c>
      <c r="H416">
        <f>D416*F416</f>
        <v/>
      </c>
      <c r="I416">
        <f>E416*G416</f>
        <v/>
      </c>
      <c r="J416">
        <f>H416-I416</f>
        <v/>
      </c>
      <c r="K416" t="n">
        <v>0.12</v>
      </c>
      <c r="L416" t="n">
        <v>8.435986006074826</v>
      </c>
      <c r="M416" t="n">
        <v>82.67209292208132</v>
      </c>
      <c r="N416" t="n">
        <v>2.569338646976997</v>
      </c>
      <c r="O416" t="n">
        <v>0</v>
      </c>
      <c r="P416" t="n">
        <v>174.0980587885258</v>
      </c>
      <c r="Q416" t="n">
        <v>0.0432</v>
      </c>
      <c r="R416" t="n">
        <v>18.37470585223308</v>
      </c>
      <c r="S416" t="n">
        <v>69.26905322763346</v>
      </c>
    </row>
    <row r="417">
      <c r="A417" s="1" t="n">
        <v>44951</v>
      </c>
      <c r="B417" t="inlineStr">
        <is>
          <t>GUSH</t>
        </is>
      </c>
      <c r="C417" t="inlineStr">
        <is>
          <t>XOP</t>
        </is>
      </c>
      <c r="D417" t="n">
        <v>131.0426177978516</v>
      </c>
      <c r="E417" t="n">
        <v>-36.16683578491211</v>
      </c>
      <c r="F417" t="n">
        <v>3048</v>
      </c>
      <c r="G417" t="n">
        <v>-5589</v>
      </c>
      <c r="H417">
        <f>D417*F417</f>
        <v/>
      </c>
      <c r="I417">
        <f>E417*G417</f>
        <v/>
      </c>
      <c r="J417">
        <f>H417-I417</f>
        <v/>
      </c>
      <c r="K417" t="n">
        <v>-0.01</v>
      </c>
      <c r="L417" t="n">
        <v>-421.7129471804304</v>
      </c>
      <c r="M417" t="n">
        <v>559.6019433900057</v>
      </c>
      <c r="N417" t="n">
        <v>0</v>
      </c>
      <c r="O417" t="n">
        <v>0</v>
      </c>
      <c r="P417" t="n">
        <v>162.6936412056705</v>
      </c>
      <c r="Q417" t="n">
        <v>0.0432</v>
      </c>
      <c r="R417" t="n">
        <v>18.37470585223308</v>
      </c>
      <c r="S417" t="n">
        <v>114.8252319377772</v>
      </c>
    </row>
    <row r="418">
      <c r="A418" s="1" t="n">
        <v>44952</v>
      </c>
      <c r="B418" t="inlineStr">
        <is>
          <t>AAPB</t>
        </is>
      </c>
      <c r="C418" t="inlineStr">
        <is>
          <t>AAPL</t>
        </is>
      </c>
      <c r="D418" t="n">
        <v>141.6878967285156</v>
      </c>
      <c r="E418" t="n">
        <v>-14.75516510009766</v>
      </c>
      <c r="F418" t="n">
        <v>9057</v>
      </c>
      <c r="G418" t="n">
        <v>-45734</v>
      </c>
      <c r="H418">
        <f>D418*F418</f>
        <v/>
      </c>
      <c r="I418">
        <f>E418*G418</f>
        <v/>
      </c>
      <c r="J418">
        <f>H418-I418</f>
        <v/>
      </c>
      <c r="K418" t="n">
        <v>-0.005</v>
      </c>
      <c r="L418" t="n">
        <v>18720.23741196842</v>
      </c>
      <c r="M418" t="n">
        <v>-16229.72919151134</v>
      </c>
      <c r="N418" t="n">
        <v>0</v>
      </c>
      <c r="O418" t="n">
        <v>0</v>
      </c>
      <c r="P418" t="n">
        <v>162.6936412056705</v>
      </c>
      <c r="Q418" t="n">
        <v>0.0432</v>
      </c>
      <c r="R418" t="n">
        <v>671.2644025655052</v>
      </c>
      <c r="S418" t="n">
        <v>1281.974534853894</v>
      </c>
    </row>
    <row r="419">
      <c r="A419" s="1" t="n">
        <v>44952</v>
      </c>
      <c r="B419" t="inlineStr">
        <is>
          <t>AAPU</t>
        </is>
      </c>
      <c r="C419" t="inlineStr">
        <is>
          <t>AAPL</t>
        </is>
      </c>
      <c r="D419" t="n">
        <v>141.6878967285156</v>
      </c>
      <c r="E419" t="n">
        <v>-14.90164470672607</v>
      </c>
      <c r="F419" t="n">
        <v>7658</v>
      </c>
      <c r="G419" t="n">
        <v>-37829</v>
      </c>
      <c r="H419">
        <f>D419*F419</f>
        <v/>
      </c>
      <c r="I419">
        <f>E419*G419</f>
        <v/>
      </c>
      <c r="J419">
        <f>H419-I419</f>
        <v/>
      </c>
      <c r="K419" t="n">
        <v>0.02</v>
      </c>
      <c r="L419" t="n">
        <v>15828.59424763764</v>
      </c>
      <c r="M419" t="n">
        <v>-11897.91234552676</v>
      </c>
      <c r="N419" t="n">
        <v>224.5420705661524</v>
      </c>
      <c r="O419" t="n">
        <v>0</v>
      </c>
      <c r="P419" t="n">
        <v>431.0812491082805</v>
      </c>
      <c r="Q419" t="n">
        <v>0.0432</v>
      </c>
      <c r="R419" t="n">
        <v>671.2644025655052</v>
      </c>
      <c r="S419" t="n">
        <v>2580.596068318679</v>
      </c>
    </row>
    <row r="420">
      <c r="A420" s="1" t="n">
        <v>44952</v>
      </c>
      <c r="B420" t="inlineStr">
        <is>
          <t>AMZU</t>
        </is>
      </c>
      <c r="C420" t="inlineStr">
        <is>
          <t>AMZN</t>
        </is>
      </c>
      <c r="D420" t="n">
        <v>99.22000122070312</v>
      </c>
      <c r="E420" t="n">
        <v>-14.20479202270508</v>
      </c>
      <c r="F420" t="n">
        <v>26092</v>
      </c>
      <c r="G420" t="n">
        <v>-91789</v>
      </c>
      <c r="H420">
        <f>D420*F420</f>
        <v/>
      </c>
      <c r="I420">
        <f>E420*G420</f>
        <v/>
      </c>
      <c r="J420">
        <f>H420-I420</f>
        <v/>
      </c>
      <c r="K420" t="n">
        <v>-0.0025</v>
      </c>
      <c r="L420" t="n">
        <v>53229.94520131463</v>
      </c>
      <c r="M420" t="n">
        <v>-38795.17055419883</v>
      </c>
      <c r="N420" t="n">
        <v>0</v>
      </c>
      <c r="O420" t="n">
        <v>0</v>
      </c>
      <c r="P420" t="n">
        <v>162.6936412056705</v>
      </c>
      <c r="Q420" t="n">
        <v>0.0432</v>
      </c>
      <c r="R420" t="n">
        <v>671.2644025655052</v>
      </c>
      <c r="S420" t="n">
        <v>12679.62953173097</v>
      </c>
    </row>
    <row r="421">
      <c r="A421" s="1" t="n">
        <v>44952</v>
      </c>
      <c r="B421" t="inlineStr">
        <is>
          <t>TARK</t>
        </is>
      </c>
      <c r="C421" t="inlineStr">
        <is>
          <t>ARKK</t>
        </is>
      </c>
      <c r="D421" t="n">
        <v>37.95347595214844</v>
      </c>
      <c r="E421" t="n">
        <v>-24.12603378295898</v>
      </c>
      <c r="F421" t="n">
        <v>18788</v>
      </c>
      <c r="G421" t="n">
        <v>-15784</v>
      </c>
      <c r="H421">
        <f>D421*F421</f>
        <v/>
      </c>
      <c r="I421">
        <f>E421*G421</f>
        <v/>
      </c>
      <c r="J421">
        <f>H421-I421</f>
        <v/>
      </c>
      <c r="K421" t="n">
        <v>-0.02</v>
      </c>
      <c r="L421" t="n">
        <v>14161.47505552864</v>
      </c>
      <c r="M421" t="n">
        <v>-14014.04253235571</v>
      </c>
      <c r="N421" t="n">
        <v>0</v>
      </c>
      <c r="O421" t="n">
        <v>0</v>
      </c>
      <c r="P421" t="n">
        <v>162.6936412056705</v>
      </c>
      <c r="Q421" t="n">
        <v>0.0432</v>
      </c>
      <c r="R421" t="n">
        <v>671.2644025655052</v>
      </c>
      <c r="S421" t="n">
        <v>-822.3749522384896</v>
      </c>
    </row>
    <row r="422">
      <c r="A422" s="1" t="n">
        <v>44952</v>
      </c>
      <c r="B422" t="inlineStr">
        <is>
          <t>CHAU</t>
        </is>
      </c>
      <c r="C422" t="inlineStr">
        <is>
          <t>ASHR</t>
        </is>
      </c>
      <c r="D422" t="n">
        <v>30.24124717712402</v>
      </c>
      <c r="E422" t="n">
        <v>-24.23859214782715</v>
      </c>
      <c r="F422" t="n">
        <v>5665</v>
      </c>
      <c r="G422" t="n">
        <v>-3740</v>
      </c>
      <c r="H422">
        <f>D422*F422</f>
        <v/>
      </c>
      <c r="I422">
        <f>E422*G422</f>
        <v/>
      </c>
      <c r="J422">
        <f>H422-I422</f>
        <v/>
      </c>
      <c r="K422" t="n">
        <v>-0.01</v>
      </c>
      <c r="L422" t="n">
        <v>1975.379797158032</v>
      </c>
      <c r="M422" t="n">
        <v>-1979.531965578641</v>
      </c>
      <c r="N422" t="n">
        <v>0</v>
      </c>
      <c r="O422" t="n">
        <v>0</v>
      </c>
      <c r="P422" t="n">
        <v>162.6936412056705</v>
      </c>
      <c r="Q422" t="n">
        <v>0.0432</v>
      </c>
      <c r="R422" t="n">
        <v>671.2644025655052</v>
      </c>
      <c r="S422" t="n">
        <v>-747.1422226116453</v>
      </c>
    </row>
    <row r="423">
      <c r="A423" s="1" t="n">
        <v>44952</v>
      </c>
      <c r="B423" t="inlineStr">
        <is>
          <t>BABX</t>
        </is>
      </c>
      <c r="C423" t="inlineStr">
        <is>
          <t>BABA</t>
        </is>
      </c>
      <c r="D423" t="n">
        <v>114.5047302246094</v>
      </c>
      <c r="E423" t="n">
        <v>-40.93999862670898</v>
      </c>
      <c r="F423" t="n">
        <v>4529</v>
      </c>
      <c r="G423" t="n">
        <v>-6431</v>
      </c>
      <c r="H423">
        <f>D423*F423</f>
        <v/>
      </c>
      <c r="I423">
        <f>E423*G423</f>
        <v/>
      </c>
      <c r="J423">
        <f>H423-I423</f>
        <v/>
      </c>
      <c r="K423" t="n">
        <v>-0.0275</v>
      </c>
      <c r="L423" t="n">
        <v>1376.42863038119</v>
      </c>
      <c r="M423" t="n">
        <v>-2100.731137973861</v>
      </c>
      <c r="N423" t="n">
        <v>0</v>
      </c>
      <c r="O423" t="n">
        <v>0</v>
      </c>
      <c r="P423" t="n">
        <v>162.6936412056705</v>
      </c>
      <c r="Q423" t="n">
        <v>0.0432</v>
      </c>
      <c r="R423" t="n">
        <v>671.2644025655052</v>
      </c>
      <c r="S423" t="n">
        <v>-1612.687314423795</v>
      </c>
    </row>
    <row r="424">
      <c r="A424" s="1" t="n">
        <v>44952</v>
      </c>
      <c r="B424" t="inlineStr">
        <is>
          <t>CONL</t>
        </is>
      </c>
      <c r="C424" t="inlineStr">
        <is>
          <t>COIN</t>
        </is>
      </c>
      <c r="D424" t="n">
        <v>53.02000045776367</v>
      </c>
      <c r="E424" t="n">
        <v>-8.02012825012207</v>
      </c>
      <c r="F424" t="n">
        <v>71777</v>
      </c>
      <c r="G424" t="n">
        <v>-233353</v>
      </c>
      <c r="H424">
        <f>D424*F424</f>
        <v/>
      </c>
      <c r="I424">
        <f>E424*G424</f>
        <v/>
      </c>
      <c r="J424">
        <f>H424-I424</f>
        <v/>
      </c>
      <c r="K424" t="n">
        <v>0.03</v>
      </c>
      <c r="L424" t="n">
        <v>18662.95915943672</v>
      </c>
      <c r="M424" t="n">
        <v>-13224.08474693229</v>
      </c>
      <c r="N424" t="n">
        <v>1118.213209752557</v>
      </c>
      <c r="O424" t="n">
        <v>0</v>
      </c>
      <c r="P424" t="n">
        <v>2280.159021721003</v>
      </c>
      <c r="Q424" t="n">
        <v>0.0432</v>
      </c>
      <c r="R424" t="n">
        <v>671.2644025655052</v>
      </c>
      <c r="S424" t="n">
        <v>2056.088127539973</v>
      </c>
    </row>
    <row r="425">
      <c r="A425" s="1" t="n">
        <v>44952</v>
      </c>
      <c r="B425" t="inlineStr">
        <is>
          <t>MEXX</t>
        </is>
      </c>
      <c r="C425" t="inlineStr">
        <is>
          <t>EWW</t>
        </is>
      </c>
      <c r="D425" t="n">
        <v>52.96138000488281</v>
      </c>
      <c r="E425" t="n">
        <v>-24.80883979797363</v>
      </c>
      <c r="F425" t="n">
        <v>8705</v>
      </c>
      <c r="G425" t="n">
        <v>-6605</v>
      </c>
      <c r="H425">
        <f>D425*F425</f>
        <v/>
      </c>
      <c r="I425">
        <f>E425*G425</f>
        <v/>
      </c>
      <c r="J425">
        <f>H425-I425</f>
        <v/>
      </c>
      <c r="K425" t="n">
        <v>0.0075</v>
      </c>
      <c r="L425" t="n">
        <v>2602.53744716685</v>
      </c>
      <c r="M425" t="n">
        <v>-2414.660391994973</v>
      </c>
      <c r="N425" t="n">
        <v>24.47649355705505</v>
      </c>
      <c r="O425" t="n">
        <v>0</v>
      </c>
      <c r="P425" t="n">
        <v>190.3683355266877</v>
      </c>
      <c r="Q425" t="n">
        <v>0.0432</v>
      </c>
      <c r="R425" t="n">
        <v>671.2644025655052</v>
      </c>
      <c r="S425" t="n">
        <v>-700.8841287117616</v>
      </c>
    </row>
    <row r="426">
      <c r="A426" s="1" t="n">
        <v>44952</v>
      </c>
      <c r="B426" t="inlineStr">
        <is>
          <t>KORU</t>
        </is>
      </c>
      <c r="C426" t="inlineStr">
        <is>
          <t>EWY</t>
        </is>
      </c>
      <c r="D426" t="n">
        <v>60.59206771850586</v>
      </c>
      <c r="E426" t="n">
        <v>-104.6427841186523</v>
      </c>
      <c r="F426" t="n">
        <v>12312</v>
      </c>
      <c r="G426" t="n">
        <v>-2618</v>
      </c>
      <c r="H426">
        <f>D426*F426</f>
        <v/>
      </c>
      <c r="I426">
        <f>E426*G426</f>
        <v/>
      </c>
      <c r="J426">
        <f>H426-I426</f>
        <v/>
      </c>
      <c r="K426" t="n">
        <v>0.0225</v>
      </c>
      <c r="L426" t="n">
        <v>14097.79227459824</v>
      </c>
      <c r="M426" t="n">
        <v>-13895.93764570138</v>
      </c>
      <c r="N426" t="n">
        <v>122.7637392814965</v>
      </c>
      <c r="O426" t="n">
        <v>0</v>
      </c>
      <c r="P426" t="n">
        <v>290.6435858914782</v>
      </c>
      <c r="Q426" t="n">
        <v>0.0432</v>
      </c>
      <c r="R426" t="n">
        <v>671.2644025655052</v>
      </c>
      <c r="S426" t="n">
        <v>-904.5075181287223</v>
      </c>
    </row>
    <row r="427">
      <c r="A427" s="1" t="n">
        <v>44952</v>
      </c>
      <c r="B427" t="inlineStr">
        <is>
          <t>YINN</t>
        </is>
      </c>
      <c r="C427" t="inlineStr">
        <is>
          <t>FXI</t>
        </is>
      </c>
      <c r="D427" t="n">
        <v>30.92276763916016</v>
      </c>
      <c r="E427" t="n">
        <v>-68.25016021728516</v>
      </c>
      <c r="F427" t="n">
        <v>34613</v>
      </c>
      <c r="G427" t="n">
        <v>-5631</v>
      </c>
      <c r="H427">
        <f>D427*F427</f>
        <v/>
      </c>
      <c r="I427">
        <f>E427*G427</f>
        <v/>
      </c>
      <c r="J427">
        <f>H427-I427</f>
        <v/>
      </c>
      <c r="K427" t="n">
        <v>-0.02</v>
      </c>
      <c r="L427" t="n">
        <v>13825.69915083077</v>
      </c>
      <c r="M427" t="n">
        <v>-13259.44572969007</v>
      </c>
      <c r="N427" t="n">
        <v>0</v>
      </c>
      <c r="O427" t="n">
        <v>0</v>
      </c>
      <c r="P427" t="n">
        <v>162.6936412056705</v>
      </c>
      <c r="Q427" t="n">
        <v>0.0432</v>
      </c>
      <c r="R427" t="n">
        <v>671.2644025655052</v>
      </c>
      <c r="S427" t="n">
        <v>-553.1290854551617</v>
      </c>
    </row>
    <row r="428">
      <c r="A428" s="1" t="n">
        <v>44952</v>
      </c>
      <c r="B428" t="inlineStr">
        <is>
          <t>JNUG</t>
        </is>
      </c>
      <c r="C428" t="inlineStr">
        <is>
          <t>GDXJ</t>
        </is>
      </c>
      <c r="D428" t="n">
        <v>38.10427856445312</v>
      </c>
      <c r="E428" t="n">
        <v>-42.70687103271484</v>
      </c>
      <c r="F428" t="n">
        <v>13681</v>
      </c>
      <c r="G428" t="n">
        <v>-6148</v>
      </c>
      <c r="H428">
        <f>D428*F428</f>
        <v/>
      </c>
      <c r="I428">
        <f>E428*G428</f>
        <v/>
      </c>
      <c r="J428">
        <f>H428-I428</f>
        <v/>
      </c>
      <c r="K428" t="n">
        <v>-0.005</v>
      </c>
      <c r="L428" t="n">
        <v>-10871.76539790237</v>
      </c>
      <c r="M428" t="n">
        <v>9645.503302911588</v>
      </c>
      <c r="N428" t="n">
        <v>0</v>
      </c>
      <c r="O428" t="n">
        <v>0</v>
      </c>
      <c r="P428" t="n">
        <v>162.6936412056705</v>
      </c>
      <c r="Q428" t="n">
        <v>0.0432</v>
      </c>
      <c r="R428" t="n">
        <v>671.2644025655052</v>
      </c>
      <c r="S428" t="n">
        <v>-2115.782640864203</v>
      </c>
    </row>
    <row r="429">
      <c r="A429" s="1" t="n">
        <v>44952</v>
      </c>
      <c r="B429" t="inlineStr">
        <is>
          <t>GDXU</t>
        </is>
      </c>
      <c r="C429" t="inlineStr">
        <is>
          <t>GDX</t>
        </is>
      </c>
      <c r="D429" t="n">
        <v>31.62706184387207</v>
      </c>
      <c r="E429" t="n">
        <v>-60.43999862670898</v>
      </c>
      <c r="F429" t="n">
        <v>52226</v>
      </c>
      <c r="G429" t="n">
        <v>-8886</v>
      </c>
      <c r="H429">
        <f>D429*F429</f>
        <v/>
      </c>
      <c r="I429">
        <f>E429*G429</f>
        <v/>
      </c>
      <c r="J429">
        <f>H429-I429</f>
        <v/>
      </c>
      <c r="K429" t="n">
        <v>-0.005</v>
      </c>
      <c r="L429" t="n">
        <v>-25715.13194303443</v>
      </c>
      <c r="M429" t="n">
        <v>25493.26396067684</v>
      </c>
      <c r="N429" t="n">
        <v>0</v>
      </c>
      <c r="O429" t="n">
        <v>0</v>
      </c>
      <c r="P429" t="n">
        <v>162.6936412056705</v>
      </c>
      <c r="Q429" t="n">
        <v>0.0432</v>
      </c>
      <c r="R429" t="n">
        <v>671.2644025655052</v>
      </c>
      <c r="S429" t="n">
        <v>-1584.677475615264</v>
      </c>
    </row>
    <row r="430">
      <c r="A430" s="1" t="n">
        <v>44952</v>
      </c>
      <c r="B430" t="inlineStr">
        <is>
          <t>NUGT</t>
        </is>
      </c>
      <c r="C430" t="inlineStr">
        <is>
          <t>GDX</t>
        </is>
      </c>
      <c r="D430" t="n">
        <v>31.62706184387207</v>
      </c>
      <c r="E430" t="n">
        <v>-42.72819137573242</v>
      </c>
      <c r="F430" t="n">
        <v>15534</v>
      </c>
      <c r="G430" t="n">
        <v>-5817</v>
      </c>
      <c r="H430">
        <f>D430*F430</f>
        <v/>
      </c>
      <c r="I430">
        <f>E430*G430</f>
        <v/>
      </c>
      <c r="J430">
        <f>H430-I430</f>
        <v/>
      </c>
      <c r="K430" t="n">
        <v>-0.0175</v>
      </c>
      <c r="L430" t="n">
        <v>-7648.658897926261</v>
      </c>
      <c r="M430" t="n">
        <v>6876.571964023074</v>
      </c>
      <c r="N430" t="n">
        <v>0</v>
      </c>
      <c r="O430" t="n">
        <v>0</v>
      </c>
      <c r="P430" t="n">
        <v>162.6936412056705</v>
      </c>
      <c r="Q430" t="n">
        <v>0.0432</v>
      </c>
      <c r="R430" t="n">
        <v>671.2644025655052</v>
      </c>
      <c r="S430" t="n">
        <v>-1649.043165037069</v>
      </c>
    </row>
    <row r="431">
      <c r="A431" s="1" t="n">
        <v>44952</v>
      </c>
      <c r="B431" t="inlineStr">
        <is>
          <t>GGLL</t>
        </is>
      </c>
      <c r="C431" t="inlineStr">
        <is>
          <t>GOOGL</t>
        </is>
      </c>
      <c r="D431" t="n">
        <v>96.72061157226562</v>
      </c>
      <c r="E431" t="n">
        <v>-18.43527603149414</v>
      </c>
      <c r="F431" t="n">
        <v>21017</v>
      </c>
      <c r="G431" t="n">
        <v>-56586</v>
      </c>
      <c r="H431">
        <f>D431*F431</f>
        <v/>
      </c>
      <c r="I431">
        <f>E431*G431</f>
        <v/>
      </c>
      <c r="J431">
        <f>H431-I431</f>
        <v/>
      </c>
      <c r="K431" t="n">
        <v>-0</v>
      </c>
      <c r="L431" t="n">
        <v>47944.96552189682</v>
      </c>
      <c r="M431" t="n">
        <v>-35373.1123805664</v>
      </c>
      <c r="N431" t="n">
        <v>0</v>
      </c>
      <c r="O431" t="n">
        <v>0</v>
      </c>
      <c r="P431" t="n">
        <v>162.6936412056705</v>
      </c>
      <c r="Q431" t="n">
        <v>0.0432</v>
      </c>
      <c r="R431" t="n">
        <v>671.2644025655052</v>
      </c>
      <c r="S431" t="n">
        <v>11049.51998013206</v>
      </c>
    </row>
    <row r="432">
      <c r="A432" s="1" t="n">
        <v>44952</v>
      </c>
      <c r="B432" t="inlineStr">
        <is>
          <t>CWEB</t>
        </is>
      </c>
      <c r="C432" t="inlineStr">
        <is>
          <t>KWEB</t>
        </is>
      </c>
      <c r="D432" t="n">
        <v>32.38588714599609</v>
      </c>
      <c r="E432" t="n">
        <v>-64.50421905517578</v>
      </c>
      <c r="F432" t="n">
        <v>14190</v>
      </c>
      <c r="G432" t="n">
        <v>-3658</v>
      </c>
      <c r="H432">
        <f>D432*F432</f>
        <v/>
      </c>
      <c r="I432">
        <f>E432*G432</f>
        <v/>
      </c>
      <c r="J432">
        <f>H432-I432</f>
        <v/>
      </c>
      <c r="K432" t="n">
        <v>-0.02</v>
      </c>
      <c r="L432" t="n">
        <v>12712.98768881481</v>
      </c>
      <c r="M432" t="n">
        <v>-12162.36014677264</v>
      </c>
      <c r="N432" t="n">
        <v>0</v>
      </c>
      <c r="O432" t="n">
        <v>0</v>
      </c>
      <c r="P432" t="n">
        <v>162.6936412056705</v>
      </c>
      <c r="Q432" t="n">
        <v>0.0432</v>
      </c>
      <c r="R432" t="n">
        <v>671.2644025655052</v>
      </c>
      <c r="S432" t="n">
        <v>-313.0404119217908</v>
      </c>
    </row>
    <row r="433">
      <c r="A433" s="1" t="n">
        <v>44952</v>
      </c>
      <c r="B433" t="inlineStr">
        <is>
          <t>FBL</t>
        </is>
      </c>
      <c r="C433" t="inlineStr">
        <is>
          <t>META</t>
        </is>
      </c>
      <c r="D433" t="n">
        <v>146.153076171875</v>
      </c>
      <c r="E433" t="n">
        <v>-4.637890815734863</v>
      </c>
      <c r="F433" t="n">
        <v>25557</v>
      </c>
      <c r="G433" t="n">
        <v>-416175</v>
      </c>
      <c r="H433">
        <f>D433*F433</f>
        <v/>
      </c>
      <c r="I433">
        <f>E433*G433</f>
        <v/>
      </c>
      <c r="J433">
        <f>H433-I433</f>
        <v/>
      </c>
      <c r="K433" t="n">
        <v>-0.01</v>
      </c>
      <c r="L433" t="n">
        <v>147083.3431981963</v>
      </c>
      <c r="M433" t="n">
        <v>-103012.0852565162</v>
      </c>
      <c r="N433" t="n">
        <v>0</v>
      </c>
      <c r="O433" t="n">
        <v>0</v>
      </c>
      <c r="P433" t="n">
        <v>162.6936412056705</v>
      </c>
      <c r="Q433" t="n">
        <v>0.0432</v>
      </c>
      <c r="R433" t="n">
        <v>671.2644025655052</v>
      </c>
      <c r="S433" t="n">
        <v>41836.15207483034</v>
      </c>
    </row>
    <row r="434">
      <c r="A434" s="1" t="n">
        <v>44952</v>
      </c>
      <c r="B434" t="inlineStr">
        <is>
          <t>MSFU</t>
        </is>
      </c>
      <c r="C434" t="inlineStr">
        <is>
          <t>MSFT</t>
        </is>
      </c>
      <c r="D434" t="n">
        <v>241.657470703125</v>
      </c>
      <c r="E434" t="n">
        <v>-19.63797760009766</v>
      </c>
      <c r="F434" t="n">
        <v>8999</v>
      </c>
      <c r="G434" t="n">
        <v>-56464</v>
      </c>
      <c r="H434">
        <f>D434*F434</f>
        <v/>
      </c>
      <c r="I434">
        <f>E434*G434</f>
        <v/>
      </c>
      <c r="J434">
        <f>H434-I434</f>
        <v/>
      </c>
      <c r="K434" t="n">
        <v>-0.005</v>
      </c>
      <c r="L434" t="n">
        <v>64804.70124764314</v>
      </c>
      <c r="M434" t="n">
        <v>-48442.6786679621</v>
      </c>
      <c r="N434" t="n">
        <v>0</v>
      </c>
      <c r="O434" t="n">
        <v>0</v>
      </c>
      <c r="P434" t="n">
        <v>162.6936412056705</v>
      </c>
      <c r="Q434" t="n">
        <v>0.0432</v>
      </c>
      <c r="R434" t="n">
        <v>671.2644025655052</v>
      </c>
      <c r="S434" t="n">
        <v>14780.2803626402</v>
      </c>
    </row>
    <row r="435">
      <c r="A435" s="1" t="n">
        <v>44952</v>
      </c>
      <c r="B435" t="inlineStr">
        <is>
          <t>NVDL</t>
        </is>
      </c>
      <c r="C435" t="inlineStr">
        <is>
          <t>NVDA</t>
        </is>
      </c>
      <c r="D435" t="n">
        <v>19.78112411499023</v>
      </c>
      <c r="E435" t="n">
        <v>-4.367085456848145</v>
      </c>
      <c r="F435" t="n">
        <v>281811</v>
      </c>
      <c r="G435" t="n">
        <v>-687933</v>
      </c>
      <c r="H435">
        <f>D435*F435</f>
        <v/>
      </c>
      <c r="I435">
        <f>E435*G435</f>
        <v/>
      </c>
      <c r="J435">
        <f>H435-I435</f>
        <v/>
      </c>
      <c r="K435" t="n">
        <v>-0</v>
      </c>
      <c r="L435" t="n">
        <v>134850.1946909659</v>
      </c>
      <c r="M435" t="n">
        <v>-88708.92111698331</v>
      </c>
      <c r="N435" t="n">
        <v>0</v>
      </c>
      <c r="O435" t="n">
        <v>0</v>
      </c>
      <c r="P435" t="n">
        <v>162.6936412056705</v>
      </c>
      <c r="Q435" t="n">
        <v>0.0432</v>
      </c>
      <c r="R435" t="n">
        <v>671.2644025655052</v>
      </c>
      <c r="S435" t="n">
        <v>43136.10081316695</v>
      </c>
    </row>
    <row r="436">
      <c r="A436" s="1" t="n">
        <v>44952</v>
      </c>
      <c r="B436" t="inlineStr">
        <is>
          <t>SOXL</t>
        </is>
      </c>
      <c r="C436" t="inlineStr">
        <is>
          <t>SOXX</t>
        </is>
      </c>
      <c r="D436" t="n">
        <v>133.4192047119141</v>
      </c>
      <c r="E436" t="n">
        <v>-14.91257286071777</v>
      </c>
      <c r="F436" t="n">
        <v>8623</v>
      </c>
      <c r="G436" t="n">
        <v>-28873</v>
      </c>
      <c r="H436">
        <f>D436*F436</f>
        <v/>
      </c>
      <c r="I436">
        <f>E436*G436</f>
        <v/>
      </c>
      <c r="J436">
        <f>H436-I436</f>
        <v/>
      </c>
      <c r="K436" t="n">
        <v>-0.0175</v>
      </c>
      <c r="L436" t="n">
        <v>19067.29583328044</v>
      </c>
      <c r="M436" t="n">
        <v>-18992.99763453875</v>
      </c>
      <c r="N436" t="n">
        <v>0</v>
      </c>
      <c r="O436" t="n">
        <v>0</v>
      </c>
      <c r="P436" t="n">
        <v>162.6936412056705</v>
      </c>
      <c r="Q436" t="n">
        <v>0.0432</v>
      </c>
      <c r="R436" t="n">
        <v>671.2644025655052</v>
      </c>
      <c r="S436" t="n">
        <v>-1078.638451054652</v>
      </c>
    </row>
    <row r="437">
      <c r="A437" s="1" t="n">
        <v>44952</v>
      </c>
      <c r="B437" t="inlineStr">
        <is>
          <t>SOXS</t>
        </is>
      </c>
      <c r="C437" t="inlineStr">
        <is>
          <t>SOXX</t>
        </is>
      </c>
      <c r="D437" t="n">
        <v>-0</v>
      </c>
      <c r="E437" t="n">
        <v>-19826.68907085218</v>
      </c>
      <c r="F437" t="n">
        <v>-6748</v>
      </c>
      <c r="G437" t="n">
        <v>-57</v>
      </c>
      <c r="H437">
        <f>D437*F437</f>
        <v/>
      </c>
      <c r="I437">
        <f>E437*G437</f>
        <v/>
      </c>
      <c r="J437">
        <f>H437-I437</f>
        <v/>
      </c>
      <c r="K437" t="n">
        <v>0.07000000000000001</v>
      </c>
      <c r="L437" t="n">
        <v>-14921.27012443191</v>
      </c>
      <c r="M437" t="n">
        <v>10611.90856989948</v>
      </c>
      <c r="N437" t="n">
        <v>320.3854310339088</v>
      </c>
      <c r="O437" t="n">
        <v>0</v>
      </c>
      <c r="P437" t="n">
        <v>18.7788955668363</v>
      </c>
      <c r="Q437" t="n">
        <v>0.0432</v>
      </c>
      <c r="R437" t="n">
        <v>671.2644025655052</v>
      </c>
      <c r="S437" t="n">
        <v>-5301.011388131846</v>
      </c>
    </row>
    <row r="438">
      <c r="A438" s="1" t="n">
        <v>44952</v>
      </c>
      <c r="B438" t="inlineStr">
        <is>
          <t>HIBL</t>
        </is>
      </c>
      <c r="C438" t="inlineStr">
        <is>
          <t>SPHB</t>
        </is>
      </c>
      <c r="D438" t="n">
        <v>70.10227203369141</v>
      </c>
      <c r="E438" t="n">
        <v>-34.13797378540039</v>
      </c>
      <c r="F438" t="n">
        <v>6387</v>
      </c>
      <c r="G438" t="n">
        <v>-4747</v>
      </c>
      <c r="H438">
        <f>D438*F438</f>
        <v/>
      </c>
      <c r="I438">
        <f>E438*G438</f>
        <v/>
      </c>
      <c r="J438">
        <f>H438-I438</f>
        <v/>
      </c>
      <c r="K438" t="n">
        <v>0.12</v>
      </c>
      <c r="L438" t="n">
        <v>7036.122139045775</v>
      </c>
      <c r="M438" t="n">
        <v>-7023.413838786581</v>
      </c>
      <c r="N438" t="n">
        <v>387.2994500206538</v>
      </c>
      <c r="O438" t="n">
        <v>0</v>
      </c>
      <c r="P438" t="n">
        <v>584.3781839626511</v>
      </c>
      <c r="Q438" t="n">
        <v>0.0432</v>
      </c>
      <c r="R438" t="n">
        <v>671.2644025655052</v>
      </c>
      <c r="S438" t="n">
        <v>-1233.313518286156</v>
      </c>
    </row>
    <row r="439">
      <c r="A439" s="1" t="n">
        <v>44952</v>
      </c>
      <c r="B439" t="inlineStr">
        <is>
          <t>TSLL</t>
        </is>
      </c>
      <c r="C439" t="inlineStr">
        <is>
          <t>TSLA</t>
        </is>
      </c>
      <c r="D439" t="n">
        <v>160.2700042724609</v>
      </c>
      <c r="E439" t="n">
        <v>-7.835510730743408</v>
      </c>
      <c r="F439" t="n">
        <v>16126</v>
      </c>
      <c r="G439" t="n">
        <v>-180093</v>
      </c>
      <c r="H439">
        <f>D439*F439</f>
        <v/>
      </c>
      <c r="I439">
        <f>E439*G439</f>
        <v/>
      </c>
      <c r="J439">
        <f>H439-I439</f>
        <v/>
      </c>
      <c r="K439" t="n">
        <v>0.01</v>
      </c>
      <c r="L439" t="n">
        <v>255446.7829141359</v>
      </c>
      <c r="M439" t="n">
        <v>-187497.7865569922</v>
      </c>
      <c r="N439" t="n">
        <v>281.0430204496892</v>
      </c>
      <c r="O439" t="n">
        <v>0</v>
      </c>
      <c r="P439" t="n">
        <v>547.6662728387973</v>
      </c>
      <c r="Q439" t="n">
        <v>0.0432</v>
      </c>
      <c r="R439" t="n">
        <v>671.2644025655052</v>
      </c>
      <c r="S439" t="n">
        <v>65914.62282642126</v>
      </c>
    </row>
    <row r="440">
      <c r="A440" s="1" t="n">
        <v>44952</v>
      </c>
      <c r="B440" t="inlineStr">
        <is>
          <t>TSLQ</t>
        </is>
      </c>
      <c r="C440" t="inlineStr">
        <is>
          <t>TSLA</t>
        </is>
      </c>
      <c r="D440" t="n">
        <v>-0</v>
      </c>
      <c r="E440" t="n">
        <v>-3372.683642117482</v>
      </c>
      <c r="F440" t="n">
        <v>-5992</v>
      </c>
      <c r="G440" t="n">
        <v>-371</v>
      </c>
      <c r="H440">
        <f>D440*F440</f>
        <v/>
      </c>
      <c r="I440">
        <f>E440*G440</f>
        <v/>
      </c>
      <c r="J440">
        <f>H440-I440</f>
        <v/>
      </c>
      <c r="K440" t="n">
        <v>-0.02</v>
      </c>
      <c r="L440" t="n">
        <v>-94917.3461008001</v>
      </c>
      <c r="M440" t="n">
        <v>34290.97739700507</v>
      </c>
      <c r="N440" t="n">
        <v>0</v>
      </c>
      <c r="O440" t="n">
        <v>0</v>
      </c>
      <c r="P440" t="n">
        <v>162.6936412056705</v>
      </c>
      <c r="Q440" t="n">
        <v>0.0432</v>
      </c>
      <c r="R440" t="n">
        <v>671.2644025655052</v>
      </c>
      <c r="S440" t="n">
        <v>-61297.63310636053</v>
      </c>
    </row>
    <row r="441">
      <c r="A441" s="1" t="n">
        <v>44952</v>
      </c>
      <c r="B441" t="inlineStr">
        <is>
          <t>LABU</t>
        </is>
      </c>
      <c r="C441" t="inlineStr">
        <is>
          <t>XBI</t>
        </is>
      </c>
      <c r="D441" t="n">
        <v>88.1171875</v>
      </c>
      <c r="E441" t="n">
        <v>-162.8344879150391</v>
      </c>
      <c r="F441" t="n">
        <v>3391</v>
      </c>
      <c r="G441" t="n">
        <v>-638</v>
      </c>
      <c r="H441">
        <f>D441*F441</f>
        <v/>
      </c>
      <c r="I441">
        <f>E441*G441</f>
        <v/>
      </c>
      <c r="J441">
        <f>H441-I441</f>
        <v/>
      </c>
      <c r="K441" t="n">
        <v>0.1</v>
      </c>
      <c r="L441" t="n">
        <v>-1045.657554108915</v>
      </c>
      <c r="M441" t="n">
        <v>830.5868513193006</v>
      </c>
      <c r="N441" t="n">
        <v>206.9072618323148</v>
      </c>
      <c r="O441" t="n">
        <v>0</v>
      </c>
      <c r="P441" t="n">
        <v>299.9302641830241</v>
      </c>
      <c r="Q441" t="n">
        <v>0.0432</v>
      </c>
      <c r="R441" t="n">
        <v>671.2644025655052</v>
      </c>
      <c r="S441" t="n">
        <v>-1218.344094792951</v>
      </c>
    </row>
    <row r="442">
      <c r="A442" s="1" t="n">
        <v>44952</v>
      </c>
      <c r="B442" t="inlineStr">
        <is>
          <t>ERX</t>
        </is>
      </c>
      <c r="C442" t="inlineStr">
        <is>
          <t>XLE</t>
        </is>
      </c>
      <c r="D442" t="n">
        <v>41.78662490844727</v>
      </c>
      <c r="E442" t="n">
        <v>-68.38309478759766</v>
      </c>
      <c r="F442" t="n">
        <v>1882</v>
      </c>
      <c r="G442" t="n">
        <v>-596</v>
      </c>
      <c r="H442">
        <f>D442*F442</f>
        <v/>
      </c>
      <c r="I442">
        <f>E442*G442</f>
        <v/>
      </c>
      <c r="J442">
        <f>H442-I442</f>
        <v/>
      </c>
      <c r="K442" t="n">
        <v>0.12</v>
      </c>
      <c r="L442" t="n">
        <v>2407.285787130954</v>
      </c>
      <c r="M442" t="n">
        <v>-2283.660496596055</v>
      </c>
      <c r="N442" t="n">
        <v>97.4058228203658</v>
      </c>
      <c r="O442" t="n">
        <v>0</v>
      </c>
      <c r="P442" t="n">
        <v>271.5038816088916</v>
      </c>
      <c r="Q442" t="n">
        <v>0.0432</v>
      </c>
      <c r="R442" t="n">
        <v>671.2644025655052</v>
      </c>
      <c r="S442" t="n">
        <v>-677.9703912902424</v>
      </c>
    </row>
    <row r="443">
      <c r="A443" s="1" t="n">
        <v>44952</v>
      </c>
      <c r="B443" t="inlineStr">
        <is>
          <t>GUSH</t>
        </is>
      </c>
      <c r="C443" t="inlineStr">
        <is>
          <t>XOP</t>
        </is>
      </c>
      <c r="D443" t="n">
        <v>134.1886138916016</v>
      </c>
      <c r="E443" t="n">
        <v>-37.95059585571289</v>
      </c>
      <c r="F443" t="n">
        <v>3048</v>
      </c>
      <c r="G443" t="n">
        <v>-5589</v>
      </c>
      <c r="H443">
        <f>D443*F443</f>
        <v/>
      </c>
      <c r="I443">
        <f>E443*G443</f>
        <v/>
      </c>
      <c r="J443">
        <f>H443-I443</f>
        <v/>
      </c>
      <c r="K443" t="n">
        <v>-0.01</v>
      </c>
      <c r="L443" t="n">
        <v>9589.399867417274</v>
      </c>
      <c r="M443" t="n">
        <v>-9439.449800983133</v>
      </c>
      <c r="N443" t="n">
        <v>0</v>
      </c>
      <c r="O443" t="n">
        <v>0</v>
      </c>
      <c r="P443" t="n">
        <v>162.6936412056705</v>
      </c>
      <c r="Q443" t="n">
        <v>0.0432</v>
      </c>
      <c r="R443" t="n">
        <v>671.2644025655052</v>
      </c>
      <c r="S443" t="n">
        <v>-692.5544547101189</v>
      </c>
    </row>
    <row r="444">
      <c r="A444" s="1" t="n">
        <v>44953</v>
      </c>
      <c r="B444" t="inlineStr">
        <is>
          <t>AAPB</t>
        </is>
      </c>
      <c r="C444" t="inlineStr">
        <is>
          <t>AAPL</t>
        </is>
      </c>
      <c r="D444" t="n">
        <v>143.6267852783203</v>
      </c>
      <c r="E444" t="n">
        <v>-15.10168933868408</v>
      </c>
      <c r="F444" t="n">
        <v>9057</v>
      </c>
      <c r="G444" t="n">
        <v>-45734</v>
      </c>
      <c r="H444">
        <f>D444*F444</f>
        <v/>
      </c>
      <c r="I444">
        <f>E444*G444</f>
        <v/>
      </c>
      <c r="J444">
        <f>H444-I444</f>
        <v/>
      </c>
      <c r="K444" t="n">
        <v>-0.005</v>
      </c>
      <c r="L444" t="n">
        <v>17561.25303408999</v>
      </c>
      <c r="M444" t="n">
        <v>-15005.44705724889</v>
      </c>
      <c r="N444" t="n">
        <v>0</v>
      </c>
      <c r="O444" t="n">
        <v>1</v>
      </c>
      <c r="P444" t="n">
        <v>162.6936412056705</v>
      </c>
      <c r="Q444" t="n">
        <v>0.0432</v>
      </c>
      <c r="R444" t="n">
        <v>410.9849514415553</v>
      </c>
      <c r="S444" t="n">
        <v>1216.296083308882</v>
      </c>
    </row>
    <row r="445">
      <c r="A445" s="1" t="n">
        <v>44953</v>
      </c>
      <c r="B445" t="inlineStr">
        <is>
          <t>AAPU</t>
        </is>
      </c>
      <c r="C445" t="inlineStr">
        <is>
          <t>AAPL</t>
        </is>
      </c>
      <c r="D445" t="n">
        <v>143.6267852783203</v>
      </c>
      <c r="E445" t="n">
        <v>-15.20292472839355</v>
      </c>
      <c r="F445" t="n">
        <v>7658</v>
      </c>
      <c r="G445" t="n">
        <v>-37829</v>
      </c>
      <c r="H445">
        <f>D445*F445</f>
        <v/>
      </c>
      <c r="I445">
        <f>E445*G445</f>
        <v/>
      </c>
      <c r="J445">
        <f>H445-I445</f>
        <v/>
      </c>
      <c r="K445" t="n">
        <v>0.02</v>
      </c>
      <c r="L445" t="n">
        <v>14848.63373468711</v>
      </c>
      <c r="M445" t="n">
        <v>-10791.23942728835</v>
      </c>
      <c r="N445" t="n">
        <v>362.5486777565584</v>
      </c>
      <c r="O445" t="n">
        <v>1</v>
      </c>
      <c r="P445" t="n">
        <v>793.6299268648389</v>
      </c>
      <c r="Q445" t="n">
        <v>0.0432</v>
      </c>
      <c r="R445" t="n">
        <v>294.245416292891</v>
      </c>
      <c r="S445" t="n">
        <v>2615.500952387588</v>
      </c>
    </row>
    <row r="446">
      <c r="A446" s="1" t="n">
        <v>44953</v>
      </c>
      <c r="B446" t="inlineStr">
        <is>
          <t>AMZU</t>
        </is>
      </c>
      <c r="C446" t="inlineStr">
        <is>
          <t>AMZN</t>
        </is>
      </c>
      <c r="D446" t="n">
        <v>102.2399978637695</v>
      </c>
      <c r="E446" t="n">
        <v>-14.84495735168457</v>
      </c>
      <c r="F446" t="n">
        <v>26092</v>
      </c>
      <c r="G446" t="n">
        <v>-91789</v>
      </c>
      <c r="H446">
        <f>D446*F446</f>
        <v/>
      </c>
      <c r="I446">
        <f>E446*G446</f>
        <v/>
      </c>
      <c r="J446">
        <f>H446-I446</f>
        <v/>
      </c>
      <c r="K446" t="n">
        <v>-0.0025</v>
      </c>
      <c r="L446" t="n">
        <v>78801.07042845307</v>
      </c>
      <c r="M446" t="n">
        <v>-55636.38724240523</v>
      </c>
      <c r="N446" t="n">
        <v>0</v>
      </c>
      <c r="O446" t="n">
        <v>1</v>
      </c>
      <c r="P446" t="n">
        <v>162.6936412056705</v>
      </c>
      <c r="Q446" t="n">
        <v>0.0432</v>
      </c>
      <c r="R446" t="n">
        <v>282.4894270283235</v>
      </c>
      <c r="S446" t="n">
        <v>20978.04020301874</v>
      </c>
    </row>
    <row r="447">
      <c r="A447" s="1" t="n">
        <v>44953</v>
      </c>
      <c r="B447" t="inlineStr">
        <is>
          <t>TARK</t>
        </is>
      </c>
      <c r="C447" t="inlineStr">
        <is>
          <t>ARKK</t>
        </is>
      </c>
      <c r="D447" t="n">
        <v>40.05593872070312</v>
      </c>
      <c r="E447" t="n">
        <v>-26.76102447509766</v>
      </c>
      <c r="F447" t="n">
        <v>18788</v>
      </c>
      <c r="G447" t="n">
        <v>-15784</v>
      </c>
      <c r="H447">
        <f>D447*F447</f>
        <v/>
      </c>
      <c r="I447">
        <f>E447*G447</f>
        <v/>
      </c>
      <c r="J447">
        <f>H447-I447</f>
        <v/>
      </c>
      <c r="K447" t="n">
        <v>-0.02</v>
      </c>
      <c r="L447" t="n">
        <v>39502.73380758717</v>
      </c>
      <c r="M447" t="n">
        <v>-39379.68983750899</v>
      </c>
      <c r="N447" t="n">
        <v>0</v>
      </c>
      <c r="O447" t="n">
        <v>1</v>
      </c>
      <c r="P447" t="n">
        <v>162.6936412056705</v>
      </c>
      <c r="Q447" t="n">
        <v>0.0432</v>
      </c>
      <c r="R447" t="n">
        <v>593.0057174930688</v>
      </c>
      <c r="S447" t="n">
        <v>-1007.14347556175</v>
      </c>
    </row>
    <row r="448">
      <c r="A448" s="1" t="n">
        <v>44953</v>
      </c>
      <c r="B448" t="inlineStr">
        <is>
          <t>CHAU</t>
        </is>
      </c>
      <c r="C448" t="inlineStr">
        <is>
          <t>ASHR</t>
        </is>
      </c>
      <c r="D448" t="n">
        <v>30.16585350036621</v>
      </c>
      <c r="E448" t="n">
        <v>-24.1561107635498</v>
      </c>
      <c r="F448" t="n">
        <v>5665</v>
      </c>
      <c r="G448" t="n">
        <v>-3740</v>
      </c>
      <c r="H448">
        <f>D448*F448</f>
        <v/>
      </c>
      <c r="I448">
        <f>E448*G448</f>
        <v/>
      </c>
      <c r="J448">
        <f>H448-I448</f>
        <v/>
      </c>
      <c r="K448" t="n">
        <v>-0.01</v>
      </c>
      <c r="L448" t="n">
        <v>-427.1231633876664</v>
      </c>
      <c r="M448" t="n">
        <v>292.081248808283</v>
      </c>
      <c r="N448" t="n">
        <v>0</v>
      </c>
      <c r="O448" t="n">
        <v>1</v>
      </c>
      <c r="P448" t="n">
        <v>162.6936412056705</v>
      </c>
      <c r="Q448" t="n">
        <v>0.0432</v>
      </c>
      <c r="R448" t="n">
        <v>31.38584662178648</v>
      </c>
      <c r="S448" t="n">
        <v>-288.4079491831999</v>
      </c>
    </row>
    <row r="449">
      <c r="A449" s="1" t="n">
        <v>44953</v>
      </c>
      <c r="B449" t="inlineStr">
        <is>
          <t>BABX</t>
        </is>
      </c>
      <c r="C449" t="inlineStr">
        <is>
          <t>BABA</t>
        </is>
      </c>
      <c r="D449" t="n">
        <v>112.4248886108398</v>
      </c>
      <c r="E449" t="n">
        <v>-39.53099822998047</v>
      </c>
      <c r="F449" t="n">
        <v>4529</v>
      </c>
      <c r="G449" t="n">
        <v>-6431</v>
      </c>
      <c r="H449">
        <f>D449*F449</f>
        <v/>
      </c>
      <c r="I449">
        <f>E449*G449</f>
        <v/>
      </c>
      <c r="J449">
        <f>H449-I449</f>
        <v/>
      </c>
      <c r="K449" t="n">
        <v>-0.0275</v>
      </c>
      <c r="L449" t="n">
        <v>-9419.999309607259</v>
      </c>
      <c r="M449" t="n">
        <v>8579.574673018977</v>
      </c>
      <c r="N449" t="n">
        <v>0</v>
      </c>
      <c r="O449" t="n">
        <v>1</v>
      </c>
      <c r="P449" t="n">
        <v>162.6936412056705</v>
      </c>
      <c r="Q449" t="n">
        <v>0.0432</v>
      </c>
      <c r="R449" t="n">
        <v>199.2628170844712</v>
      </c>
      <c r="S449" t="n">
        <v>-1403.132332009215</v>
      </c>
    </row>
    <row r="450">
      <c r="A450" s="1" t="n">
        <v>44953</v>
      </c>
      <c r="B450" t="inlineStr">
        <is>
          <t>CONL</t>
        </is>
      </c>
      <c r="C450" t="inlineStr">
        <is>
          <t>COIN</t>
        </is>
      </c>
      <c r="D450" t="n">
        <v>61.36999893188477</v>
      </c>
      <c r="E450" t="n">
        <v>-9.895481109619141</v>
      </c>
      <c r="F450" t="n">
        <v>71777</v>
      </c>
      <c r="G450" t="n">
        <v>-233353</v>
      </c>
      <c r="H450">
        <f>D450*F450</f>
        <v/>
      </c>
      <c r="I450">
        <f>E450*G450</f>
        <v/>
      </c>
      <c r="J450">
        <f>H450-I450</f>
        <v/>
      </c>
      <c r="K450" t="n">
        <v>0.03</v>
      </c>
      <c r="L450" t="n">
        <v>599363.0774085121</v>
      </c>
      <c r="M450" t="n">
        <v>-414354.9363534313</v>
      </c>
      <c r="N450" t="n">
        <v>2183.513498206141</v>
      </c>
      <c r="O450" t="n">
        <v>1</v>
      </c>
      <c r="P450" t="n">
        <v>4463.672519927144</v>
      </c>
      <c r="Q450" t="n">
        <v>0.0432</v>
      </c>
      <c r="R450" t="n">
        <v>5501.866834085157</v>
      </c>
      <c r="S450" t="n">
        <v>174178.524368383</v>
      </c>
    </row>
    <row r="451">
      <c r="A451" s="1" t="n">
        <v>44953</v>
      </c>
      <c r="B451" t="inlineStr">
        <is>
          <t>MEXX</t>
        </is>
      </c>
      <c r="C451" t="inlineStr">
        <is>
          <t>EWW</t>
        </is>
      </c>
      <c r="D451" t="n">
        <v>52.58994293212891</v>
      </c>
      <c r="E451" t="n">
        <v>-24.2978458404541</v>
      </c>
      <c r="F451" t="n">
        <v>8705</v>
      </c>
      <c r="G451" t="n">
        <v>-6605</v>
      </c>
      <c r="H451">
        <f>D451*F451</f>
        <v/>
      </c>
      <c r="I451">
        <f>E451*G451</f>
        <v/>
      </c>
      <c r="J451">
        <f>H451-I451</f>
        <v/>
      </c>
      <c r="K451" t="n">
        <v>0.0075</v>
      </c>
      <c r="L451" t="n">
        <v>-3233.495868707875</v>
      </c>
      <c r="M451" t="n">
        <v>3195.690562703287</v>
      </c>
      <c r="N451" t="n">
        <v>37.93902636376757</v>
      </c>
      <c r="O451" t="n">
        <v>1</v>
      </c>
      <c r="P451" t="n">
        <v>228.3073618904552</v>
      </c>
      <c r="Q451" t="n">
        <v>0.0432</v>
      </c>
      <c r="R451" t="n">
        <v>92.40449787421085</v>
      </c>
      <c r="S451" t="n">
        <v>-494.9211352072554</v>
      </c>
    </row>
    <row r="452">
      <c r="A452" s="1" t="n">
        <v>44953</v>
      </c>
      <c r="B452" t="inlineStr">
        <is>
          <t>KORU</t>
        </is>
      </c>
      <c r="C452" t="inlineStr">
        <is>
          <t>EWY</t>
        </is>
      </c>
      <c r="D452" t="n">
        <v>60.88996124267578</v>
      </c>
      <c r="E452" t="n">
        <v>-106.6048583984375</v>
      </c>
      <c r="F452" t="n">
        <v>12312</v>
      </c>
      <c r="G452" t="n">
        <v>-2618</v>
      </c>
      <c r="H452">
        <f>D452*F452</f>
        <v/>
      </c>
      <c r="I452">
        <f>E452*G452</f>
        <v/>
      </c>
      <c r="J452">
        <f>H452-I452</f>
        <v/>
      </c>
      <c r="K452" t="n">
        <v>0.0225</v>
      </c>
      <c r="L452" t="n">
        <v>3667.819507704883</v>
      </c>
      <c r="M452" t="n">
        <v>-4863.637748574673</v>
      </c>
      <c r="N452" t="n">
        <v>197.9308463085461</v>
      </c>
      <c r="O452" t="n">
        <v>1</v>
      </c>
      <c r="P452" t="n">
        <v>488.5744322000243</v>
      </c>
      <c r="Q452" t="n">
        <v>0.0432</v>
      </c>
      <c r="R452" t="n">
        <v>165.0350724729862</v>
      </c>
      <c r="S452" t="n">
        <v>-2093.900325221781</v>
      </c>
    </row>
    <row r="453">
      <c r="A453" s="1" t="n">
        <v>44953</v>
      </c>
      <c r="B453" t="inlineStr">
        <is>
          <t>YINN</t>
        </is>
      </c>
      <c r="C453" t="inlineStr">
        <is>
          <t>FXI</t>
        </is>
      </c>
      <c r="D453" t="n">
        <v>30.86703491210938</v>
      </c>
      <c r="E453" t="n">
        <v>-67.92294311523438</v>
      </c>
      <c r="F453" t="n">
        <v>34613</v>
      </c>
      <c r="G453" t="n">
        <v>-5631</v>
      </c>
      <c r="H453">
        <f>D453*F453</f>
        <v/>
      </c>
      <c r="I453">
        <f>E453*G453</f>
        <v/>
      </c>
      <c r="J453">
        <f>H453-I453</f>
        <v/>
      </c>
      <c r="K453" t="n">
        <v>-0.02</v>
      </c>
      <c r="L453" t="n">
        <v>-1929.158111022224</v>
      </c>
      <c r="M453" t="n">
        <v>1744.607177722522</v>
      </c>
      <c r="N453" t="n">
        <v>0</v>
      </c>
      <c r="O453" t="n">
        <v>1</v>
      </c>
      <c r="P453" t="n">
        <v>162.6936412056705</v>
      </c>
      <c r="Q453" t="n">
        <v>0.0432</v>
      </c>
      <c r="R453" t="n">
        <v>238.5553451400347</v>
      </c>
      <c r="S453" t="n">
        <v>-1185.725806831184</v>
      </c>
    </row>
    <row r="454">
      <c r="A454" s="1" t="n">
        <v>44953</v>
      </c>
      <c r="B454" t="inlineStr">
        <is>
          <t>JNUG</t>
        </is>
      </c>
      <c r="C454" t="inlineStr">
        <is>
          <t>GDXJ</t>
        </is>
      </c>
      <c r="D454" t="n">
        <v>37.35695266723633</v>
      </c>
      <c r="E454" t="n">
        <v>-41.04989624023438</v>
      </c>
      <c r="F454" t="n">
        <v>13681</v>
      </c>
      <c r="G454" t="n">
        <v>-6148</v>
      </c>
      <c r="H454">
        <f>D454*F454</f>
        <v/>
      </c>
      <c r="I454">
        <f>E454*G454</f>
        <v/>
      </c>
      <c r="J454">
        <f>H454-I454</f>
        <v/>
      </c>
      <c r="K454" t="n">
        <v>-0.005</v>
      </c>
      <c r="L454" t="n">
        <v>-10224.59611922239</v>
      </c>
      <c r="M454" t="n">
        <v>9645.525508898034</v>
      </c>
      <c r="N454" t="n">
        <v>0</v>
      </c>
      <c r="O454" t="n">
        <v>1</v>
      </c>
      <c r="P454" t="n">
        <v>162.6936412056705</v>
      </c>
      <c r="Q454" t="n">
        <v>0.0432</v>
      </c>
      <c r="R454" t="n">
        <v>415.5523011513962</v>
      </c>
      <c r="S454" t="n">
        <v>-1359.429817803221</v>
      </c>
    </row>
    <row r="455">
      <c r="A455" s="1" t="n">
        <v>44953</v>
      </c>
      <c r="B455" t="inlineStr">
        <is>
          <t>GDXU</t>
        </is>
      </c>
      <c r="C455" t="inlineStr">
        <is>
          <t>GDX</t>
        </is>
      </c>
      <c r="D455" t="n">
        <v>31.19262504577637</v>
      </c>
      <c r="E455" t="n">
        <v>-57.52000045776367</v>
      </c>
      <c r="F455" t="n">
        <v>52226</v>
      </c>
      <c r="G455" t="n">
        <v>-8886</v>
      </c>
      <c r="H455">
        <f>D455*F455</f>
        <v/>
      </c>
      <c r="I455">
        <f>E455*G455</f>
        <v/>
      </c>
      <c r="J455">
        <f>H455-I455</f>
        <v/>
      </c>
      <c r="K455" t="n">
        <v>-0.005</v>
      </c>
      <c r="L455" t="n">
        <v>-22689.85160190809</v>
      </c>
      <c r="M455" t="n">
        <v>24567.72949078203</v>
      </c>
      <c r="N455" t="n">
        <v>0</v>
      </c>
      <c r="O455" t="n">
        <v>1</v>
      </c>
      <c r="P455" t="n">
        <v>162.6936412056705</v>
      </c>
      <c r="Q455" t="n">
        <v>0.0432</v>
      </c>
      <c r="R455" t="n">
        <v>1055.215791562755</v>
      </c>
      <c r="S455" t="n">
        <v>-340.1578032729426</v>
      </c>
    </row>
    <row r="456">
      <c r="A456" s="1" t="n">
        <v>44953</v>
      </c>
      <c r="B456" t="inlineStr">
        <is>
          <t>NUGT</t>
        </is>
      </c>
      <c r="C456" t="inlineStr">
        <is>
          <t>GDX</t>
        </is>
      </c>
      <c r="D456" t="n">
        <v>31.19262504577637</v>
      </c>
      <c r="E456" t="n">
        <v>-41.56610107421875</v>
      </c>
      <c r="F456" t="n">
        <v>15534</v>
      </c>
      <c r="G456" t="n">
        <v>-5817</v>
      </c>
      <c r="H456">
        <f>D456*F456</f>
        <v/>
      </c>
      <c r="I456">
        <f>E456*G456</f>
        <v/>
      </c>
      <c r="J456">
        <f>H456-I456</f>
        <v/>
      </c>
      <c r="K456" t="n">
        <v>-0.0175</v>
      </c>
      <c r="L456" t="n">
        <v>-6748.825389347074</v>
      </c>
      <c r="M456" t="n">
        <v>6400.517274308247</v>
      </c>
      <c r="N456" t="n">
        <v>0</v>
      </c>
      <c r="O456" t="n">
        <v>1</v>
      </c>
      <c r="P456" t="n">
        <v>162.6936412056705</v>
      </c>
      <c r="Q456" t="n">
        <v>0.0432</v>
      </c>
      <c r="R456" t="n">
        <v>326.7920805636896</v>
      </c>
      <c r="S456" t="n">
        <v>-1020.967088255098</v>
      </c>
    </row>
    <row r="457">
      <c r="A457" s="1" t="n">
        <v>44953</v>
      </c>
      <c r="B457" t="inlineStr">
        <is>
          <t>GGLL</t>
        </is>
      </c>
      <c r="C457" t="inlineStr">
        <is>
          <t>GOOGL</t>
        </is>
      </c>
      <c r="D457" t="n">
        <v>98.55544281005859</v>
      </c>
      <c r="E457" t="n">
        <v>-18.97075271606445</v>
      </c>
      <c r="F457" t="n">
        <v>21017</v>
      </c>
      <c r="G457" t="n">
        <v>-56586</v>
      </c>
      <c r="H457">
        <f>D457*F457</f>
        <v/>
      </c>
      <c r="I457">
        <f>E457*G457</f>
        <v/>
      </c>
      <c r="J457">
        <f>H457-I457</f>
        <v/>
      </c>
      <c r="K457" t="n">
        <v>-0</v>
      </c>
      <c r="L457" t="n">
        <v>38564.27192156583</v>
      </c>
      <c r="M457" t="n">
        <v>-28689.67936029621</v>
      </c>
      <c r="N457" t="n">
        <v>0</v>
      </c>
      <c r="O457" t="n">
        <v>1</v>
      </c>
      <c r="P457" t="n">
        <v>162.6936412056705</v>
      </c>
      <c r="Q457" t="n">
        <v>0.0432</v>
      </c>
      <c r="R457" t="n">
        <v>467.8427768418265</v>
      </c>
      <c r="S457" t="n">
        <v>7928.236931273248</v>
      </c>
    </row>
    <row r="458">
      <c r="A458" s="1" t="n">
        <v>44953</v>
      </c>
      <c r="B458" t="inlineStr">
        <is>
          <t>CWEB</t>
        </is>
      </c>
      <c r="C458" t="inlineStr">
        <is>
          <t>KWEB</t>
        </is>
      </c>
      <c r="D458" t="n">
        <v>32.09920883178711</v>
      </c>
      <c r="E458" t="n">
        <v>-63.31568145751953</v>
      </c>
      <c r="F458" t="n">
        <v>14190</v>
      </c>
      <c r="G458" t="n">
        <v>-3658</v>
      </c>
      <c r="H458">
        <f>D458*F458</f>
        <v/>
      </c>
      <c r="I458">
        <f>E458*G458</f>
        <v/>
      </c>
      <c r="J458">
        <f>H458-I458</f>
        <v/>
      </c>
      <c r="K458" t="n">
        <v>-0.02</v>
      </c>
      <c r="L458" t="n">
        <v>-4068.13657260067</v>
      </c>
      <c r="M458" t="n">
        <v>4116.543975980858</v>
      </c>
      <c r="N458" t="n">
        <v>0</v>
      </c>
      <c r="O458" t="n">
        <v>1</v>
      </c>
      <c r="P458" t="n">
        <v>162.6936412056705</v>
      </c>
      <c r="Q458" t="n">
        <v>0.0432</v>
      </c>
      <c r="R458" t="n">
        <v>175.4881634368248</v>
      </c>
      <c r="S458" t="n">
        <v>-452.2058536410038</v>
      </c>
    </row>
    <row r="459">
      <c r="A459" s="1" t="n">
        <v>44953</v>
      </c>
      <c r="B459" t="inlineStr">
        <is>
          <t>FBL</t>
        </is>
      </c>
      <c r="C459" t="inlineStr">
        <is>
          <t>META</t>
        </is>
      </c>
      <c r="D459" t="n">
        <v>150.5585021972656</v>
      </c>
      <c r="E459" t="n">
        <v>-4.847777843475342</v>
      </c>
      <c r="F459" t="n">
        <v>25557</v>
      </c>
      <c r="G459" t="n">
        <v>-416175</v>
      </c>
      <c r="H459">
        <f>D459*F459</f>
        <v/>
      </c>
      <c r="I459">
        <f>E459*G459</f>
        <v/>
      </c>
      <c r="J459">
        <f>H459-I459</f>
        <v/>
      </c>
      <c r="K459" t="n">
        <v>-0.01</v>
      </c>
      <c r="L459" t="n">
        <v>112594.2138510147</v>
      </c>
      <c r="M459" t="n">
        <v>-82706.13370738491</v>
      </c>
      <c r="N459" t="n">
        <v>0</v>
      </c>
      <c r="O459" t="n">
        <v>1</v>
      </c>
      <c r="P459" t="n">
        <v>162.6936412056705</v>
      </c>
      <c r="Q459" t="n">
        <v>0.0432</v>
      </c>
      <c r="R459" t="n">
        <v>1793.877631375613</v>
      </c>
      <c r="S459" t="n">
        <v>25347.64356043578</v>
      </c>
    </row>
    <row r="460">
      <c r="A460" s="1" t="n">
        <v>44953</v>
      </c>
      <c r="B460" t="inlineStr">
        <is>
          <t>MSFU</t>
        </is>
      </c>
      <c r="C460" t="inlineStr">
        <is>
          <t>MSFT</t>
        </is>
      </c>
      <c r="D460" t="n">
        <v>241.8133850097656</v>
      </c>
      <c r="E460" t="n">
        <v>-19.63712501525879</v>
      </c>
      <c r="F460" t="n">
        <v>8999</v>
      </c>
      <c r="G460" t="n">
        <v>-56464</v>
      </c>
      <c r="H460">
        <f>D460*F460</f>
        <v/>
      </c>
      <c r="I460">
        <f>E460*G460</f>
        <v/>
      </c>
      <c r="J460">
        <f>H460-I460</f>
        <v/>
      </c>
      <c r="K460" t="n">
        <v>-0.005</v>
      </c>
      <c r="L460" t="n">
        <v>1403.131926082516</v>
      </c>
      <c r="M460" t="n">
        <v>45.58116070024346</v>
      </c>
      <c r="N460" t="n">
        <v>0</v>
      </c>
      <c r="O460" t="n">
        <v>1</v>
      </c>
      <c r="P460" t="n">
        <v>162.6936412056705</v>
      </c>
      <c r="Q460" t="n">
        <v>0.0432</v>
      </c>
      <c r="R460" t="n">
        <v>311.3033132633798</v>
      </c>
      <c r="S460" t="n">
        <v>-415.8652356432535</v>
      </c>
    </row>
    <row r="461">
      <c r="A461" s="1" t="n">
        <v>44953</v>
      </c>
      <c r="B461" t="inlineStr">
        <is>
          <t>NVDL</t>
        </is>
      </c>
      <c r="C461" t="inlineStr">
        <is>
          <t>NVDA</t>
        </is>
      </c>
      <c r="D461" t="n">
        <v>20.34353065490723</v>
      </c>
      <c r="E461" t="n">
        <v>-4.571970462799072</v>
      </c>
      <c r="F461" t="n">
        <v>281811</v>
      </c>
      <c r="G461" t="n">
        <v>-687933</v>
      </c>
      <c r="H461">
        <f>D461*F461</f>
        <v/>
      </c>
      <c r="I461">
        <f>E461*G461</f>
        <v/>
      </c>
      <c r="J461">
        <f>H461-I461</f>
        <v/>
      </c>
      <c r="K461" t="n">
        <v>-0</v>
      </c>
      <c r="L461" t="n">
        <v>158499.0232200292</v>
      </c>
      <c r="M461" t="n">
        <v>-133454.2635995806</v>
      </c>
      <c r="N461" t="n">
        <v>0</v>
      </c>
      <c r="O461" t="n">
        <v>1</v>
      </c>
      <c r="P461" t="n">
        <v>162.6936412056705</v>
      </c>
      <c r="Q461" t="n">
        <v>0.0432</v>
      </c>
      <c r="R461" t="n">
        <v>7941.917899084524</v>
      </c>
      <c r="S461" t="n">
        <v>13010.63056295071</v>
      </c>
    </row>
    <row r="462">
      <c r="A462" s="1" t="n">
        <v>44953</v>
      </c>
      <c r="B462" t="inlineStr">
        <is>
          <t>SOXL</t>
        </is>
      </c>
      <c r="C462" t="inlineStr">
        <is>
          <t>SOXX</t>
        </is>
      </c>
      <c r="D462" t="n">
        <v>132.5692596435547</v>
      </c>
      <c r="E462" t="n">
        <v>-14.65815830230713</v>
      </c>
      <c r="F462" t="n">
        <v>8623</v>
      </c>
      <c r="G462" t="n">
        <v>-28873</v>
      </c>
      <c r="H462">
        <f>D462*F462</f>
        <v/>
      </c>
      <c r="I462">
        <f>E462*G462</f>
        <v/>
      </c>
      <c r="J462">
        <f>H462-I462</f>
        <v/>
      </c>
      <c r="K462" t="n">
        <v>-0.0175</v>
      </c>
      <c r="L462" t="n">
        <v>-7329.384937376728</v>
      </c>
      <c r="M462" t="n">
        <v>6955.206100757052</v>
      </c>
      <c r="N462" t="n">
        <v>0</v>
      </c>
      <c r="O462" t="n">
        <v>1</v>
      </c>
      <c r="P462" t="n">
        <v>162.6936412056705</v>
      </c>
      <c r="Q462" t="n">
        <v>0.0432</v>
      </c>
      <c r="R462" t="n">
        <v>229.2469998385119</v>
      </c>
      <c r="S462" t="n">
        <v>-1419.397324077413</v>
      </c>
    </row>
    <row r="463">
      <c r="A463" s="1" t="n">
        <v>44953</v>
      </c>
      <c r="B463" t="inlineStr">
        <is>
          <t>SOXS</t>
        </is>
      </c>
      <c r="C463" t="inlineStr">
        <is>
          <t>SOXX</t>
        </is>
      </c>
      <c r="D463" t="n">
        <v>-0</v>
      </c>
      <c r="E463" t="n">
        <v>-19804.36950576515</v>
      </c>
      <c r="F463" t="n">
        <v>-6748</v>
      </c>
      <c r="G463" t="n">
        <v>-57</v>
      </c>
      <c r="H463">
        <f>D463*F463</f>
        <v/>
      </c>
      <c r="I463">
        <f>E463*G463</f>
        <v/>
      </c>
      <c r="J463">
        <f>H463-I463</f>
        <v/>
      </c>
      <c r="K463" t="n">
        <v>0.07000000000000001</v>
      </c>
      <c r="L463" t="n">
        <v>5735.670828878367</v>
      </c>
      <c r="M463" t="n">
        <v>-4225.945141728856</v>
      </c>
      <c r="N463" t="n">
        <v>516.8948302089346</v>
      </c>
      <c r="O463" t="n">
        <v>1</v>
      </c>
      <c r="P463" t="n">
        <v>535.6737257757709</v>
      </c>
      <c r="Q463" t="n">
        <v>0.0432</v>
      </c>
      <c r="R463" t="n">
        <v>385.6332358266222</v>
      </c>
      <c r="S463" t="n">
        <v>607.1976211139541</v>
      </c>
    </row>
    <row r="464">
      <c r="A464" s="1" t="n">
        <v>44953</v>
      </c>
      <c r="B464" t="inlineStr">
        <is>
          <t>HIBL</t>
        </is>
      </c>
      <c r="C464" t="inlineStr">
        <is>
          <t>SPHB</t>
        </is>
      </c>
      <c r="D464" t="n">
        <v>70.49222564697266</v>
      </c>
      <c r="E464" t="n">
        <v>-34.62689590454102</v>
      </c>
      <c r="F464" t="n">
        <v>6387</v>
      </c>
      <c r="G464" t="n">
        <v>-4747</v>
      </c>
      <c r="H464">
        <f>D464*F464</f>
        <v/>
      </c>
      <c r="I464">
        <f>E464*G464</f>
        <v/>
      </c>
      <c r="J464">
        <f>H464-I464</f>
        <v/>
      </c>
      <c r="K464" t="n">
        <v>0.12</v>
      </c>
      <c r="L464" t="n">
        <v>2490.738603689444</v>
      </c>
      <c r="M464" t="n">
        <v>-2197.531204644176</v>
      </c>
      <c r="N464" t="n">
        <v>621.725045508275</v>
      </c>
      <c r="O464" t="n">
        <v>1</v>
      </c>
      <c r="P464" t="n">
        <v>1206.103229470926</v>
      </c>
      <c r="Q464" t="n">
        <v>0.0432</v>
      </c>
      <c r="R464" t="n">
        <v>91.84175438042105</v>
      </c>
      <c r="S464" t="n">
        <v>-741.7342645195649</v>
      </c>
    </row>
    <row r="465">
      <c r="A465" s="1" t="n">
        <v>44953</v>
      </c>
      <c r="B465" t="inlineStr">
        <is>
          <t>TSLL</t>
        </is>
      </c>
      <c r="C465" t="inlineStr">
        <is>
          <t>TSLA</t>
        </is>
      </c>
      <c r="D465" t="n">
        <v>177.8999938964844</v>
      </c>
      <c r="E465" t="n">
        <v>-9.134213447570801</v>
      </c>
      <c r="F465" t="n">
        <v>16126</v>
      </c>
      <c r="G465" t="n">
        <v>-180093</v>
      </c>
      <c r="H465">
        <f>D465*F465</f>
        <v/>
      </c>
      <c r="I465">
        <f>E465*G465</f>
        <v/>
      </c>
      <c r="J465">
        <f>H465-I465</f>
        <v/>
      </c>
      <c r="K465" t="n">
        <v>0.01</v>
      </c>
      <c r="L465" t="n">
        <v>284313.1840389809</v>
      </c>
      <c r="M465" t="n">
        <v>-221453.584989522</v>
      </c>
      <c r="N465" t="n">
        <v>518.5042401393507</v>
      </c>
      <c r="O465" t="n">
        <v>1</v>
      </c>
      <c r="P465" t="n">
        <v>1066.170512978148</v>
      </c>
      <c r="Q465" t="n">
        <v>0.0432</v>
      </c>
      <c r="R465" t="n">
        <v>7325.927508097164</v>
      </c>
      <c r="S465" t="n">
        <v>52967.42003328595</v>
      </c>
    </row>
    <row r="466">
      <c r="A466" s="1" t="n">
        <v>44953</v>
      </c>
      <c r="B466" t="inlineStr">
        <is>
          <t>TSLQ</t>
        </is>
      </c>
      <c r="C466" t="inlineStr">
        <is>
          <t>TSLA</t>
        </is>
      </c>
      <c r="D466" t="n">
        <v>-0</v>
      </c>
      <c r="E466" t="n">
        <v>-3571.101120283019</v>
      </c>
      <c r="F466" t="n">
        <v>-5992</v>
      </c>
      <c r="G466" t="n">
        <v>-371</v>
      </c>
      <c r="H466">
        <f>D466*F466</f>
        <v/>
      </c>
      <c r="I466">
        <f>E466*G466</f>
        <v/>
      </c>
      <c r="J466">
        <f>H466-I466</f>
        <v/>
      </c>
      <c r="K466" t="n">
        <v>-0.02</v>
      </c>
      <c r="L466" t="n">
        <v>-105643.3460722791</v>
      </c>
      <c r="M466" t="n">
        <v>30323.47821054989</v>
      </c>
      <c r="N466" t="n">
        <v>0</v>
      </c>
      <c r="O466" t="n">
        <v>1</v>
      </c>
      <c r="P466" t="n">
        <v>162.6936412056705</v>
      </c>
      <c r="Q466" t="n">
        <v>0.0432</v>
      </c>
      <c r="R466" t="n">
        <v>2373.021346764887</v>
      </c>
      <c r="S466" t="n">
        <v>-77692.88920849415</v>
      </c>
    </row>
    <row r="467">
      <c r="A467" s="1" t="n">
        <v>44953</v>
      </c>
      <c r="B467" t="inlineStr">
        <is>
          <t>LABU</t>
        </is>
      </c>
      <c r="C467" t="inlineStr">
        <is>
          <t>XBI</t>
        </is>
      </c>
      <c r="D467" t="n">
        <v>88.91291046142578</v>
      </c>
      <c r="E467" t="n">
        <v>-167.1557769775391</v>
      </c>
      <c r="F467" t="n">
        <v>3391</v>
      </c>
      <c r="G467" t="n">
        <v>-638</v>
      </c>
      <c r="H467">
        <f>D467*F467</f>
        <v/>
      </c>
      <c r="I467">
        <f>E467*G467</f>
        <v/>
      </c>
      <c r="J467">
        <f>H467-I467</f>
        <v/>
      </c>
      <c r="K467" t="n">
        <v>0.1</v>
      </c>
      <c r="L467" t="n">
        <v>2698.410182128304</v>
      </c>
      <c r="M467" t="n">
        <v>-2610.418452026167</v>
      </c>
      <c r="N467" t="n">
        <v>336.1447966400239</v>
      </c>
      <c r="O467" t="n">
        <v>1</v>
      </c>
      <c r="P467" t="n">
        <v>636.075060823048</v>
      </c>
      <c r="Q467" t="n">
        <v>0.0432</v>
      </c>
      <c r="R467" t="n">
        <v>78.09978095484989</v>
      </c>
      <c r="S467" t="n">
        <v>-541.46479765677</v>
      </c>
    </row>
    <row r="468">
      <c r="A468" s="1" t="n">
        <v>44953</v>
      </c>
      <c r="B468" t="inlineStr">
        <is>
          <t>ERX</t>
        </is>
      </c>
      <c r="C468" t="inlineStr">
        <is>
          <t>XLE</t>
        </is>
      </c>
      <c r="D468" t="n">
        <v>40.94289398193359</v>
      </c>
      <c r="E468" t="n">
        <v>-65.69135284423828</v>
      </c>
      <c r="F468" t="n">
        <v>1882</v>
      </c>
      <c r="G468" t="n">
        <v>-596</v>
      </c>
      <c r="H468">
        <f>D468*F468</f>
        <v/>
      </c>
      <c r="I468">
        <f>E468*G468</f>
        <v/>
      </c>
      <c r="J468">
        <f>H468-I468</f>
        <v/>
      </c>
      <c r="K468" t="n">
        <v>0.12</v>
      </c>
      <c r="L468" t="n">
        <v>-1587.96846709585</v>
      </c>
      <c r="M468" t="n">
        <v>1518.993149048295</v>
      </c>
      <c r="N468" t="n">
        <v>148.0880570924418</v>
      </c>
      <c r="O468" t="n">
        <v>1</v>
      </c>
      <c r="P468" t="n">
        <v>419.5919387013334</v>
      </c>
      <c r="Q468" t="n">
        <v>0.0432</v>
      </c>
      <c r="R468" t="n">
        <v>28.14948997214039</v>
      </c>
      <c r="S468" t="n">
        <v>-300.2140344040947</v>
      </c>
    </row>
    <row r="469">
      <c r="A469" s="1" t="n">
        <v>44953</v>
      </c>
      <c r="B469" t="inlineStr">
        <is>
          <t>GUSH</t>
        </is>
      </c>
      <c r="C469" t="inlineStr">
        <is>
          <t>XOP</t>
        </is>
      </c>
      <c r="D469" t="n">
        <v>132.3619232177734</v>
      </c>
      <c r="E469" t="n">
        <v>-36.82195663452148</v>
      </c>
      <c r="F469" t="n">
        <v>3048</v>
      </c>
      <c r="G469" t="n">
        <v>-5589</v>
      </c>
      <c r="H469">
        <f>D469*F469</f>
        <v/>
      </c>
      <c r="I469">
        <f>E469*G469</f>
        <v/>
      </c>
      <c r="J469">
        <f>H469-I469</f>
        <v/>
      </c>
      <c r="K469" t="n">
        <v>-0.01</v>
      </c>
      <c r="L469" t="n">
        <v>-5567.98762090637</v>
      </c>
      <c r="M469" t="n">
        <v>5972.626838246362</v>
      </c>
      <c r="N469" t="n">
        <v>0</v>
      </c>
      <c r="O469" t="n">
        <v>1</v>
      </c>
      <c r="P469" t="n">
        <v>162.6936412056705</v>
      </c>
      <c r="Q469" t="n">
        <v>0.0432</v>
      </c>
      <c r="R469" t="n">
        <v>65.60006362367223</v>
      </c>
      <c r="S469" t="n">
        <v>51.06613562427003</v>
      </c>
    </row>
    <row r="470">
      <c r="A470" s="1" t="n">
        <v>44956</v>
      </c>
      <c r="B470" t="inlineStr">
        <is>
          <t>AAPB</t>
        </is>
      </c>
      <c r="C470" t="inlineStr">
        <is>
          <t>AAPL</t>
        </is>
      </c>
      <c r="D470" t="n">
        <v>140.7430267333984</v>
      </c>
      <c r="E470" t="n">
        <v>-14.59603786468506</v>
      </c>
      <c r="F470" t="n">
        <v>8874</v>
      </c>
      <c r="G470" t="n">
        <v>-42412</v>
      </c>
      <c r="H470">
        <f>D470*F470</f>
        <v/>
      </c>
      <c r="I470">
        <f>E470*G470</f>
        <v/>
      </c>
      <c r="J470">
        <f>H470-I470</f>
        <v/>
      </c>
      <c r="K470" t="n">
        <v>-0.005</v>
      </c>
      <c r="L470" t="n">
        <v>-25591.55089187408</v>
      </c>
      <c r="M470" t="n">
        <v>20305.61575988777</v>
      </c>
      <c r="N470" t="n">
        <v>-0</v>
      </c>
      <c r="O470" t="n">
        <v>0</v>
      </c>
      <c r="P470" t="n">
        <v>162.6936412056705</v>
      </c>
      <c r="Q470" t="n">
        <v>0.0432</v>
      </c>
      <c r="R470" t="n">
        <v>-958.0914235541968</v>
      </c>
      <c r="S470" t="n">
        <v>-3536.315047803743</v>
      </c>
    </row>
    <row r="471">
      <c r="A471" s="1" t="n">
        <v>44956</v>
      </c>
      <c r="B471" t="inlineStr">
        <is>
          <t>AAPU</t>
        </is>
      </c>
      <c r="C471" t="inlineStr">
        <is>
          <t>AAPL</t>
        </is>
      </c>
      <c r="D471" t="n">
        <v>140.7430267333984</v>
      </c>
      <c r="E471" t="n">
        <v>-14.75486850738525</v>
      </c>
      <c r="F471" t="n">
        <v>7503</v>
      </c>
      <c r="G471" t="n">
        <v>-35693</v>
      </c>
      <c r="H471">
        <f>D471*F471</f>
        <v/>
      </c>
      <c r="I471">
        <f>E471*G471</f>
        <v/>
      </c>
      <c r="J471">
        <f>H471-I471</f>
        <v/>
      </c>
      <c r="K471" t="n">
        <v>0.02</v>
      </c>
      <c r="L471" t="n">
        <v>-21637.75144711868</v>
      </c>
      <c r="M471" t="n">
        <v>15142.29480328249</v>
      </c>
      <c r="N471" t="n">
        <v>-319.8554570149824</v>
      </c>
      <c r="O471" t="n">
        <v>0</v>
      </c>
      <c r="P471" t="n">
        <v>473.7744698498565</v>
      </c>
      <c r="Q471" t="n">
        <v>0.0432</v>
      </c>
      <c r="R471" t="n">
        <v>-958.0914235541968</v>
      </c>
      <c r="S471" t="n">
        <v>-4548.269337225253</v>
      </c>
    </row>
    <row r="472">
      <c r="A472" s="1" t="n">
        <v>44956</v>
      </c>
      <c r="B472" t="inlineStr">
        <is>
          <t>AMZU</t>
        </is>
      </c>
      <c r="C472" t="inlineStr">
        <is>
          <t>AMZN</t>
        </is>
      </c>
      <c r="D472" t="n">
        <v>100.5500030517578</v>
      </c>
      <c r="E472" t="n">
        <v>-14.49027252197266</v>
      </c>
      <c r="F472" t="n">
        <v>26570</v>
      </c>
      <c r="G472" t="n">
        <v>-92003</v>
      </c>
      <c r="H472">
        <f>D472*F472</f>
        <v/>
      </c>
      <c r="I472">
        <f>E472*G472</f>
        <v/>
      </c>
      <c r="J472">
        <f>H472-I472</f>
        <v/>
      </c>
      <c r="K472" t="n">
        <v>-0.0025</v>
      </c>
      <c r="L472" t="n">
        <v>-44905.05293853248</v>
      </c>
      <c r="M472" t="n">
        <v>30897.31467705332</v>
      </c>
      <c r="N472" t="n">
        <v>-0</v>
      </c>
      <c r="O472" t="n">
        <v>0</v>
      </c>
      <c r="P472" t="n">
        <v>162.6936412056705</v>
      </c>
      <c r="Q472" t="n">
        <v>0.0432</v>
      </c>
      <c r="R472" t="n">
        <v>-958.0914235541968</v>
      </c>
      <c r="S472" t="n">
        <v>-11356.5025233643</v>
      </c>
    </row>
    <row r="473">
      <c r="A473" s="1" t="n">
        <v>44956</v>
      </c>
      <c r="B473" t="inlineStr">
        <is>
          <t>TARK</t>
        </is>
      </c>
      <c r="C473" t="inlineStr">
        <is>
          <t>ARKK</t>
        </is>
      </c>
      <c r="D473" t="n">
        <v>38.19148635864258</v>
      </c>
      <c r="E473" t="n">
        <v>-24.18867874145508</v>
      </c>
      <c r="F473" t="n">
        <v>17763</v>
      </c>
      <c r="G473" t="n">
        <v>-13435</v>
      </c>
      <c r="H473">
        <f>D473*F473</f>
        <v/>
      </c>
      <c r="I473">
        <f>E473*G473</f>
        <v/>
      </c>
      <c r="J473">
        <f>H473-I473</f>
        <v/>
      </c>
      <c r="K473" t="n">
        <v>-0.02</v>
      </c>
      <c r="L473" t="n">
        <v>-33119.66185204027</v>
      </c>
      <c r="M473" t="n">
        <v>32722.24887380798</v>
      </c>
      <c r="N473" t="n">
        <v>-0</v>
      </c>
      <c r="O473" t="n">
        <v>0</v>
      </c>
      <c r="P473" t="n">
        <v>162.6936412056705</v>
      </c>
      <c r="Q473" t="n">
        <v>0.0432</v>
      </c>
      <c r="R473" t="n">
        <v>-958.0914235541968</v>
      </c>
      <c r="S473" t="n">
        <v>990.6138504933288</v>
      </c>
    </row>
    <row r="474">
      <c r="A474" s="1" t="n">
        <v>44956</v>
      </c>
      <c r="B474" t="inlineStr">
        <is>
          <t>CHAU</t>
        </is>
      </c>
      <c r="C474" t="inlineStr">
        <is>
          <t>ASHR</t>
        </is>
      </c>
      <c r="D474" t="n">
        <v>29.5721492767334</v>
      </c>
      <c r="E474" t="n">
        <v>-23.20764923095703</v>
      </c>
      <c r="F474" t="n">
        <v>5793</v>
      </c>
      <c r="G474" t="n">
        <v>-3678</v>
      </c>
      <c r="H474">
        <f>D474*F474</f>
        <v/>
      </c>
      <c r="I474">
        <f>E474*G474</f>
        <v/>
      </c>
      <c r="J474">
        <f>H474-I474</f>
        <v/>
      </c>
      <c r="K474" t="n">
        <v>-0.01</v>
      </c>
      <c r="L474" t="n">
        <v>-3439.473390831025</v>
      </c>
      <c r="M474" t="n">
        <v>3302.992442829842</v>
      </c>
      <c r="N474" t="n">
        <v>-0</v>
      </c>
      <c r="O474" t="n">
        <v>0</v>
      </c>
      <c r="P474" t="n">
        <v>162.6936412056705</v>
      </c>
      <c r="Q474" t="n">
        <v>0.0432</v>
      </c>
      <c r="R474" t="n">
        <v>-958.0914235541968</v>
      </c>
      <c r="S474" t="n">
        <v>930.179704223895</v>
      </c>
    </row>
    <row r="475">
      <c r="A475" s="1" t="n">
        <v>44956</v>
      </c>
      <c r="B475" t="inlineStr">
        <is>
          <t>BABX</t>
        </is>
      </c>
      <c r="C475" t="inlineStr">
        <is>
          <t>BABA</t>
        </is>
      </c>
      <c r="D475" t="n">
        <v>105.6060791015625</v>
      </c>
      <c r="E475" t="n">
        <v>-35.3650016784668</v>
      </c>
      <c r="F475" t="n">
        <v>4750</v>
      </c>
      <c r="G475" t="n">
        <v>-6734</v>
      </c>
      <c r="H475">
        <f>D475*F475</f>
        <v/>
      </c>
      <c r="I475">
        <f>E475*G475</f>
        <v/>
      </c>
      <c r="J475">
        <f>H475-I475</f>
        <v/>
      </c>
      <c r="K475" t="n">
        <v>-0.0275</v>
      </c>
      <c r="L475" t="n">
        <v>-32390.70902035605</v>
      </c>
      <c r="M475" t="n">
        <v>26562.45133352811</v>
      </c>
      <c r="N475" t="n">
        <v>-0</v>
      </c>
      <c r="O475" t="n">
        <v>0</v>
      </c>
      <c r="P475" t="n">
        <v>162.6936412056705</v>
      </c>
      <c r="Q475" t="n">
        <v>0.0432</v>
      </c>
      <c r="R475" t="n">
        <v>-958.0914235541968</v>
      </c>
      <c r="S475" t="n">
        <v>-4552.257234446003</v>
      </c>
    </row>
    <row r="476">
      <c r="A476" s="1" t="n">
        <v>44956</v>
      </c>
      <c r="B476" t="inlineStr">
        <is>
          <t>CONL</t>
        </is>
      </c>
      <c r="C476" t="inlineStr">
        <is>
          <t>COIN</t>
        </is>
      </c>
      <c r="D476" t="n">
        <v>56.15999984741211</v>
      </c>
      <c r="E476" t="n">
        <v>-8.658546447753906</v>
      </c>
      <c r="F476" t="n">
        <v>62026</v>
      </c>
      <c r="G476" t="n">
        <v>-193596</v>
      </c>
      <c r="H476">
        <f>D476*F476</f>
        <v/>
      </c>
      <c r="I476">
        <f>E476*G476</f>
        <v/>
      </c>
      <c r="J476">
        <f>H476-I476</f>
        <v/>
      </c>
      <c r="K476" t="n">
        <v>0.03</v>
      </c>
      <c r="L476" t="n">
        <v>-323169.0106486255</v>
      </c>
      <c r="M476" t="n">
        <v>226735.3695151764</v>
      </c>
      <c r="N476" t="n">
        <v>-1527.101834959579</v>
      </c>
      <c r="O476" t="n">
        <v>0</v>
      </c>
      <c r="P476" t="n">
        <v>2936.570684967565</v>
      </c>
      <c r="Q476" t="n">
        <v>0.0432</v>
      </c>
      <c r="R476" t="n">
        <v>-958.0914235541968</v>
      </c>
      <c r="S476" t="n">
        <v>-91740.84369928314</v>
      </c>
    </row>
    <row r="477">
      <c r="A477" s="1" t="n">
        <v>44956</v>
      </c>
      <c r="B477" t="inlineStr">
        <is>
          <t>MEXX</t>
        </is>
      </c>
      <c r="C477" t="inlineStr">
        <is>
          <t>EWW</t>
        </is>
      </c>
      <c r="D477" t="n">
        <v>52.20038604736328</v>
      </c>
      <c r="E477" t="n">
        <v>-23.8774242401123</v>
      </c>
      <c r="F477" t="n">
        <v>9018</v>
      </c>
      <c r="G477" t="n">
        <v>-6603</v>
      </c>
      <c r="H477">
        <f>D477*F477</f>
        <v/>
      </c>
      <c r="I477">
        <f>E477*G477</f>
        <v/>
      </c>
      <c r="J477">
        <f>H477-I477</f>
        <v/>
      </c>
      <c r="K477" t="n">
        <v>0.0075</v>
      </c>
      <c r="L477" t="n">
        <v>-3513.171913310954</v>
      </c>
      <c r="M477" t="n">
        <v>2628.466533658294</v>
      </c>
      <c r="N477" t="n">
        <v>-35.90834671280961</v>
      </c>
      <c r="O477" t="n">
        <v>0</v>
      </c>
      <c r="P477" t="n">
        <v>192.3990151776457</v>
      </c>
      <c r="Q477" t="n">
        <v>0.0432</v>
      </c>
      <c r="R477" t="n">
        <v>-958.0914235541968</v>
      </c>
      <c r="S477" t="n">
        <v>407.6294408222066</v>
      </c>
    </row>
    <row r="478">
      <c r="A478" s="1" t="n">
        <v>44956</v>
      </c>
      <c r="B478" t="inlineStr">
        <is>
          <t>KORU</t>
        </is>
      </c>
      <c r="C478" t="inlineStr">
        <is>
          <t>EWY</t>
        </is>
      </c>
      <c r="D478" t="n">
        <v>59.54947280883789</v>
      </c>
      <c r="E478" t="n">
        <v>-99.31723785400391</v>
      </c>
      <c r="F478" t="n">
        <v>12466</v>
      </c>
      <c r="G478" t="n">
        <v>-2427</v>
      </c>
      <c r="H478">
        <f>D478*F478</f>
        <v/>
      </c>
      <c r="I478">
        <f>E478*G478</f>
        <v/>
      </c>
      <c r="J478">
        <f>H478-I478</f>
        <v/>
      </c>
      <c r="K478" t="n">
        <v>0.0225</v>
      </c>
      <c r="L478" t="n">
        <v>-16711.23246355351</v>
      </c>
      <c r="M478" t="n">
        <v>16746.79335195956</v>
      </c>
      <c r="N478" t="n">
        <v>-164.6957152316683</v>
      </c>
      <c r="O478" t="n">
        <v>0</v>
      </c>
      <c r="P478" t="n">
        <v>323.878716968356</v>
      </c>
      <c r="Q478" t="n">
        <v>0.0432</v>
      </c>
      <c r="R478" t="n">
        <v>-958.0914235541968</v>
      </c>
      <c r="S478" t="n">
        <v>1628.810923274978</v>
      </c>
    </row>
    <row r="479">
      <c r="A479" s="1" t="n">
        <v>44956</v>
      </c>
      <c r="B479" t="inlineStr">
        <is>
          <t>YINN</t>
        </is>
      </c>
      <c r="C479" t="inlineStr">
        <is>
          <t>FXI</t>
        </is>
      </c>
      <c r="D479" t="n">
        <v>29.7244987487793</v>
      </c>
      <c r="E479" t="n">
        <v>-60.39670181274414</v>
      </c>
      <c r="F479" t="n">
        <v>35467</v>
      </c>
      <c r="G479" t="n">
        <v>-5418</v>
      </c>
      <c r="H479">
        <f>D479*F479</f>
        <v/>
      </c>
      <c r="I479">
        <f>E479*G479</f>
        <v/>
      </c>
      <c r="J479">
        <f>H479-I479</f>
        <v/>
      </c>
      <c r="K479" t="n">
        <v>-0.02</v>
      </c>
      <c r="L479" t="n">
        <v>-40524.03642003261</v>
      </c>
      <c r="M479" t="n">
        <v>38609.41955261127</v>
      </c>
      <c r="N479" t="n">
        <v>-0</v>
      </c>
      <c r="O479" t="n">
        <v>0</v>
      </c>
      <c r="P479" t="n">
        <v>162.6936412056705</v>
      </c>
      <c r="Q479" t="n">
        <v>0.0432</v>
      </c>
      <c r="R479" t="n">
        <v>-958.0914235541968</v>
      </c>
      <c r="S479" t="n">
        <v>-288.3979728228667</v>
      </c>
    </row>
    <row r="480">
      <c r="A480" s="1" t="n">
        <v>44956</v>
      </c>
      <c r="B480" t="inlineStr">
        <is>
          <t>JNUG</t>
        </is>
      </c>
      <c r="C480" t="inlineStr">
        <is>
          <t>GDXJ</t>
        </is>
      </c>
      <c r="D480" t="n">
        <v>36.68529891967773</v>
      </c>
      <c r="E480" t="n">
        <v>-39.58951568603516</v>
      </c>
      <c r="F480" t="n">
        <v>14851</v>
      </c>
      <c r="G480" t="n">
        <v>-6847</v>
      </c>
      <c r="H480">
        <f>D480*F480</f>
        <v/>
      </c>
      <c r="I480">
        <f>E480*G480</f>
        <v/>
      </c>
      <c r="J480">
        <f>H480-I480</f>
        <v/>
      </c>
      <c r="K480" t="n">
        <v>-0.005</v>
      </c>
      <c r="L480" t="n">
        <v>-9975.149821143903</v>
      </c>
      <c r="M480" t="n">
        <v>9467.65672049326</v>
      </c>
      <c r="N480" t="n">
        <v>-0</v>
      </c>
      <c r="O480" t="n">
        <v>0</v>
      </c>
      <c r="P480" t="n">
        <v>162.6936412056705</v>
      </c>
      <c r="Q480" t="n">
        <v>0.0432</v>
      </c>
      <c r="R480" t="n">
        <v>-958.0914235541968</v>
      </c>
      <c r="S480" t="n">
        <v>795.8756765033534</v>
      </c>
    </row>
    <row r="481">
      <c r="A481" s="1" t="n">
        <v>44956</v>
      </c>
      <c r="B481" t="inlineStr">
        <is>
          <t>GDXU</t>
        </is>
      </c>
      <c r="C481" t="inlineStr">
        <is>
          <t>GDX</t>
        </is>
      </c>
      <c r="D481" t="n">
        <v>30.72922515869141</v>
      </c>
      <c r="E481" t="n">
        <v>-54.65000152587891</v>
      </c>
      <c r="F481" t="n">
        <v>55999</v>
      </c>
      <c r="G481" t="n">
        <v>-9983</v>
      </c>
      <c r="H481">
        <f>D481*F481</f>
        <v/>
      </c>
      <c r="I481">
        <f>E481*G481</f>
        <v/>
      </c>
      <c r="J481">
        <f>H481-I481</f>
        <v/>
      </c>
      <c r="K481" t="n">
        <v>-0.005</v>
      </c>
      <c r="L481" t="n">
        <v>-25951.02297712954</v>
      </c>
      <c r="M481" t="n">
        <v>27128.07264514012</v>
      </c>
      <c r="N481" t="n">
        <v>-0</v>
      </c>
      <c r="O481" t="n">
        <v>0</v>
      </c>
      <c r="P481" t="n">
        <v>162.6936412056705</v>
      </c>
      <c r="Q481" t="n">
        <v>0.0432</v>
      </c>
      <c r="R481" t="n">
        <v>-958.0914235541968</v>
      </c>
      <c r="S481" t="n">
        <v>3225.707748449357</v>
      </c>
    </row>
    <row r="482">
      <c r="A482" s="1" t="n">
        <v>44956</v>
      </c>
      <c r="B482" t="inlineStr">
        <is>
          <t>NUGT</t>
        </is>
      </c>
      <c r="C482" t="inlineStr">
        <is>
          <t>GDX</t>
        </is>
      </c>
      <c r="D482" t="n">
        <v>30.72922515869141</v>
      </c>
      <c r="E482" t="n">
        <v>-40.25996017456055</v>
      </c>
      <c r="F482" t="n">
        <v>16656</v>
      </c>
      <c r="G482" t="n">
        <v>-6322</v>
      </c>
      <c r="H482">
        <f>D482*F482</f>
        <v/>
      </c>
      <c r="I482">
        <f>E482*G482</f>
        <v/>
      </c>
      <c r="J482">
        <f>H482-I482</f>
        <v/>
      </c>
      <c r="K482" t="n">
        <v>-0.0175</v>
      </c>
      <c r="L482" t="n">
        <v>-7718.713525367768</v>
      </c>
      <c r="M482" t="n">
        <v>7818.449834064105</v>
      </c>
      <c r="N482" t="n">
        <v>-0</v>
      </c>
      <c r="O482" t="n">
        <v>0</v>
      </c>
      <c r="P482" t="n">
        <v>162.6936412056705</v>
      </c>
      <c r="Q482" t="n">
        <v>0.0432</v>
      </c>
      <c r="R482" t="n">
        <v>-958.0914235541968</v>
      </c>
      <c r="S482" t="n">
        <v>1382.199207403117</v>
      </c>
    </row>
    <row r="483">
      <c r="A483" s="1" t="n">
        <v>44956</v>
      </c>
      <c r="B483" t="inlineStr">
        <is>
          <t>GGLL</t>
        </is>
      </c>
      <c r="C483" t="inlineStr">
        <is>
          <t>GOOGL</t>
        </is>
      </c>
      <c r="D483" t="n">
        <v>96.14536285400391</v>
      </c>
      <c r="E483" t="n">
        <v>-18.30964660644531</v>
      </c>
      <c r="F483" t="n">
        <v>20673</v>
      </c>
      <c r="G483" t="n">
        <v>-53835</v>
      </c>
      <c r="H483">
        <f>D483*F483</f>
        <v/>
      </c>
      <c r="I483">
        <f>E483*G483</f>
        <v/>
      </c>
      <c r="J483">
        <f>H483-I483</f>
        <v/>
      </c>
      <c r="K483" t="n">
        <v>-0</v>
      </c>
      <c r="L483" t="n">
        <v>-49825.68090409048</v>
      </c>
      <c r="M483" t="n">
        <v>33698.61265163642</v>
      </c>
      <c r="N483" t="n">
        <v>-0</v>
      </c>
      <c r="O483" t="n">
        <v>0</v>
      </c>
      <c r="P483" t="n">
        <v>162.6936412056705</v>
      </c>
      <c r="Q483" t="n">
        <v>0.0432</v>
      </c>
      <c r="R483" t="n">
        <v>-958.0914235541968</v>
      </c>
      <c r="S483" t="n">
        <v>-13909.32018528611</v>
      </c>
    </row>
    <row r="484">
      <c r="A484" s="1" t="n">
        <v>44956</v>
      </c>
      <c r="B484" t="inlineStr">
        <is>
          <t>CWEB</t>
        </is>
      </c>
      <c r="C484" t="inlineStr">
        <is>
          <t>KWEB</t>
        </is>
      </c>
      <c r="D484" t="n">
        <v>30.55830192565918</v>
      </c>
      <c r="E484" t="n">
        <v>-57.18400573730469</v>
      </c>
      <c r="F484" t="n">
        <v>14867</v>
      </c>
      <c r="G484" t="n">
        <v>-3791</v>
      </c>
      <c r="H484">
        <f>D484*F484</f>
        <v/>
      </c>
      <c r="I484">
        <f>E484*G484</f>
        <v/>
      </c>
      <c r="J484">
        <f>H484-I484</f>
        <v/>
      </c>
      <c r="K484" t="n">
        <v>-0.02</v>
      </c>
      <c r="L484" t="n">
        <v>-22909.62761190943</v>
      </c>
      <c r="M484" t="n">
        <v>22009.44526985269</v>
      </c>
      <c r="N484" t="n">
        <v>-0</v>
      </c>
      <c r="O484" t="n">
        <v>0</v>
      </c>
      <c r="P484" t="n">
        <v>162.6936412056705</v>
      </c>
      <c r="Q484" t="n">
        <v>0.0432</v>
      </c>
      <c r="R484" t="n">
        <v>-958.0914235541968</v>
      </c>
      <c r="S484" t="n">
        <v>345.8297838585595</v>
      </c>
    </row>
    <row r="485">
      <c r="A485" s="1" t="n">
        <v>44956</v>
      </c>
      <c r="B485" t="inlineStr">
        <is>
          <t>FBL</t>
        </is>
      </c>
      <c r="C485" t="inlineStr">
        <is>
          <t>META</t>
        </is>
      </c>
      <c r="D485" t="n">
        <v>145.9149169921875</v>
      </c>
      <c r="E485" t="n">
        <v>-4.622833728790283</v>
      </c>
      <c r="F485" t="n">
        <v>24480</v>
      </c>
      <c r="G485" t="n">
        <v>-380713</v>
      </c>
      <c r="H485">
        <f>D485*F485</f>
        <v/>
      </c>
      <c r="I485">
        <f>E485*G485</f>
        <v/>
      </c>
      <c r="J485">
        <f>H485-I485</f>
        <v/>
      </c>
      <c r="K485" t="n">
        <v>-0.01</v>
      </c>
      <c r="L485" t="n">
        <v>-113679.7524483785</v>
      </c>
      <c r="M485" t="n">
        <v>81086.48509962275</v>
      </c>
      <c r="N485" t="n">
        <v>-0</v>
      </c>
      <c r="O485" t="n">
        <v>0</v>
      </c>
      <c r="P485" t="n">
        <v>162.6936412056705</v>
      </c>
      <c r="Q485" t="n">
        <v>0.0432</v>
      </c>
      <c r="R485" t="n">
        <v>-958.0914235541968</v>
      </c>
      <c r="S485" t="n">
        <v>-29371.41040933808</v>
      </c>
    </row>
    <row r="486">
      <c r="A486" s="1" t="n">
        <v>44956</v>
      </c>
      <c r="B486" t="inlineStr">
        <is>
          <t>MSFU</t>
        </is>
      </c>
      <c r="C486" t="inlineStr">
        <is>
          <t>MSFT</t>
        </is>
      </c>
      <c r="D486" t="n">
        <v>236.5027465820312</v>
      </c>
      <c r="E486" t="n">
        <v>-19.01131820678711</v>
      </c>
      <c r="F486" t="n">
        <v>9205</v>
      </c>
      <c r="G486" t="n">
        <v>-56905</v>
      </c>
      <c r="H486">
        <f>D486*F486</f>
        <v/>
      </c>
      <c r="I486">
        <f>E486*G486</f>
        <v/>
      </c>
      <c r="J486">
        <f>H486-I486</f>
        <v/>
      </c>
      <c r="K486" t="n">
        <v>-0.005</v>
      </c>
      <c r="L486" t="n">
        <v>-48886.48515385588</v>
      </c>
      <c r="M486" t="n">
        <v>33718.39119472001</v>
      </c>
      <c r="N486" t="n">
        <v>-0</v>
      </c>
      <c r="O486" t="n">
        <v>0</v>
      </c>
      <c r="P486" t="n">
        <v>162.6936412056705</v>
      </c>
      <c r="Q486" t="n">
        <v>0.0432</v>
      </c>
      <c r="R486" t="n">
        <v>-958.0914235541968</v>
      </c>
      <c r="S486" t="n">
        <v>-12830.31635063672</v>
      </c>
    </row>
    <row r="487">
      <c r="A487" s="1" t="n">
        <v>44956</v>
      </c>
      <c r="B487" t="inlineStr">
        <is>
          <t>NVDL</t>
        </is>
      </c>
      <c r="C487" t="inlineStr">
        <is>
          <t>NVDA</t>
        </is>
      </c>
      <c r="D487" t="n">
        <v>19.14180183410645</v>
      </c>
      <c r="E487" t="n">
        <v>-4.194976806640625</v>
      </c>
      <c r="F487" t="n">
        <v>248131</v>
      </c>
      <c r="G487" t="n">
        <v>-555377</v>
      </c>
      <c r="H487">
        <f>D487*F487</f>
        <v/>
      </c>
      <c r="I487">
        <f>E487*G487</f>
        <v/>
      </c>
      <c r="J487">
        <f>H487-I487</f>
        <v/>
      </c>
      <c r="K487" t="n">
        <v>-0</v>
      </c>
      <c r="L487" t="n">
        <v>-298198.7300643686</v>
      </c>
      <c r="M487" t="n">
        <v>198243.0934449072</v>
      </c>
      <c r="N487" t="n">
        <v>-0</v>
      </c>
      <c r="O487" t="n">
        <v>0</v>
      </c>
      <c r="P487" t="n">
        <v>162.6936412056705</v>
      </c>
      <c r="Q487" t="n">
        <v>0.0432</v>
      </c>
      <c r="R487" t="n">
        <v>-958.0914235541968</v>
      </c>
      <c r="S487" t="n">
        <v>-95987.42265587152</v>
      </c>
    </row>
    <row r="488">
      <c r="A488" s="1" t="n">
        <v>44956</v>
      </c>
      <c r="B488" t="inlineStr">
        <is>
          <t>SOXL</t>
        </is>
      </c>
      <c r="C488" t="inlineStr">
        <is>
          <t>SOXX</t>
        </is>
      </c>
      <c r="D488" t="n">
        <v>129.0490417480469</v>
      </c>
      <c r="E488" t="n">
        <v>-13.50351142883301</v>
      </c>
      <c r="F488" t="n">
        <v>8680</v>
      </c>
      <c r="G488" t="n">
        <v>-26485</v>
      </c>
      <c r="H488">
        <f>D488*F488</f>
        <v/>
      </c>
      <c r="I488">
        <f>E488*G488</f>
        <v/>
      </c>
      <c r="J488">
        <f>H488-I488</f>
        <v/>
      </c>
      <c r="K488" t="n">
        <v>-0.0175</v>
      </c>
      <c r="L488" t="n">
        <v>-30556.77796433713</v>
      </c>
      <c r="M488" t="n">
        <v>28955.11503898664</v>
      </c>
      <c r="N488" t="n">
        <v>-0</v>
      </c>
      <c r="O488" t="n">
        <v>0</v>
      </c>
      <c r="P488" t="n">
        <v>162.6936412056705</v>
      </c>
      <c r="Q488" t="n">
        <v>0.0432</v>
      </c>
      <c r="R488" t="n">
        <v>-958.0914235541968</v>
      </c>
      <c r="S488" t="n">
        <v>66.32468491915688</v>
      </c>
    </row>
    <row r="489">
      <c r="A489" s="1" t="n">
        <v>44956</v>
      </c>
      <c r="B489" t="inlineStr">
        <is>
          <t>SOXS</t>
        </is>
      </c>
      <c r="C489" t="inlineStr">
        <is>
          <t>SOXX</t>
        </is>
      </c>
      <c r="D489" t="n">
        <v>-0</v>
      </c>
      <c r="E489" t="n">
        <v>-16426.62598659568</v>
      </c>
      <c r="F489" t="n">
        <v>-6792</v>
      </c>
      <c r="G489" t="n">
        <v>-73</v>
      </c>
      <c r="H489">
        <f>D489*F489</f>
        <v/>
      </c>
      <c r="I489">
        <f>E489*G489</f>
        <v/>
      </c>
      <c r="J489">
        <f>H489-I489</f>
        <v/>
      </c>
      <c r="K489" t="n">
        <v>0.07000000000000001</v>
      </c>
      <c r="L489" t="n">
        <v>23910.32672048131</v>
      </c>
      <c r="M489" t="n">
        <v>-21408.43779780235</v>
      </c>
      <c r="N489" t="n">
        <v>-685.8436619108666</v>
      </c>
      <c r="O489" t="n">
        <v>0</v>
      </c>
      <c r="P489" t="n">
        <v>-150.1699361350956</v>
      </c>
      <c r="Q489" t="n">
        <v>0.0432</v>
      </c>
      <c r="R489" t="n">
        <v>-958.0914235541968</v>
      </c>
      <c r="S489" t="n">
        <v>4145.824008144025</v>
      </c>
    </row>
    <row r="490">
      <c r="A490" s="1" t="n">
        <v>44956</v>
      </c>
      <c r="B490" t="inlineStr">
        <is>
          <t>HIBL</t>
        </is>
      </c>
      <c r="C490" t="inlineStr">
        <is>
          <t>SPHB</t>
        </is>
      </c>
      <c r="D490" t="n">
        <v>68.99092864990234</v>
      </c>
      <c r="E490" t="n">
        <v>-32.3740348815918</v>
      </c>
      <c r="F490" t="n">
        <v>6429</v>
      </c>
      <c r="G490" t="n">
        <v>-4351</v>
      </c>
      <c r="H490">
        <f>D490*F490</f>
        <v/>
      </c>
      <c r="I490">
        <f>E490*G490</f>
        <v/>
      </c>
      <c r="J490">
        <f>H490-I490</f>
        <v/>
      </c>
      <c r="K490" t="n">
        <v>0.12</v>
      </c>
      <c r="L490" t="n">
        <v>-9652.24481399734</v>
      </c>
      <c r="M490" t="n">
        <v>9281.10354931674</v>
      </c>
      <c r="N490" t="n">
        <v>-513.3014996273558</v>
      </c>
      <c r="O490" t="n">
        <v>0</v>
      </c>
      <c r="P490" t="n">
        <v>692.8017298435702</v>
      </c>
      <c r="Q490" t="n">
        <v>0.0432</v>
      </c>
      <c r="R490" t="n">
        <v>-958.0914235541968</v>
      </c>
      <c r="S490" t="n">
        <v>1381.348360776788</v>
      </c>
    </row>
    <row r="491">
      <c r="A491" s="1" t="n">
        <v>44956</v>
      </c>
      <c r="B491" t="inlineStr">
        <is>
          <t>TSLL</t>
        </is>
      </c>
      <c r="C491" t="inlineStr">
        <is>
          <t>TSLA</t>
        </is>
      </c>
      <c r="D491" t="n">
        <v>166.6600036621094</v>
      </c>
      <c r="E491" t="n">
        <v>-8.268409729003906</v>
      </c>
      <c r="F491" t="n">
        <v>11773</v>
      </c>
      <c r="G491" t="n">
        <v>-114992</v>
      </c>
      <c r="H491">
        <f>D491*F491</f>
        <v/>
      </c>
      <c r="I491">
        <f>E491*G491</f>
        <v/>
      </c>
      <c r="J491">
        <f>H491-I491</f>
        <v/>
      </c>
      <c r="K491" t="n">
        <v>0.01</v>
      </c>
      <c r="L491" t="n">
        <v>-132333.9771168085</v>
      </c>
      <c r="M491" t="n">
        <v>94267.76441429515</v>
      </c>
      <c r="N491" t="n">
        <v>-288.7320472641786</v>
      </c>
      <c r="O491" t="n">
        <v>0</v>
      </c>
      <c r="P491" t="n">
        <v>777.4384657139694</v>
      </c>
      <c r="Q491" t="n">
        <v>0.0432</v>
      </c>
      <c r="R491" t="n">
        <v>-958.0914235541968</v>
      </c>
      <c r="S491" t="n">
        <v>-35575.90905808304</v>
      </c>
    </row>
    <row r="492">
      <c r="A492" s="1" t="n">
        <v>44956</v>
      </c>
      <c r="B492" t="inlineStr">
        <is>
          <t>TSLQ</t>
        </is>
      </c>
      <c r="C492" t="inlineStr">
        <is>
          <t>TSLA</t>
        </is>
      </c>
      <c r="D492" t="n">
        <v>-0</v>
      </c>
      <c r="E492" t="n">
        <v>-1967.830474853516</v>
      </c>
      <c r="F492" t="n">
        <v>-4374</v>
      </c>
      <c r="G492" t="n">
        <v>-594</v>
      </c>
      <c r="H492">
        <f>D492*F492</f>
        <v/>
      </c>
      <c r="I492">
        <f>E492*G492</f>
        <v/>
      </c>
      <c r="J492">
        <f>H492-I492</f>
        <v/>
      </c>
      <c r="K492" t="n">
        <v>-0.02</v>
      </c>
      <c r="L492" t="n">
        <v>49165.78747209042</v>
      </c>
      <c r="M492" t="n">
        <v>-24048.29309492498</v>
      </c>
      <c r="N492" t="n">
        <v>-0</v>
      </c>
      <c r="O492" t="n">
        <v>0</v>
      </c>
      <c r="P492" t="n">
        <v>162.6936412056705</v>
      </c>
      <c r="Q492" t="n">
        <v>0.0432</v>
      </c>
      <c r="R492" t="n">
        <v>-958.0914235541968</v>
      </c>
      <c r="S492" t="n">
        <v>26075.58580071964</v>
      </c>
    </row>
    <row r="493">
      <c r="A493" s="1" t="n">
        <v>44956</v>
      </c>
      <c r="B493" t="inlineStr">
        <is>
          <t>LABU</t>
        </is>
      </c>
      <c r="C493" t="inlineStr">
        <is>
          <t>XBI</t>
        </is>
      </c>
      <c r="D493" t="n">
        <v>86.63513946533203</v>
      </c>
      <c r="E493" t="n">
        <v>-154.5847015380859</v>
      </c>
      <c r="F493" t="n">
        <v>3537</v>
      </c>
      <c r="G493" t="n">
        <v>-630</v>
      </c>
      <c r="H493">
        <f>D493*F493</f>
        <v/>
      </c>
      <c r="I493">
        <f>E493*G493</f>
        <v/>
      </c>
      <c r="J493">
        <f>H493-I493</f>
        <v/>
      </c>
      <c r="K493" t="n">
        <v>0.1</v>
      </c>
      <c r="L493" t="n">
        <v>-8056.815255460194</v>
      </c>
      <c r="M493" t="n">
        <v>7498.754155271516</v>
      </c>
      <c r="N493" t="n">
        <v>-295.7416112537971</v>
      </c>
      <c r="O493" t="n">
        <v>0</v>
      </c>
      <c r="P493" t="n">
        <v>340.3334495692508</v>
      </c>
      <c r="Q493" t="n">
        <v>0.0432</v>
      </c>
      <c r="R493" t="n">
        <v>-958.0914235541968</v>
      </c>
      <c r="S493" t="n">
        <v>889.9720451588751</v>
      </c>
    </row>
    <row r="494">
      <c r="A494" s="1" t="n">
        <v>44956</v>
      </c>
      <c r="B494" t="inlineStr">
        <is>
          <t>ERX</t>
        </is>
      </c>
      <c r="C494" t="inlineStr">
        <is>
          <t>XLE</t>
        </is>
      </c>
      <c r="D494" t="n">
        <v>40.00493240356445</v>
      </c>
      <c r="E494" t="n">
        <v>-62.72493743896484</v>
      </c>
      <c r="F494" t="n">
        <v>1969</v>
      </c>
      <c r="G494" t="n">
        <v>-617</v>
      </c>
      <c r="H494">
        <f>D494*F494</f>
        <v/>
      </c>
      <c r="I494">
        <f>E494*G494</f>
        <v/>
      </c>
      <c r="J494">
        <f>H494-I494</f>
        <v/>
      </c>
      <c r="K494" t="n">
        <v>0.12</v>
      </c>
      <c r="L494" t="n">
        <v>-1846.924114857177</v>
      </c>
      <c r="M494" t="n">
        <v>1732.978861942127</v>
      </c>
      <c r="N494" t="n">
        <v>-141.0301670476113</v>
      </c>
      <c r="O494" t="n">
        <v>0</v>
      </c>
      <c r="P494" t="n">
        <v>278.5617716537221</v>
      </c>
      <c r="Q494" t="n">
        <v>0.0432</v>
      </c>
      <c r="R494" t="n">
        <v>-958.0914235541968</v>
      </c>
      <c r="S494" t="n">
        <v>1035.096914079892</v>
      </c>
    </row>
    <row r="495">
      <c r="A495" s="1" t="n">
        <v>44956</v>
      </c>
      <c r="B495" t="inlineStr">
        <is>
          <t>GUSH</t>
        </is>
      </c>
      <c r="C495" t="inlineStr">
        <is>
          <t>XOP</t>
        </is>
      </c>
      <c r="D495" t="n">
        <v>128.0811614990234</v>
      </c>
      <c r="E495" t="n">
        <v>-34.48883056640625</v>
      </c>
      <c r="F495" t="n">
        <v>3135</v>
      </c>
      <c r="G495" t="n">
        <v>-5607</v>
      </c>
      <c r="H495">
        <f>D495*F495</f>
        <v/>
      </c>
      <c r="I495">
        <f>E495*G495</f>
        <v/>
      </c>
      <c r="J495">
        <f>H495-I495</f>
        <v/>
      </c>
      <c r="K495" t="n">
        <v>-0.01</v>
      </c>
      <c r="L495" t="n">
        <v>-13420.75308586462</v>
      </c>
      <c r="M495" t="n">
        <v>12386.39415160739</v>
      </c>
      <c r="N495" t="n">
        <v>-0</v>
      </c>
      <c r="O495" t="n">
        <v>0</v>
      </c>
      <c r="P495" t="n">
        <v>162.6936412056705</v>
      </c>
      <c r="Q495" t="n">
        <v>0.0432</v>
      </c>
      <c r="R495" t="n">
        <v>-958.0914235541968</v>
      </c>
      <c r="S495" t="n">
        <v>178.2063253336435</v>
      </c>
    </row>
    <row r="496">
      <c r="A496" s="1" t="n">
        <v>44957</v>
      </c>
      <c r="B496" t="inlineStr">
        <is>
          <t>AAPB</t>
        </is>
      </c>
      <c r="C496" t="inlineStr">
        <is>
          <t>AAPL</t>
        </is>
      </c>
      <c r="D496" t="n">
        <v>142.0126495361328</v>
      </c>
      <c r="E496" t="n">
        <v>-14.78182029724121</v>
      </c>
      <c r="F496" t="n">
        <v>8874</v>
      </c>
      <c r="G496" t="n">
        <v>-42412</v>
      </c>
      <c r="H496">
        <f>D496*F496</f>
        <v/>
      </c>
      <c r="I496">
        <f>E496*G496</f>
        <v/>
      </c>
      <c r="J496">
        <f>H496-I496</f>
        <v/>
      </c>
      <c r="K496" t="n">
        <v>-0.005</v>
      </c>
      <c r="L496" t="n">
        <v>11267.10716709495</v>
      </c>
      <c r="M496" t="n">
        <v>-7460.527427296255</v>
      </c>
      <c r="N496" t="n">
        <v>0</v>
      </c>
      <c r="O496" t="n">
        <v>0</v>
      </c>
      <c r="P496" t="n">
        <v>162.6936412056705</v>
      </c>
      <c r="Q496" t="n">
        <v>0.0432</v>
      </c>
      <c r="R496" t="n">
        <v>454.4742575813272</v>
      </c>
      <c r="S496" t="n">
        <v>2980.189620457983</v>
      </c>
    </row>
    <row r="497">
      <c r="A497" s="1" t="n">
        <v>44957</v>
      </c>
      <c r="B497" t="inlineStr">
        <is>
          <t>AAPU</t>
        </is>
      </c>
      <c r="C497" t="inlineStr">
        <is>
          <t>AAPL</t>
        </is>
      </c>
      <c r="D497" t="n">
        <v>142.0126495361328</v>
      </c>
      <c r="E497" t="n">
        <v>-14.96345043182373</v>
      </c>
      <c r="F497" t="n">
        <v>7503</v>
      </c>
      <c r="G497" t="n">
        <v>-35693</v>
      </c>
      <c r="H497">
        <f>D497*F497</f>
        <v/>
      </c>
      <c r="I497">
        <f>E497*G497</f>
        <v/>
      </c>
      <c r="J497">
        <f>H497-I497</f>
        <v/>
      </c>
      <c r="K497" t="n">
        <v>0.02</v>
      </c>
      <c r="L497" t="n">
        <v>9526.381009095492</v>
      </c>
      <c r="M497" t="n">
        <v>-7049.135448617932</v>
      </c>
      <c r="N497" t="n">
        <v>149.1406183645661</v>
      </c>
      <c r="O497" t="n">
        <v>0</v>
      </c>
      <c r="P497" t="n">
        <v>622.9150882144226</v>
      </c>
      <c r="Q497" t="n">
        <v>0.0432</v>
      </c>
      <c r="R497" t="n">
        <v>454.4742575813272</v>
      </c>
      <c r="S497" t="n">
        <v>1559.174440359856</v>
      </c>
    </row>
    <row r="498">
      <c r="A498" s="1" t="n">
        <v>44957</v>
      </c>
      <c r="B498" t="inlineStr">
        <is>
          <t>AMZU</t>
        </is>
      </c>
      <c r="C498" t="inlineStr">
        <is>
          <t>AMZN</t>
        </is>
      </c>
      <c r="D498" t="n">
        <v>103.129997253418</v>
      </c>
      <c r="E498" t="n">
        <v>-15.03527736663818</v>
      </c>
      <c r="F498" t="n">
        <v>26570</v>
      </c>
      <c r="G498" t="n">
        <v>-92003</v>
      </c>
      <c r="H498">
        <f>D498*F498</f>
        <v/>
      </c>
      <c r="I498">
        <f>E498*G498</f>
        <v/>
      </c>
      <c r="J498">
        <f>H498-I498</f>
        <v/>
      </c>
      <c r="K498" t="n">
        <v>-0.0025</v>
      </c>
      <c r="L498" t="n">
        <v>68553.33246185894</v>
      </c>
      <c r="M498" t="n">
        <v>-47476.47707353783</v>
      </c>
      <c r="N498" t="n">
        <v>0</v>
      </c>
      <c r="O498" t="n">
        <v>0</v>
      </c>
      <c r="P498" t="n">
        <v>162.6936412056705</v>
      </c>
      <c r="Q498" t="n">
        <v>0.0432</v>
      </c>
      <c r="R498" t="n">
        <v>454.4742575813272</v>
      </c>
      <c r="S498" t="n">
        <v>19813.70466020353</v>
      </c>
    </row>
    <row r="499">
      <c r="A499" s="1" t="n">
        <v>44957</v>
      </c>
      <c r="B499" t="inlineStr">
        <is>
          <t>TARK</t>
        </is>
      </c>
      <c r="C499" t="inlineStr">
        <is>
          <t>ARKK</t>
        </is>
      </c>
      <c r="D499" t="n">
        <v>39.59974670410156</v>
      </c>
      <c r="E499" t="n">
        <v>-26.04844093322754</v>
      </c>
      <c r="F499" t="n">
        <v>17763</v>
      </c>
      <c r="G499" t="n">
        <v>-13435</v>
      </c>
      <c r="H499">
        <f>D499*F499</f>
        <v/>
      </c>
      <c r="I499">
        <f>E499*G499</f>
        <v/>
      </c>
      <c r="J499">
        <f>H499-I499</f>
        <v/>
      </c>
      <c r="K499" t="n">
        <v>-0.02</v>
      </c>
      <c r="L499" t="n">
        <v>25015.98184557119</v>
      </c>
      <c r="M499" t="n">
        <v>-23657.62910069725</v>
      </c>
      <c r="N499" t="n">
        <v>0</v>
      </c>
      <c r="O499" t="n">
        <v>0</v>
      </c>
      <c r="P499" t="n">
        <v>162.6936412056705</v>
      </c>
      <c r="Q499" t="n">
        <v>0.0432</v>
      </c>
      <c r="R499" t="n">
        <v>454.4742575813272</v>
      </c>
      <c r="S499" t="n">
        <v>696.2882285697262</v>
      </c>
    </row>
    <row r="500">
      <c r="A500" s="1" t="n">
        <v>44957</v>
      </c>
      <c r="B500" t="inlineStr">
        <is>
          <t>CHAU</t>
        </is>
      </c>
      <c r="C500" t="inlineStr">
        <is>
          <t>ASHR</t>
        </is>
      </c>
      <c r="D500" t="n">
        <v>29.41194343566895</v>
      </c>
      <c r="E500" t="n">
        <v>-22.92814826965332</v>
      </c>
      <c r="F500" t="n">
        <v>5793</v>
      </c>
      <c r="G500" t="n">
        <v>-3678</v>
      </c>
      <c r="H500">
        <f>D500*F500</f>
        <v/>
      </c>
      <c r="I500">
        <f>E500*G500</f>
        <v/>
      </c>
      <c r="J500">
        <f>H500-I500</f>
        <v/>
      </c>
      <c r="K500" t="n">
        <v>-0.01</v>
      </c>
      <c r="L500" t="n">
        <v>-928.1115165818356</v>
      </c>
      <c r="M500" t="n">
        <v>973.354776367308</v>
      </c>
      <c r="N500" t="n">
        <v>0</v>
      </c>
      <c r="O500" t="n">
        <v>0</v>
      </c>
      <c r="P500" t="n">
        <v>162.6936412056705</v>
      </c>
      <c r="Q500" t="n">
        <v>0.0432</v>
      </c>
      <c r="R500" t="n">
        <v>454.4742575813272</v>
      </c>
      <c r="S500" t="n">
        <v>-459.5144975236402</v>
      </c>
    </row>
    <row r="501">
      <c r="A501" s="1" t="n">
        <v>44957</v>
      </c>
      <c r="B501" t="inlineStr">
        <is>
          <t>BABX</t>
        </is>
      </c>
      <c r="C501" t="inlineStr">
        <is>
          <t>BABA</t>
        </is>
      </c>
      <c r="D501" t="n">
        <v>104.6563873291016</v>
      </c>
      <c r="E501" t="n">
        <v>-34.77999877929688</v>
      </c>
      <c r="F501" t="n">
        <v>4750</v>
      </c>
      <c r="G501" t="n">
        <v>-6734</v>
      </c>
      <c r="H501">
        <f>D501*F501</f>
        <v/>
      </c>
      <c r="I501">
        <f>E501*G501</f>
        <v/>
      </c>
      <c r="J501">
        <f>H501-I501</f>
        <v/>
      </c>
      <c r="K501" t="n">
        <v>-0.0275</v>
      </c>
      <c r="L501" t="n">
        <v>-4511.225869993322</v>
      </c>
      <c r="M501" t="n">
        <v>3729.986534321044</v>
      </c>
      <c r="N501" t="n">
        <v>0</v>
      </c>
      <c r="O501" t="n">
        <v>0</v>
      </c>
      <c r="P501" t="n">
        <v>162.6936412056705</v>
      </c>
      <c r="Q501" t="n">
        <v>0.0432</v>
      </c>
      <c r="R501" t="n">
        <v>454.4742575813272</v>
      </c>
      <c r="S501" t="n">
        <v>-1382.422876411913</v>
      </c>
    </row>
    <row r="502">
      <c r="A502" s="1" t="n">
        <v>44957</v>
      </c>
      <c r="B502" t="inlineStr">
        <is>
          <t>CONL</t>
        </is>
      </c>
      <c r="C502" t="inlineStr">
        <is>
          <t>COIN</t>
        </is>
      </c>
      <c r="D502" t="n">
        <v>58.47999954223633</v>
      </c>
      <c r="E502" t="n">
        <v>-9.167284965515137</v>
      </c>
      <c r="F502" t="n">
        <v>62026</v>
      </c>
      <c r="G502" t="n">
        <v>-193596</v>
      </c>
      <c r="H502">
        <f>D502*F502</f>
        <v/>
      </c>
      <c r="I502">
        <f>E502*G502</f>
        <v/>
      </c>
      <c r="J502">
        <f>H502-I502</f>
        <v/>
      </c>
      <c r="K502" t="n">
        <v>0.03</v>
      </c>
      <c r="L502" t="n">
        <v>143906.3604283424</v>
      </c>
      <c r="M502" t="n">
        <v>-93253.92792959271</v>
      </c>
      <c r="N502" t="n">
        <v>743.3776653436544</v>
      </c>
      <c r="O502" t="n">
        <v>0</v>
      </c>
      <c r="P502" t="n">
        <v>3679.948350311219</v>
      </c>
      <c r="Q502" t="n">
        <v>0.0432</v>
      </c>
      <c r="R502" t="n">
        <v>454.4742575813272</v>
      </c>
      <c r="S502" t="n">
        <v>48384.09854470447</v>
      </c>
    </row>
    <row r="503">
      <c r="A503" s="1" t="n">
        <v>44957</v>
      </c>
      <c r="B503" t="inlineStr">
        <is>
          <t>MEXX</t>
        </is>
      </c>
      <c r="C503" t="inlineStr">
        <is>
          <t>EWW</t>
        </is>
      </c>
      <c r="D503" t="n">
        <v>52.22756576538086</v>
      </c>
      <c r="E503" t="n">
        <v>-23.8410816192627</v>
      </c>
      <c r="F503" t="n">
        <v>9018</v>
      </c>
      <c r="G503" t="n">
        <v>-6603</v>
      </c>
      <c r="H503">
        <f>D503*F503</f>
        <v/>
      </c>
      <c r="I503">
        <f>E503*G503</f>
        <v/>
      </c>
      <c r="J503">
        <f>H503-I503</f>
        <v/>
      </c>
      <c r="K503" t="n">
        <v>0.0075</v>
      </c>
      <c r="L503" t="n">
        <v>245.1170180409376</v>
      </c>
      <c r="M503" t="n">
        <v>227.2132606197437</v>
      </c>
      <c r="N503" t="n">
        <v>16.48464722758697</v>
      </c>
      <c r="O503" t="n">
        <v>0</v>
      </c>
      <c r="P503" t="n">
        <v>208.8836624052326</v>
      </c>
      <c r="Q503" t="n">
        <v>0.0432</v>
      </c>
      <c r="R503" t="n">
        <v>454.4742575813272</v>
      </c>
      <c r="S503" t="n">
        <v>-137.626533513745</v>
      </c>
    </row>
    <row r="504">
      <c r="A504" s="1" t="n">
        <v>44957</v>
      </c>
      <c r="B504" t="inlineStr">
        <is>
          <t>KORU</t>
        </is>
      </c>
      <c r="C504" t="inlineStr">
        <is>
          <t>EWY</t>
        </is>
      </c>
      <c r="D504" t="n">
        <v>59.08401870727539</v>
      </c>
      <c r="E504" t="n">
        <v>-96.60774230957031</v>
      </c>
      <c r="F504" t="n">
        <v>12466</v>
      </c>
      <c r="G504" t="n">
        <v>-2427</v>
      </c>
      <c r="H504">
        <f>D504*F504</f>
        <v/>
      </c>
      <c r="I504">
        <f>E504*G504</f>
        <v/>
      </c>
      <c r="J504">
        <f>H504-I504</f>
        <v/>
      </c>
      <c r="K504" t="n">
        <v>0.0225</v>
      </c>
      <c r="L504" t="n">
        <v>-5802.595155599855</v>
      </c>
      <c r="M504" t="n">
        <v>6226.361772546324</v>
      </c>
      <c r="N504" t="n">
        <v>73.65722785165795</v>
      </c>
      <c r="O504" t="n">
        <v>0</v>
      </c>
      <c r="P504" t="n">
        <v>397.5359448200139</v>
      </c>
      <c r="Q504" t="n">
        <v>0.0432</v>
      </c>
      <c r="R504" t="n">
        <v>454.4742575813272</v>
      </c>
      <c r="S504" t="n">
        <v>-321.7327615936317</v>
      </c>
    </row>
    <row r="505">
      <c r="A505" s="1" t="n">
        <v>44957</v>
      </c>
      <c r="B505" t="inlineStr">
        <is>
          <t>YINN</t>
        </is>
      </c>
      <c r="C505" t="inlineStr">
        <is>
          <t>FXI</t>
        </is>
      </c>
      <c r="D505" t="n">
        <v>29.53872108459473</v>
      </c>
      <c r="E505" t="n">
        <v>-59.40568542480469</v>
      </c>
      <c r="F505" t="n">
        <v>35467</v>
      </c>
      <c r="G505" t="n">
        <v>-5418</v>
      </c>
      <c r="H505">
        <f>D505*F505</f>
        <v/>
      </c>
      <c r="I505">
        <f>E505*G505</f>
        <v/>
      </c>
      <c r="J505">
        <f>H505-I505</f>
        <v/>
      </c>
      <c r="K505" t="n">
        <v>-0.02</v>
      </c>
      <c r="L505" t="n">
        <v>-6589.25386440407</v>
      </c>
      <c r="M505" t="n">
        <v>5083.887955174602</v>
      </c>
      <c r="N505" t="n">
        <v>0</v>
      </c>
      <c r="O505" t="n">
        <v>0</v>
      </c>
      <c r="P505" t="n">
        <v>162.6936412056705</v>
      </c>
      <c r="Q505" t="n">
        <v>0.0432</v>
      </c>
      <c r="R505" t="n">
        <v>454.4742575813272</v>
      </c>
      <c r="S505" t="n">
        <v>-2269.0223000745</v>
      </c>
    </row>
    <row r="506">
      <c r="A506" s="1" t="n">
        <v>44957</v>
      </c>
      <c r="B506" t="inlineStr">
        <is>
          <t>JNUG</t>
        </is>
      </c>
      <c r="C506" t="inlineStr">
        <is>
          <t>GDXJ</t>
        </is>
      </c>
      <c r="D506" t="n">
        <v>36.84611892700195</v>
      </c>
      <c r="E506" t="n">
        <v>-39.78610610961914</v>
      </c>
      <c r="F506" t="n">
        <v>14851</v>
      </c>
      <c r="G506" t="n">
        <v>-6847</v>
      </c>
      <c r="H506">
        <f>D506*F506</f>
        <v/>
      </c>
      <c r="I506">
        <f>E506*G506</f>
        <v/>
      </c>
      <c r="J506">
        <f>H506-I506</f>
        <v/>
      </c>
      <c r="K506" t="n">
        <v>-0.005</v>
      </c>
      <c r="L506" t="n">
        <v>2388.438496960213</v>
      </c>
      <c r="M506" t="n">
        <v>-1274.497006740904</v>
      </c>
      <c r="N506" t="n">
        <v>0</v>
      </c>
      <c r="O506" t="n">
        <v>0</v>
      </c>
      <c r="P506" t="n">
        <v>162.6936412056705</v>
      </c>
      <c r="Q506" t="n">
        <v>0.0432</v>
      </c>
      <c r="R506" t="n">
        <v>454.4742575813272</v>
      </c>
      <c r="S506" t="n">
        <v>497.9772105381778</v>
      </c>
    </row>
    <row r="507">
      <c r="A507" s="1" t="n">
        <v>44957</v>
      </c>
      <c r="B507" t="inlineStr">
        <is>
          <t>GDXU</t>
        </is>
      </c>
      <c r="C507" t="inlineStr">
        <is>
          <t>GDX</t>
        </is>
      </c>
      <c r="D507" t="n">
        <v>30.91265296936035</v>
      </c>
      <c r="E507" t="n">
        <v>-55.43999862670898</v>
      </c>
      <c r="F507" t="n">
        <v>55999</v>
      </c>
      <c r="G507" t="n">
        <v>-9983</v>
      </c>
      <c r="H507">
        <f>D507*F507</f>
        <v/>
      </c>
      <c r="I507">
        <f>E507*G507</f>
        <v/>
      </c>
      <c r="J507">
        <f>H507-I507</f>
        <v/>
      </c>
      <c r="K507" t="n">
        <v>-0.005</v>
      </c>
      <c r="L507" t="n">
        <v>10272.20649374399</v>
      </c>
      <c r="M507" t="n">
        <v>-7467.284570274862</v>
      </c>
      <c r="N507" t="n">
        <v>0</v>
      </c>
      <c r="O507" t="n">
        <v>0</v>
      </c>
      <c r="P507" t="n">
        <v>162.6936412056705</v>
      </c>
      <c r="Q507" t="n">
        <v>0.0432</v>
      </c>
      <c r="R507" t="n">
        <v>454.4742575813272</v>
      </c>
      <c r="S507" t="n">
        <v>1839.572494417362</v>
      </c>
    </row>
    <row r="508">
      <c r="A508" s="1" t="n">
        <v>44957</v>
      </c>
      <c r="B508" t="inlineStr">
        <is>
          <t>NUGT</t>
        </is>
      </c>
      <c r="C508" t="inlineStr">
        <is>
          <t>GDX</t>
        </is>
      </c>
      <c r="D508" t="n">
        <v>30.91265296936035</v>
      </c>
      <c r="E508" t="n">
        <v>-40.70174026489258</v>
      </c>
      <c r="F508" t="n">
        <v>16656</v>
      </c>
      <c r="G508" t="n">
        <v>-6322</v>
      </c>
      <c r="H508">
        <f>D508*F508</f>
        <v/>
      </c>
      <c r="I508">
        <f>E508*G508</f>
        <v/>
      </c>
      <c r="J508">
        <f>H508-I508</f>
        <v/>
      </c>
      <c r="K508" t="n">
        <v>-0.0175</v>
      </c>
      <c r="L508" t="n">
        <v>3055.30226182253</v>
      </c>
      <c r="M508" t="n">
        <v>-2644.45855332542</v>
      </c>
      <c r="N508" t="n">
        <v>0</v>
      </c>
      <c r="O508" t="n">
        <v>0</v>
      </c>
      <c r="P508" t="n">
        <v>162.6936412056705</v>
      </c>
      <c r="Q508" t="n">
        <v>0.0432</v>
      </c>
      <c r="R508" t="n">
        <v>454.4742575813272</v>
      </c>
      <c r="S508" t="n">
        <v>-195.5821349341721</v>
      </c>
    </row>
    <row r="509">
      <c r="A509" s="1" t="n">
        <v>44957</v>
      </c>
      <c r="B509" t="inlineStr">
        <is>
          <t>GGLL</t>
        </is>
      </c>
      <c r="C509" t="inlineStr">
        <is>
          <t>GOOGL</t>
        </is>
      </c>
      <c r="D509" t="n">
        <v>98.02978515625</v>
      </c>
      <c r="E509" t="n">
        <v>-18.79612350463867</v>
      </c>
      <c r="F509" t="n">
        <v>20673</v>
      </c>
      <c r="G509" t="n">
        <v>-53835</v>
      </c>
      <c r="H509">
        <f>D509*F509</f>
        <v/>
      </c>
      <c r="I509">
        <f>E509*G509</f>
        <v/>
      </c>
      <c r="J509">
        <f>H509-I509</f>
        <v/>
      </c>
      <c r="K509" t="n">
        <v>-0</v>
      </c>
      <c r="L509" t="n">
        <v>38958.3026423605</v>
      </c>
      <c r="M509" t="n">
        <v>-24797.22440567345</v>
      </c>
      <c r="N509" t="n">
        <v>0</v>
      </c>
      <c r="O509" t="n">
        <v>0</v>
      </c>
      <c r="P509" t="n">
        <v>162.6936412056705</v>
      </c>
      <c r="Q509" t="n">
        <v>0.0432</v>
      </c>
      <c r="R509" t="n">
        <v>454.4742575813272</v>
      </c>
      <c r="S509" t="n">
        <v>13108.5232600762</v>
      </c>
    </row>
    <row r="510">
      <c r="A510" s="1" t="n">
        <v>44957</v>
      </c>
      <c r="B510" t="inlineStr">
        <is>
          <t>CWEB</t>
        </is>
      </c>
      <c r="C510" t="inlineStr">
        <is>
          <t>KWEB</t>
        </is>
      </c>
      <c r="D510" t="n">
        <v>30.34329032897949</v>
      </c>
      <c r="E510" t="n">
        <v>-56.42768478393555</v>
      </c>
      <c r="F510" t="n">
        <v>14867</v>
      </c>
      <c r="G510" t="n">
        <v>-3791</v>
      </c>
      <c r="H510">
        <f>D510*F510</f>
        <v/>
      </c>
      <c r="I510">
        <f>E510*G510</f>
        <v/>
      </c>
      <c r="J510">
        <f>H510-I510</f>
        <v/>
      </c>
      <c r="K510" t="n">
        <v>-0.02</v>
      </c>
      <c r="L510" t="n">
        <v>-3196.712009391662</v>
      </c>
      <c r="M510" t="n">
        <v>2714.788809646583</v>
      </c>
      <c r="N510" t="n">
        <v>0</v>
      </c>
      <c r="O510" t="n">
        <v>0</v>
      </c>
      <c r="P510" t="n">
        <v>162.6936412056705</v>
      </c>
      <c r="Q510" t="n">
        <v>0.0432</v>
      </c>
      <c r="R510" t="n">
        <v>454.4742575813272</v>
      </c>
      <c r="S510" t="n">
        <v>-1069.53001032775</v>
      </c>
    </row>
    <row r="511">
      <c r="A511" s="1" t="n">
        <v>44957</v>
      </c>
      <c r="B511" t="inlineStr">
        <is>
          <t>FBL</t>
        </is>
      </c>
      <c r="C511" t="inlineStr">
        <is>
          <t>META</t>
        </is>
      </c>
      <c r="D511" t="n">
        <v>147.81005859375</v>
      </c>
      <c r="E511" t="n">
        <v>-4.703568935394287</v>
      </c>
      <c r="F511" t="n">
        <v>24480</v>
      </c>
      <c r="G511" t="n">
        <v>-380713</v>
      </c>
      <c r="H511">
        <f>D511*F511</f>
        <v/>
      </c>
      <c r="I511">
        <f>E511*G511</f>
        <v/>
      </c>
      <c r="J511">
        <f>H511-I511</f>
        <v/>
      </c>
      <c r="K511" t="n">
        <v>-0.01</v>
      </c>
      <c r="L511" t="n">
        <v>46395.01992655346</v>
      </c>
      <c r="M511" t="n">
        <v>-29102.93579574751</v>
      </c>
      <c r="N511" t="n">
        <v>0</v>
      </c>
      <c r="O511" t="n">
        <v>0</v>
      </c>
      <c r="P511" t="n">
        <v>162.6936412056705</v>
      </c>
      <c r="Q511" t="n">
        <v>0.0432</v>
      </c>
      <c r="R511" t="n">
        <v>454.4742575813272</v>
      </c>
      <c r="S511" t="n">
        <v>15769.75152062231</v>
      </c>
    </row>
    <row r="512">
      <c r="A512" s="1" t="n">
        <v>44957</v>
      </c>
      <c r="B512" t="inlineStr">
        <is>
          <t>MSFU</t>
        </is>
      </c>
      <c r="C512" t="inlineStr">
        <is>
          <t>MSFT</t>
        </is>
      </c>
      <c r="D512" t="n">
        <v>241.4723358154297</v>
      </c>
      <c r="E512" t="n">
        <v>-19.60409927368164</v>
      </c>
      <c r="F512" t="n">
        <v>9205</v>
      </c>
      <c r="G512" t="n">
        <v>-56905</v>
      </c>
      <c r="H512">
        <f>D512*F512</f>
        <v/>
      </c>
      <c r="I512">
        <f>E512*G512</f>
        <v/>
      </c>
      <c r="J512">
        <f>H512-I512</f>
        <v/>
      </c>
      <c r="K512" t="n">
        <v>-0.005</v>
      </c>
      <c r="L512" t="n">
        <v>45746.99512784196</v>
      </c>
      <c r="M512" t="n">
        <v>-31938.96844169252</v>
      </c>
      <c r="N512" t="n">
        <v>0</v>
      </c>
      <c r="O512" t="n">
        <v>0</v>
      </c>
      <c r="P512" t="n">
        <v>162.6936412056705</v>
      </c>
      <c r="Q512" t="n">
        <v>0.0432</v>
      </c>
      <c r="R512" t="n">
        <v>454.4742575813272</v>
      </c>
      <c r="S512" t="n">
        <v>12697.57420506004</v>
      </c>
    </row>
    <row r="513">
      <c r="A513" s="1" t="n">
        <v>44957</v>
      </c>
      <c r="B513" t="inlineStr">
        <is>
          <t>NVDL</t>
        </is>
      </c>
      <c r="C513" t="inlineStr">
        <is>
          <t>NVDA</t>
        </is>
      </c>
      <c r="D513" t="n">
        <v>19.51640892028809</v>
      </c>
      <c r="E513" t="n">
        <v>-4.271303653717041</v>
      </c>
      <c r="F513" t="n">
        <v>248131</v>
      </c>
      <c r="G513" t="n">
        <v>-555377</v>
      </c>
      <c r="H513">
        <f>D513*F513</f>
        <v/>
      </c>
      <c r="I513">
        <f>E513*G513</f>
        <v/>
      </c>
      <c r="J513">
        <f>H513-I513</f>
        <v/>
      </c>
      <c r="K513" t="n">
        <v>-0</v>
      </c>
      <c r="L513" t="n">
        <v>92955.54491074091</v>
      </c>
      <c r="M513" t="n">
        <v>-40136.67081698991</v>
      </c>
      <c r="N513" t="n">
        <v>0</v>
      </c>
      <c r="O513" t="n">
        <v>0</v>
      </c>
      <c r="P513" t="n">
        <v>162.6936412056705</v>
      </c>
      <c r="Q513" t="n">
        <v>0.0432</v>
      </c>
      <c r="R513" t="n">
        <v>454.4742575813272</v>
      </c>
      <c r="S513" t="n">
        <v>50935.24533550373</v>
      </c>
    </row>
    <row r="514">
      <c r="A514" s="1" t="n">
        <v>44957</v>
      </c>
      <c r="B514" t="inlineStr">
        <is>
          <t>SOXL</t>
        </is>
      </c>
      <c r="C514" t="inlineStr">
        <is>
          <t>SOXX</t>
        </is>
      </c>
      <c r="D514" t="n">
        <v>131.4555206298828</v>
      </c>
      <c r="E514" t="n">
        <v>-14.20804119110107</v>
      </c>
      <c r="F514" t="n">
        <v>8680</v>
      </c>
      <c r="G514" t="n">
        <v>-26485</v>
      </c>
      <c r="H514">
        <f>D514*F514</f>
        <v/>
      </c>
      <c r="I514">
        <f>E514*G514</f>
        <v/>
      </c>
      <c r="J514">
        <f>H514-I514</f>
        <v/>
      </c>
      <c r="K514" t="n">
        <v>-0.0175</v>
      </c>
      <c r="L514" t="n">
        <v>20889.11625668537</v>
      </c>
      <c r="M514" t="n">
        <v>-17667.51444403316</v>
      </c>
      <c r="N514" t="n">
        <v>0</v>
      </c>
      <c r="O514" t="n">
        <v>0</v>
      </c>
      <c r="P514" t="n">
        <v>162.6936412056705</v>
      </c>
      <c r="Q514" t="n">
        <v>0.0432</v>
      </c>
      <c r="R514" t="n">
        <v>454.4742575813272</v>
      </c>
      <c r="S514" t="n">
        <v>2430.385931819981</v>
      </c>
    </row>
    <row r="515">
      <c r="A515" s="1" t="n">
        <v>44957</v>
      </c>
      <c r="B515" t="inlineStr">
        <is>
          <t>SOXS</t>
        </is>
      </c>
      <c r="C515" t="inlineStr">
        <is>
          <t>SOXX</t>
        </is>
      </c>
      <c r="D515" t="n">
        <v>-0</v>
      </c>
      <c r="E515" t="n">
        <v>-16419.09919634257</v>
      </c>
      <c r="F515" t="n">
        <v>-6792</v>
      </c>
      <c r="G515" t="n">
        <v>-73</v>
      </c>
      <c r="H515">
        <f>D515*F515</f>
        <v/>
      </c>
      <c r="I515">
        <f>E515*G515</f>
        <v/>
      </c>
      <c r="J515">
        <f>H515-I515</f>
        <v/>
      </c>
      <c r="K515" t="n">
        <v>0.07000000000000001</v>
      </c>
      <c r="L515" t="n">
        <v>-16345.49281283492</v>
      </c>
      <c r="M515" t="n">
        <v>15996.14431713946</v>
      </c>
      <c r="N515" t="n">
        <v>298.8225019702106</v>
      </c>
      <c r="O515" t="n">
        <v>0</v>
      </c>
      <c r="P515" t="n">
        <v>148.652565835115</v>
      </c>
      <c r="Q515" t="n">
        <v>0.0432</v>
      </c>
      <c r="R515" t="n">
        <v>454.4742575813272</v>
      </c>
      <c r="S515" t="n">
        <v>-1102.645255246998</v>
      </c>
    </row>
    <row r="516">
      <c r="A516" s="1" t="n">
        <v>44957</v>
      </c>
      <c r="B516" t="inlineStr">
        <is>
          <t>HIBL</t>
        </is>
      </c>
      <c r="C516" t="inlineStr">
        <is>
          <t>SPHB</t>
        </is>
      </c>
      <c r="D516" t="n">
        <v>70.5799560546875</v>
      </c>
      <c r="E516" t="n">
        <v>-34.60771942138672</v>
      </c>
      <c r="F516" t="n">
        <v>6429</v>
      </c>
      <c r="G516" t="n">
        <v>-4351</v>
      </c>
      <c r="H516">
        <f>D516*F516</f>
        <v/>
      </c>
      <c r="I516">
        <f>E516*G516</f>
        <v/>
      </c>
      <c r="J516">
        <f>H516-I516</f>
        <v/>
      </c>
      <c r="K516" t="n">
        <v>0.12</v>
      </c>
      <c r="L516" t="n">
        <v>10216.28735491226</v>
      </c>
      <c r="M516" t="n">
        <v>-9202.102259821409</v>
      </c>
      <c r="N516" t="n">
        <v>252.2867562510766</v>
      </c>
      <c r="O516" t="n">
        <v>0</v>
      </c>
      <c r="P516" t="n">
        <v>945.0884860946469</v>
      </c>
      <c r="Q516" t="n">
        <v>0.0432</v>
      </c>
      <c r="R516" t="n">
        <v>454.4742575813272</v>
      </c>
      <c r="S516" t="n">
        <v>173.5109837421361</v>
      </c>
    </row>
    <row r="517">
      <c r="A517" s="1" t="n">
        <v>44957</v>
      </c>
      <c r="B517" t="inlineStr">
        <is>
          <t>TSLL</t>
        </is>
      </c>
      <c r="C517" t="inlineStr">
        <is>
          <t>TSLA</t>
        </is>
      </c>
      <c r="D517" t="n">
        <v>173.2200012207031</v>
      </c>
      <c r="E517" t="n">
        <v>-8.744601249694824</v>
      </c>
      <c r="F517" t="n">
        <v>11773</v>
      </c>
      <c r="G517" t="n">
        <v>-114992</v>
      </c>
      <c r="H517">
        <f>D517*F517</f>
        <v/>
      </c>
      <c r="I517">
        <f>E517*G517</f>
        <v/>
      </c>
      <c r="J517">
        <f>H517-I517</f>
        <v/>
      </c>
      <c r="K517" t="n">
        <v>0.01</v>
      </c>
      <c r="L517" t="n">
        <v>77234.10329577893</v>
      </c>
      <c r="M517" t="n">
        <v>-51847.21331860174</v>
      </c>
      <c r="N517" t="n">
        <v>140.3973079788452</v>
      </c>
      <c r="O517" t="n">
        <v>0</v>
      </c>
      <c r="P517" t="n">
        <v>917.8357736928147</v>
      </c>
      <c r="Q517" t="n">
        <v>0.0432</v>
      </c>
      <c r="R517" t="n">
        <v>454.4742575813272</v>
      </c>
      <c r="S517" t="n">
        <v>24190.17511497635</v>
      </c>
    </row>
    <row r="518">
      <c r="A518" s="1" t="n">
        <v>44957</v>
      </c>
      <c r="B518" t="inlineStr">
        <is>
          <t>TSLQ</t>
        </is>
      </c>
      <c r="C518" t="inlineStr">
        <is>
          <t>TSLA</t>
        </is>
      </c>
      <c r="D518" t="n">
        <v>-0</v>
      </c>
      <c r="E518" t="n">
        <v>-1988.168137983842</v>
      </c>
      <c r="F518" t="n">
        <v>-4374</v>
      </c>
      <c r="G518" t="n">
        <v>-594</v>
      </c>
      <c r="H518">
        <f>D518*F518</f>
        <v/>
      </c>
      <c r="I518">
        <f>E518*G518</f>
        <v/>
      </c>
      <c r="J518">
        <f>H518-I518</f>
        <v/>
      </c>
      <c r="K518" t="n">
        <v>-0.02</v>
      </c>
      <c r="L518" t="n">
        <v>-28694.63754486851</v>
      </c>
      <c r="M518" t="n">
        <v>15729.7011438503</v>
      </c>
      <c r="N518" t="n">
        <v>0</v>
      </c>
      <c r="O518" t="n">
        <v>0</v>
      </c>
      <c r="P518" t="n">
        <v>162.6936412056705</v>
      </c>
      <c r="Q518" t="n">
        <v>0.0432</v>
      </c>
      <c r="R518" t="n">
        <v>454.4742575813272</v>
      </c>
      <c r="S518" t="n">
        <v>-13419.41065859954</v>
      </c>
    </row>
    <row r="519">
      <c r="A519" s="1" t="n">
        <v>44957</v>
      </c>
      <c r="B519" t="inlineStr">
        <is>
          <t>LABU</t>
        </is>
      </c>
      <c r="C519" t="inlineStr">
        <is>
          <t>XBI</t>
        </is>
      </c>
      <c r="D519" t="n">
        <v>88.425537109375</v>
      </c>
      <c r="E519" t="n">
        <v>-164.0130310058594</v>
      </c>
      <c r="F519" t="n">
        <v>3537</v>
      </c>
      <c r="G519" t="n">
        <v>-630</v>
      </c>
      <c r="H519">
        <f>D519*F519</f>
        <v/>
      </c>
      <c r="I519">
        <f>E519*G519</f>
        <v/>
      </c>
      <c r="J519">
        <f>H519-I519</f>
        <v/>
      </c>
      <c r="K519" t="n">
        <v>0.1</v>
      </c>
      <c r="L519" t="n">
        <v>6332.903121781463</v>
      </c>
      <c r="M519" t="n">
        <v>-5624.079269451158</v>
      </c>
      <c r="N519" t="n">
        <v>144.2680117264565</v>
      </c>
      <c r="O519" t="n">
        <v>0</v>
      </c>
      <c r="P519" t="n">
        <v>484.6014612957073</v>
      </c>
      <c r="Q519" t="n">
        <v>0.0432</v>
      </c>
      <c r="R519" t="n">
        <v>454.4742575813272</v>
      </c>
      <c r="S519" t="n">
        <v>17.77960401899702</v>
      </c>
    </row>
    <row r="520">
      <c r="A520" s="1" t="n">
        <v>44957</v>
      </c>
      <c r="B520" t="inlineStr">
        <is>
          <t>ERX</t>
        </is>
      </c>
      <c r="C520" t="inlineStr">
        <is>
          <t>XLE</t>
        </is>
      </c>
      <c r="D520" t="n">
        <v>40.35947418212891</v>
      </c>
      <c r="E520" t="n">
        <v>-63.64964294433594</v>
      </c>
      <c r="F520" t="n">
        <v>1969</v>
      </c>
      <c r="G520" t="n">
        <v>-617</v>
      </c>
      <c r="H520">
        <f>D520*F520</f>
        <v/>
      </c>
      <c r="I520">
        <f>E520*G520</f>
        <v/>
      </c>
      <c r="J520">
        <f>H520-I520</f>
        <v/>
      </c>
      <c r="K520" t="n">
        <v>0.12</v>
      </c>
      <c r="L520" t="n">
        <v>698.122157299429</v>
      </c>
      <c r="M520" t="n">
        <v>-540.2126389584006</v>
      </c>
      <c r="N520" t="n">
        <v>65.79812594564437</v>
      </c>
      <c r="O520" t="n">
        <v>0</v>
      </c>
      <c r="P520" t="n">
        <v>344.3598975993664</v>
      </c>
      <c r="Q520" t="n">
        <v>0.0432</v>
      </c>
      <c r="R520" t="n">
        <v>454.4742575813272</v>
      </c>
      <c r="S520" t="n">
        <v>-385.8153823212963</v>
      </c>
    </row>
    <row r="521">
      <c r="A521" s="1" t="n">
        <v>44957</v>
      </c>
      <c r="B521" t="inlineStr">
        <is>
          <t>GUSH</t>
        </is>
      </c>
      <c r="C521" t="inlineStr">
        <is>
          <t>XOP</t>
        </is>
      </c>
      <c r="D521" t="n">
        <v>130.0554809570312</v>
      </c>
      <c r="E521" t="n">
        <v>-35.57608795166016</v>
      </c>
      <c r="F521" t="n">
        <v>3135</v>
      </c>
      <c r="G521" t="n">
        <v>-5607</v>
      </c>
      <c r="H521">
        <f>D521*F521</f>
        <v/>
      </c>
      <c r="I521">
        <f>E521*G521</f>
        <v/>
      </c>
      <c r="J521">
        <f>H521-I521</f>
        <v/>
      </c>
      <c r="K521" t="n">
        <v>-0.01</v>
      </c>
      <c r="L521" t="n">
        <v>6189.75212810446</v>
      </c>
      <c r="M521" t="n">
        <v>-5772.169237678663</v>
      </c>
      <c r="N521" t="n">
        <v>0</v>
      </c>
      <c r="O521" t="n">
        <v>0</v>
      </c>
      <c r="P521" t="n">
        <v>162.6936412056705</v>
      </c>
      <c r="Q521" t="n">
        <v>0.0432</v>
      </c>
      <c r="R521" t="n">
        <v>454.4742575813272</v>
      </c>
      <c r="S521" t="n">
        <v>-157.2187445236209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AAPL Price</t>
        </is>
      </c>
      <c r="E1" t="inlineStr">
        <is>
          <t>AAPB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AAPB</t>
        </is>
      </c>
      <c r="C2" t="inlineStr">
        <is>
          <t>AAPL</t>
        </is>
      </c>
      <c r="D2" t="n">
        <v>123.0960159301758</v>
      </c>
      <c r="E2" t="n">
        <v>-11.66390609741211</v>
      </c>
      <c r="F2" t="n">
        <v>9028</v>
      </c>
      <c r="G2" t="n">
        <v>-47878</v>
      </c>
      <c r="H2">
        <f>D2*F2</f>
        <v/>
      </c>
      <c r="I2">
        <f>E2*G2</f>
        <v/>
      </c>
      <c r="J2">
        <f>H2-I2</f>
        <v/>
      </c>
      <c r="K2" t="n">
        <v>-0.005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AAPB</t>
        </is>
      </c>
      <c r="C3" t="inlineStr">
        <is>
          <t>AAPL</t>
        </is>
      </c>
      <c r="D3" t="n">
        <v>124.3656616210938</v>
      </c>
      <c r="E3" t="n">
        <v>-11.82626438140869</v>
      </c>
      <c r="F3" t="n">
        <v>9028</v>
      </c>
      <c r="G3" t="n">
        <v>-47878</v>
      </c>
      <c r="H3">
        <f>D3*F3</f>
        <v/>
      </c>
      <c r="I3">
        <f>E3*G3</f>
        <v/>
      </c>
      <c r="J3">
        <f>H3-I3</f>
        <v/>
      </c>
      <c r="K3" t="n">
        <v>-0.005</v>
      </c>
      <c r="L3" t="n">
        <v>0</v>
      </c>
      <c r="M3" t="n">
        <v>0</v>
      </c>
      <c r="N3" t="n">
        <v>-0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AAPB</t>
        </is>
      </c>
      <c r="C4" t="inlineStr">
        <is>
          <t>AAPL</t>
        </is>
      </c>
      <c r="D4" t="n">
        <v>123.0468139648438</v>
      </c>
      <c r="E4" t="n">
        <v>-11.64209747314453</v>
      </c>
      <c r="F4" t="n">
        <v>9028</v>
      </c>
      <c r="G4" t="n">
        <v>-47878</v>
      </c>
      <c r="H4">
        <f>D4*F4</f>
        <v/>
      </c>
      <c r="I4">
        <f>E4*G4</f>
        <v/>
      </c>
      <c r="J4">
        <f>H4-I4</f>
        <v/>
      </c>
      <c r="K4" t="n">
        <v>-0.005</v>
      </c>
      <c r="L4" t="n">
        <v>-11907.0580021849</v>
      </c>
      <c r="M4" t="n">
        <v>8348.793730640675</v>
      </c>
      <c r="N4" t="n">
        <v>-0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AAPB</t>
        </is>
      </c>
      <c r="C5" t="inlineStr">
        <is>
          <t>AAPL</t>
        </is>
      </c>
      <c r="D5" t="n">
        <v>127.5741806030273</v>
      </c>
      <c r="E5" t="n">
        <v>-12.35453224182129</v>
      </c>
      <c r="F5" t="n">
        <v>9028</v>
      </c>
      <c r="G5" t="n">
        <v>-47878</v>
      </c>
      <c r="H5">
        <f>D5*F5</f>
        <v/>
      </c>
      <c r="I5">
        <f>E5*G5</f>
        <v/>
      </c>
      <c r="J5">
        <f>H5-I5</f>
        <v/>
      </c>
      <c r="K5" t="n">
        <v>-0.005</v>
      </c>
      <c r="L5" t="n">
        <v>40874.78709352174</v>
      </c>
      <c r="M5" t="n">
        <v>-32296.6323661549</v>
      </c>
      <c r="N5" t="n">
        <v>0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AAPB</t>
        </is>
      </c>
      <c r="C6" t="inlineStr">
        <is>
          <t>AAPL</t>
        </is>
      </c>
      <c r="D6" t="n">
        <v>128.0958251953125</v>
      </c>
      <c r="E6" t="n">
        <v>-12.46357917785645</v>
      </c>
      <c r="F6" t="n">
        <v>9028</v>
      </c>
      <c r="G6" t="n">
        <v>-47878</v>
      </c>
      <c r="H6">
        <f>D6*F6</f>
        <v/>
      </c>
      <c r="I6">
        <f>E6*G6</f>
        <v/>
      </c>
      <c r="J6">
        <f>H6-I6</f>
        <v/>
      </c>
      <c r="K6" t="n">
        <v>-0.005</v>
      </c>
      <c r="L6" t="n">
        <v>4709.605682984241</v>
      </c>
      <c r="M6" t="n">
        <v>-4943.398271148899</v>
      </c>
      <c r="N6" t="n">
        <v>0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AAPB</t>
        </is>
      </c>
      <c r="C7" t="inlineStr">
        <is>
          <t>AAPL</t>
        </is>
      </c>
      <c r="D7" t="n">
        <v>128.6666717529297</v>
      </c>
      <c r="E7" t="n">
        <v>-12.56858730316162</v>
      </c>
      <c r="F7" t="n">
        <v>9028</v>
      </c>
      <c r="G7" t="n">
        <v>-47878</v>
      </c>
      <c r="H7">
        <f>D7*F7</f>
        <v/>
      </c>
      <c r="I7">
        <f>E7*G7</f>
        <v/>
      </c>
      <c r="J7">
        <f>H7-I7</f>
        <v/>
      </c>
      <c r="K7" t="n">
        <v>-0.005</v>
      </c>
      <c r="L7" t="n">
        <v>5153.819730189503</v>
      </c>
      <c r="M7" t="n">
        <v>-4760.307845080932</v>
      </c>
      <c r="N7" t="n">
        <v>0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AAPB</t>
        </is>
      </c>
      <c r="C8" t="inlineStr">
        <is>
          <t>AAPL</t>
        </is>
      </c>
      <c r="D8" t="n">
        <v>131.3831634521484</v>
      </c>
      <c r="E8" t="n">
        <v>-12.97246074676514</v>
      </c>
      <c r="F8" t="n">
        <v>9028</v>
      </c>
      <c r="G8" t="n">
        <v>-47878</v>
      </c>
      <c r="H8">
        <f>D8*F8</f>
        <v/>
      </c>
      <c r="I8">
        <f>E8*G8</f>
        <v/>
      </c>
      <c r="J8">
        <f>H8-I8</f>
        <v/>
      </c>
      <c r="K8" t="n">
        <v>-0.005</v>
      </c>
      <c r="L8" t="n">
        <v>24525.51973821007</v>
      </c>
      <c r="M8" t="n">
        <v>-18308.69674530705</v>
      </c>
      <c r="N8" t="n">
        <v>0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AAPB</t>
        </is>
      </c>
      <c r="C9" t="inlineStr">
        <is>
          <t>AAPL</t>
        </is>
      </c>
      <c r="D9" t="n">
        <v>131.3043975830078</v>
      </c>
      <c r="E9" t="n">
        <v>-12.98376846313477</v>
      </c>
      <c r="F9" t="n">
        <v>9028</v>
      </c>
      <c r="G9" t="n">
        <v>-47878</v>
      </c>
      <c r="H9">
        <f>D9*F9</f>
        <v/>
      </c>
      <c r="I9">
        <f>E9*G9</f>
        <v/>
      </c>
      <c r="J9">
        <f>H9-I9</f>
        <v/>
      </c>
      <c r="K9" t="n">
        <v>-0.005</v>
      </c>
      <c r="L9" t="n">
        <v>-711.1282095436694</v>
      </c>
      <c r="M9" t="n">
        <v>-512.6099603041043</v>
      </c>
      <c r="N9" t="n">
        <v>0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AAPB</t>
        </is>
      </c>
      <c r="C10" t="inlineStr">
        <is>
          <t>AAPL</t>
        </is>
      </c>
      <c r="D10" t="n">
        <v>132.6330718994141</v>
      </c>
      <c r="E10" t="n">
        <v>-13.19863128662109</v>
      </c>
      <c r="F10" t="n">
        <v>9028</v>
      </c>
      <c r="G10" t="n">
        <v>-47878</v>
      </c>
      <c r="H10">
        <f>D10*F10</f>
        <v/>
      </c>
      <c r="I10">
        <f>E10*G10</f>
        <v/>
      </c>
      <c r="J10">
        <f>H10-I10</f>
        <v/>
      </c>
      <c r="K10" t="n">
        <v>-0.005</v>
      </c>
      <c r="L10" t="n">
        <v>11995.77682569248</v>
      </c>
      <c r="M10" t="n">
        <v>-9740.324201443424</v>
      </c>
      <c r="N10" t="n">
        <v>0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AAPB</t>
        </is>
      </c>
      <c r="C11" t="inlineStr">
        <is>
          <t>AAPL</t>
        </is>
      </c>
      <c r="D11" t="n">
        <v>133.7944793701172</v>
      </c>
      <c r="E11" t="n">
        <v>-13.38441371917725</v>
      </c>
      <c r="F11" t="n">
        <v>9057</v>
      </c>
      <c r="G11" t="n">
        <v>-45734</v>
      </c>
      <c r="H11">
        <f>D11*F11</f>
        <v/>
      </c>
      <c r="I11">
        <f>E11*G11</f>
        <v/>
      </c>
      <c r="J11">
        <f>H11-I11</f>
        <v/>
      </c>
      <c r="K11" t="n">
        <v>-0.005</v>
      </c>
      <c r="L11" t="n">
        <v>10519.31039087037</v>
      </c>
      <c r="M11" t="n">
        <v>-8044.887328113906</v>
      </c>
      <c r="N11" t="n">
        <v>0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AAPB</t>
        </is>
      </c>
      <c r="C12" t="inlineStr">
        <is>
          <t>AAPL</t>
        </is>
      </c>
      <c r="D12" t="n">
        <v>133.0759887695312</v>
      </c>
      <c r="E12" t="n">
        <v>-13.27940654754639</v>
      </c>
      <c r="F12" t="n">
        <v>9057</v>
      </c>
      <c r="G12" t="n">
        <v>-45734</v>
      </c>
      <c r="H12">
        <f>D12*F12</f>
        <v/>
      </c>
      <c r="I12">
        <f>E12*G12</f>
        <v/>
      </c>
      <c r="J12">
        <f>H12-I12</f>
        <v/>
      </c>
      <c r="K12" t="n">
        <v>-0.005</v>
      </c>
      <c r="L12" t="n">
        <v>-6507.643381965382</v>
      </c>
      <c r="M12" t="n">
        <v>4547.097660371373</v>
      </c>
      <c r="N12" t="n">
        <v>-0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AAPB</t>
        </is>
      </c>
      <c r="C13" t="inlineStr">
        <is>
          <t>AAPL</t>
        </is>
      </c>
      <c r="D13" t="n">
        <v>133.1350402832031</v>
      </c>
      <c r="E13" t="n">
        <v>-13.26728916168213</v>
      </c>
      <c r="F13" t="n">
        <v>9057</v>
      </c>
      <c r="G13" t="n">
        <v>-45734</v>
      </c>
      <c r="H13">
        <f>D13*F13</f>
        <v/>
      </c>
      <c r="I13">
        <f>E13*G13</f>
        <v/>
      </c>
      <c r="J13">
        <f>H13-I13</f>
        <v/>
      </c>
      <c r="K13" t="n">
        <v>-0.005</v>
      </c>
      <c r="L13" t="n">
        <v>534.8520799415131</v>
      </c>
      <c r="M13" t="n">
        <v>524.7159413728217</v>
      </c>
      <c r="N13" t="n">
        <v>-0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AAPB</t>
        </is>
      </c>
      <c r="C14" t="inlineStr">
        <is>
          <t>AAPL</t>
        </is>
      </c>
      <c r="D14" t="n">
        <v>135.6939849853516</v>
      </c>
      <c r="E14" t="n">
        <v>-13.68328094482422</v>
      </c>
      <c r="F14" t="n">
        <v>9057</v>
      </c>
      <c r="G14" t="n">
        <v>-45734</v>
      </c>
      <c r="H14">
        <f>D14*F14</f>
        <v/>
      </c>
      <c r="I14">
        <f>E14*G14</f>
        <v/>
      </c>
      <c r="J14">
        <f>H14-I14</f>
        <v/>
      </c>
      <c r="K14" t="n">
        <v>-0.005</v>
      </c>
      <c r="L14" t="n">
        <v>23177.33807814769</v>
      </c>
      <c r="M14" t="n">
        <v>-18013.58168667429</v>
      </c>
      <c r="N14" t="n">
        <v>0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AAPB</t>
        </is>
      </c>
      <c r="C15" t="inlineStr">
        <is>
          <t>AAPL</t>
        </is>
      </c>
      <c r="D15" t="n">
        <v>138.8828582763672</v>
      </c>
      <c r="E15" t="n">
        <v>-14.24062728881836</v>
      </c>
      <c r="F15" t="n">
        <v>9057</v>
      </c>
      <c r="G15" t="n">
        <v>-45734</v>
      </c>
      <c r="H15">
        <f>D15*F15</f>
        <v/>
      </c>
      <c r="I15">
        <f>E15*G15</f>
        <v/>
      </c>
      <c r="J15">
        <f>H15-I15</f>
        <v/>
      </c>
      <c r="K15" t="n">
        <v>-0.005</v>
      </c>
      <c r="L15" t="n">
        <v>28882.84154487263</v>
      </c>
      <c r="M15" t="n">
        <v>-24134.62068763611</v>
      </c>
      <c r="N15" t="n">
        <v>0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AAPB</t>
        </is>
      </c>
      <c r="C16" t="inlineStr">
        <is>
          <t>AAPL</t>
        </is>
      </c>
      <c r="D16" t="n">
        <v>140.2804412841797</v>
      </c>
      <c r="E16" t="n">
        <v>-14.52334022521973</v>
      </c>
      <c r="F16" t="n">
        <v>9057</v>
      </c>
      <c r="G16" t="n">
        <v>-45734</v>
      </c>
      <c r="H16">
        <f>D16*F16</f>
        <v/>
      </c>
      <c r="I16">
        <f>E16*G16</f>
        <v/>
      </c>
      <c r="J16">
        <f>H16-I16</f>
        <v/>
      </c>
      <c r="K16" t="n">
        <v>-0.005</v>
      </c>
      <c r="L16" t="n">
        <v>12658.44230129278</v>
      </c>
      <c r="M16" t="n">
        <v>-12242.24318874607</v>
      </c>
      <c r="N16" t="n">
        <v>-0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AAPB</t>
        </is>
      </c>
      <c r="C17" t="inlineStr">
        <is>
          <t>AAPL</t>
        </is>
      </c>
      <c r="D17" t="n">
        <v>139.6210479736328</v>
      </c>
      <c r="E17" t="n">
        <v>-14.38036823272705</v>
      </c>
      <c r="F17" t="n">
        <v>9057</v>
      </c>
      <c r="G17" t="n">
        <v>-45734</v>
      </c>
      <c r="H17">
        <f>D17*F17</f>
        <v/>
      </c>
      <c r="I17">
        <f>E17*G17</f>
        <v/>
      </c>
      <c r="J17">
        <f>H17-I17</f>
        <v/>
      </c>
      <c r="K17" t="n">
        <v>-0.005</v>
      </c>
      <c r="L17" t="n">
        <v>-5972.37668800841</v>
      </c>
      <c r="M17" t="n">
        <v>6191.078213661996</v>
      </c>
      <c r="N17" t="n">
        <v>0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AAPB</t>
        </is>
      </c>
      <c r="C18" t="inlineStr">
        <is>
          <t>AAPL</t>
        </is>
      </c>
      <c r="D18" t="n">
        <v>141.6878967285156</v>
      </c>
      <c r="E18" t="n">
        <v>-14.75516510009766</v>
      </c>
      <c r="F18" t="n">
        <v>9057</v>
      </c>
      <c r="G18" t="n">
        <v>-45734</v>
      </c>
      <c r="H18">
        <f>D18*F18</f>
        <v/>
      </c>
      <c r="I18">
        <f>E18*G18</f>
        <v/>
      </c>
      <c r="J18">
        <f>H18-I18</f>
        <v/>
      </c>
      <c r="K18" t="n">
        <v>-0.005</v>
      </c>
      <c r="L18" t="n">
        <v>18720.23741196842</v>
      </c>
      <c r="M18" t="n">
        <v>-16229.72919151134</v>
      </c>
      <c r="N18" t="n">
        <v>0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AAPB</t>
        </is>
      </c>
      <c r="C19" t="inlineStr">
        <is>
          <t>AAPL</t>
        </is>
      </c>
      <c r="D19" t="n">
        <v>143.6267852783203</v>
      </c>
      <c r="E19" t="n">
        <v>-15.10168933868408</v>
      </c>
      <c r="F19" t="n">
        <v>9057</v>
      </c>
      <c r="G19" t="n">
        <v>-45734</v>
      </c>
      <c r="H19">
        <f>D19*F19</f>
        <v/>
      </c>
      <c r="I19">
        <f>E19*G19</f>
        <v/>
      </c>
      <c r="J19">
        <f>H19-I19</f>
        <v/>
      </c>
      <c r="K19" t="n">
        <v>-0.005</v>
      </c>
      <c r="L19" t="n">
        <v>17561.25303408999</v>
      </c>
      <c r="M19" t="n">
        <v>-15005.44705724889</v>
      </c>
      <c r="N19" t="n">
        <v>0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AAPB</t>
        </is>
      </c>
      <c r="C20" t="inlineStr">
        <is>
          <t>AAPL</t>
        </is>
      </c>
      <c r="D20" t="n">
        <v>140.7430267333984</v>
      </c>
      <c r="E20" t="n">
        <v>-14.59603786468506</v>
      </c>
      <c r="F20" t="n">
        <v>8874</v>
      </c>
      <c r="G20" t="n">
        <v>-42412</v>
      </c>
      <c r="H20">
        <f>D20*F20</f>
        <v/>
      </c>
      <c r="I20">
        <f>E20*G20</f>
        <v/>
      </c>
      <c r="J20">
        <f>H20-I20</f>
        <v/>
      </c>
      <c r="K20" t="n">
        <v>-0.005</v>
      </c>
      <c r="L20" t="n">
        <v>-25591.55089187408</v>
      </c>
      <c r="M20" t="n">
        <v>20305.61575988777</v>
      </c>
      <c r="N20" t="n">
        <v>-0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AAPB</t>
        </is>
      </c>
      <c r="C21" t="inlineStr">
        <is>
          <t>AAPL</t>
        </is>
      </c>
      <c r="D21" t="n">
        <v>142.0126495361328</v>
      </c>
      <c r="E21" t="n">
        <v>-14.78182029724121</v>
      </c>
      <c r="F21" t="n">
        <v>8874</v>
      </c>
      <c r="G21" t="n">
        <v>-42412</v>
      </c>
      <c r="H21">
        <f>D21*F21</f>
        <v/>
      </c>
      <c r="I21">
        <f>E21*G21</f>
        <v/>
      </c>
      <c r="J21">
        <f>H21-I21</f>
        <v/>
      </c>
      <c r="K21" t="n">
        <v>-0.005</v>
      </c>
      <c r="L21" t="n">
        <v>11267.10716709495</v>
      </c>
      <c r="M21" t="n">
        <v>-7460.527427296255</v>
      </c>
      <c r="N21" t="n">
        <v>0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AAPL Price</t>
        </is>
      </c>
      <c r="E1" t="inlineStr">
        <is>
          <t>AAPU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AAPU</t>
        </is>
      </c>
      <c r="C2" t="inlineStr">
        <is>
          <t>AAPL</t>
        </is>
      </c>
      <c r="D2" t="n">
        <v>123.0960159301758</v>
      </c>
      <c r="E2" t="n">
        <v>-12.15152263641357</v>
      </c>
      <c r="F2" t="n">
        <v>7633</v>
      </c>
      <c r="G2" t="n">
        <v>-38936</v>
      </c>
      <c r="H2">
        <f>D2*F2</f>
        <v/>
      </c>
      <c r="I2">
        <f>E2*G2</f>
        <v/>
      </c>
      <c r="J2">
        <f>H2-I2</f>
        <v/>
      </c>
      <c r="K2" t="n">
        <v>0.02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AAPU</t>
        </is>
      </c>
      <c r="C3" t="inlineStr">
        <is>
          <t>AAPL</t>
        </is>
      </c>
      <c r="D3" t="n">
        <v>124.3656616210938</v>
      </c>
      <c r="E3" t="n">
        <v>-12.34464931488037</v>
      </c>
      <c r="F3" t="n">
        <v>7633</v>
      </c>
      <c r="G3" t="n">
        <v>-38936</v>
      </c>
      <c r="H3">
        <f>D3*F3</f>
        <v/>
      </c>
      <c r="I3">
        <f>E3*G3</f>
        <v/>
      </c>
      <c r="J3">
        <f>H3-I3</f>
        <v/>
      </c>
      <c r="K3" t="n">
        <v>0.02</v>
      </c>
      <c r="L3" t="n">
        <v>0</v>
      </c>
      <c r="M3" t="n">
        <v>0</v>
      </c>
      <c r="N3" t="n">
        <v>-1496.438531922278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AAPU</t>
        </is>
      </c>
      <c r="C4" t="inlineStr">
        <is>
          <t>AAPL</t>
        </is>
      </c>
      <c r="D4" t="n">
        <v>123.0468139648438</v>
      </c>
      <c r="E4" t="n">
        <v>-12.143798828125</v>
      </c>
      <c r="F4" t="n">
        <v>7633</v>
      </c>
      <c r="G4" t="n">
        <v>-38936</v>
      </c>
      <c r="H4">
        <f>D4*F4</f>
        <v/>
      </c>
      <c r="I4">
        <f>E4*G4</f>
        <v/>
      </c>
      <c r="J4">
        <f>H4-I4</f>
        <v/>
      </c>
      <c r="K4" t="n">
        <v>0.02</v>
      </c>
      <c r="L4" t="n">
        <v>-10067.18805169221</v>
      </c>
      <c r="M4" t="n">
        <v>7404.57873289874</v>
      </c>
      <c r="N4" t="n">
        <v>-195.256384635081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AAPU</t>
        </is>
      </c>
      <c r="C5" t="inlineStr">
        <is>
          <t>AAPL</t>
        </is>
      </c>
      <c r="D5" t="n">
        <v>127.5741806030273</v>
      </c>
      <c r="E5" t="n">
        <v>-12.78497695922852</v>
      </c>
      <c r="F5" t="n">
        <v>7633</v>
      </c>
      <c r="G5" t="n">
        <v>-38936</v>
      </c>
      <c r="H5">
        <f>D5*F5</f>
        <v/>
      </c>
      <c r="I5">
        <f>E5*G5</f>
        <v/>
      </c>
      <c r="J5">
        <f>H5-I5</f>
        <v/>
      </c>
      <c r="K5" t="n">
        <v>0.02</v>
      </c>
      <c r="L5" t="n">
        <v>34558.84469260649</v>
      </c>
      <c r="M5" t="n">
        <v>-23637.75179370777</v>
      </c>
      <c r="N5" t="n">
        <v>199.1704467438601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AAPU</t>
        </is>
      </c>
      <c r="C6" t="inlineStr">
        <is>
          <t>AAPL</t>
        </is>
      </c>
      <c r="D6" t="n">
        <v>128.0958251953125</v>
      </c>
      <c r="E6" t="n">
        <v>-12.87768077850342</v>
      </c>
      <c r="F6" t="n">
        <v>7633</v>
      </c>
      <c r="G6" t="n">
        <v>-38936</v>
      </c>
      <c r="H6">
        <f>D6*F6</f>
        <v/>
      </c>
      <c r="I6">
        <f>E6*G6</f>
        <v/>
      </c>
      <c r="J6">
        <f>H6-I6</f>
        <v/>
      </c>
      <c r="K6" t="n">
        <v>0.02</v>
      </c>
      <c r="L6" t="n">
        <v>3981.880834982135</v>
      </c>
      <c r="M6" t="n">
        <v>-3417.630396372807</v>
      </c>
      <c r="N6" t="n">
        <v>262.1560850797389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AAPU</t>
        </is>
      </c>
      <c r="C7" t="inlineStr">
        <is>
          <t>AAPL</t>
        </is>
      </c>
      <c r="D7" t="n">
        <v>128.6666717529297</v>
      </c>
      <c r="E7" t="n">
        <v>-12.97038173675537</v>
      </c>
      <c r="F7" t="n">
        <v>7633</v>
      </c>
      <c r="G7" t="n">
        <v>-38936</v>
      </c>
      <c r="H7">
        <f>D7*F7</f>
        <v/>
      </c>
      <c r="I7">
        <f>E7*G7</f>
        <v/>
      </c>
      <c r="J7">
        <f>H7-I7</f>
        <v/>
      </c>
      <c r="K7" t="n">
        <v>0.02</v>
      </c>
      <c r="L7" t="n">
        <v>4357.455250391723</v>
      </c>
      <c r="M7" t="n">
        <v>-3417.524921549089</v>
      </c>
      <c r="N7" t="n">
        <v>225.2240062088321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AAPU</t>
        </is>
      </c>
      <c r="C8" t="inlineStr">
        <is>
          <t>AAPL</t>
        </is>
      </c>
      <c r="D8" t="n">
        <v>131.3831634521484</v>
      </c>
      <c r="E8" t="n">
        <v>-13.35663414001465</v>
      </c>
      <c r="F8" t="n">
        <v>7633</v>
      </c>
      <c r="G8" t="n">
        <v>-38936</v>
      </c>
      <c r="H8">
        <f>D8*F8</f>
        <v/>
      </c>
      <c r="I8">
        <f>E8*G8</f>
        <v/>
      </c>
      <c r="J8">
        <f>H8-I8</f>
        <v/>
      </c>
      <c r="K8" t="n">
        <v>0.02</v>
      </c>
      <c r="L8" t="n">
        <v>20735.85424919777</v>
      </c>
      <c r="M8" t="n">
        <v>-14239.62857599692</v>
      </c>
      <c r="N8" t="n">
        <v>139.5326473844569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AAPU</t>
        </is>
      </c>
      <c r="C9" t="inlineStr">
        <is>
          <t>AAPL</t>
        </is>
      </c>
      <c r="D9" t="n">
        <v>131.3043975830078</v>
      </c>
      <c r="E9" t="n">
        <v>-13.35663414001465</v>
      </c>
      <c r="F9" t="n">
        <v>7633</v>
      </c>
      <c r="G9" t="n">
        <v>-38936</v>
      </c>
      <c r="H9">
        <f>D9*F9</f>
        <v/>
      </c>
      <c r="I9">
        <f>E9*G9</f>
        <v/>
      </c>
      <c r="J9">
        <f>H9-I9</f>
        <v/>
      </c>
      <c r="K9" t="n">
        <v>0.02</v>
      </c>
      <c r="L9" t="n">
        <v>-601.2451953308405</v>
      </c>
      <c r="M9" t="n">
        <v>0</v>
      </c>
      <c r="N9" t="n">
        <v>193.7429576535058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AAPU</t>
        </is>
      </c>
      <c r="C10" t="inlineStr">
        <is>
          <t>AAPL</t>
        </is>
      </c>
      <c r="D10" t="n">
        <v>132.6330718994141</v>
      </c>
      <c r="E10" t="n">
        <v>-13.51885890960693</v>
      </c>
      <c r="F10" t="n">
        <v>7633</v>
      </c>
      <c r="G10" t="n">
        <v>-38936</v>
      </c>
      <c r="H10">
        <f>D10*F10</f>
        <v/>
      </c>
      <c r="I10">
        <f>E10*G10</f>
        <v/>
      </c>
      <c r="J10">
        <f>H10-I10</f>
        <v/>
      </c>
      <c r="K10" t="n">
        <v>0.02</v>
      </c>
      <c r="L10" t="n">
        <v>10142.19810705701</v>
      </c>
      <c r="M10" t="n">
        <v>-5980.598296161761</v>
      </c>
      <c r="N10" t="n">
        <v>185.9676390437629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AAPU</t>
        </is>
      </c>
      <c r="C11" t="inlineStr">
        <is>
          <t>AAPL</t>
        </is>
      </c>
      <c r="D11" t="n">
        <v>133.7944793701172</v>
      </c>
      <c r="E11" t="n">
        <v>-13.7197093963623</v>
      </c>
      <c r="F11" t="n">
        <v>7658</v>
      </c>
      <c r="G11" t="n">
        <v>-37829</v>
      </c>
      <c r="H11">
        <f>D11*F11</f>
        <v/>
      </c>
      <c r="I11">
        <f>E11*G11</f>
        <v/>
      </c>
      <c r="J11">
        <f>H11-I11</f>
        <v/>
      </c>
      <c r="K11" t="n">
        <v>0.02</v>
      </c>
      <c r="L11" t="n">
        <v>8894.43292185992</v>
      </c>
      <c r="M11" t="n">
        <v>-7194.057142151902</v>
      </c>
      <c r="N11" t="n">
        <v>112.1319180892799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AAPU</t>
        </is>
      </c>
      <c r="C12" t="inlineStr">
        <is>
          <t>AAPL</t>
        </is>
      </c>
      <c r="D12" t="n">
        <v>133.0759887695312</v>
      </c>
      <c r="E12" t="n">
        <v>-13.59610843658447</v>
      </c>
      <c r="F12" t="n">
        <v>7658</v>
      </c>
      <c r="G12" t="n">
        <v>-37829</v>
      </c>
      <c r="H12">
        <f>D12*F12</f>
        <v/>
      </c>
      <c r="I12">
        <f>E12*G12</f>
        <v/>
      </c>
      <c r="J12">
        <f>H12-I12</f>
        <v/>
      </c>
      <c r="K12" t="n">
        <v>0.02</v>
      </c>
      <c r="L12" t="n">
        <v>-5502.432706093728</v>
      </c>
      <c r="M12" t="n">
        <v>4427.135735795093</v>
      </c>
      <c r="N12" t="n">
        <v>-154.46664417739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AAPU</t>
        </is>
      </c>
      <c r="C13" t="inlineStr">
        <is>
          <t>AAPL</t>
        </is>
      </c>
      <c r="D13" t="n">
        <v>133.1350402832031</v>
      </c>
      <c r="E13" t="n">
        <v>-13.61928462982178</v>
      </c>
      <c r="F13" t="n">
        <v>7658</v>
      </c>
      <c r="G13" t="n">
        <v>-37829</v>
      </c>
      <c r="H13">
        <f>D13*F13</f>
        <v/>
      </c>
      <c r="I13">
        <f>E13*G13</f>
        <v/>
      </c>
      <c r="J13">
        <f>H13-I13</f>
        <v/>
      </c>
      <c r="K13" t="n">
        <v>0.02</v>
      </c>
      <c r="L13" t="n">
        <v>452.2355336416151</v>
      </c>
      <c r="M13" t="n">
        <v>-830.124244059198</v>
      </c>
      <c r="N13" t="n">
        <v>-6.112090497180604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AAPU</t>
        </is>
      </c>
      <c r="C14" t="inlineStr">
        <is>
          <t>AAPL</t>
        </is>
      </c>
      <c r="D14" t="n">
        <v>135.6939849853516</v>
      </c>
      <c r="E14" t="n">
        <v>-14.01326179504395</v>
      </c>
      <c r="F14" t="n">
        <v>7658</v>
      </c>
      <c r="G14" t="n">
        <v>-37829</v>
      </c>
      <c r="H14">
        <f>D14*F14</f>
        <v/>
      </c>
      <c r="I14">
        <f>E14*G14</f>
        <v/>
      </c>
      <c r="J14">
        <f>H14-I14</f>
        <v/>
      </c>
      <c r="K14" t="n">
        <v>0.02</v>
      </c>
      <c r="L14" t="n">
        <v>19597.2236946511</v>
      </c>
      <c r="M14" t="n">
        <v>-14111.46313408426</v>
      </c>
      <c r="N14" t="n">
        <v>352.1522440484214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AAPU</t>
        </is>
      </c>
      <c r="C15" t="inlineStr">
        <is>
          <t>AAPL</t>
        </is>
      </c>
      <c r="D15" t="n">
        <v>138.8828582763672</v>
      </c>
      <c r="E15" t="n">
        <v>-14.46904182434082</v>
      </c>
      <c r="F15" t="n">
        <v>7658</v>
      </c>
      <c r="G15" t="n">
        <v>-37829</v>
      </c>
      <c r="H15">
        <f>D15*F15</f>
        <v/>
      </c>
      <c r="I15">
        <f>E15*G15</f>
        <v/>
      </c>
      <c r="J15">
        <f>H15-I15</f>
        <v/>
      </c>
      <c r="K15" t="n">
        <v>0.02</v>
      </c>
      <c r="L15" t="n">
        <v>24421.41995700945</v>
      </c>
      <c r="M15" t="n">
        <v>-16325.11639868208</v>
      </c>
      <c r="N15" t="n">
        <v>239.6588873356517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AAPU</t>
        </is>
      </c>
      <c r="C16" t="inlineStr">
        <is>
          <t>AAPL</t>
        </is>
      </c>
      <c r="D16" t="n">
        <v>140.2804412841797</v>
      </c>
      <c r="E16" t="n">
        <v>-14.72396850585938</v>
      </c>
      <c r="F16" t="n">
        <v>7658</v>
      </c>
      <c r="G16" t="n">
        <v>-37829</v>
      </c>
      <c r="H16">
        <f>D16*F16</f>
        <v/>
      </c>
      <c r="I16">
        <f>E16*G16</f>
        <v/>
      </c>
      <c r="J16">
        <f>H16-I16</f>
        <v/>
      </c>
      <c r="K16" t="n">
        <v>0.02</v>
      </c>
      <c r="L16" t="n">
        <v>10703.1413429723</v>
      </c>
      <c r="M16" t="n">
        <v>-9130.956780489845</v>
      </c>
      <c r="N16" t="n">
        <v>-19.77275802123654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AAPU</t>
        </is>
      </c>
      <c r="C17" t="inlineStr">
        <is>
          <t>AAPL</t>
        </is>
      </c>
      <c r="D17" t="n">
        <v>139.6210479736328</v>
      </c>
      <c r="E17" t="n">
        <v>-14.56946754455566</v>
      </c>
      <c r="F17" t="n">
        <v>7658</v>
      </c>
      <c r="G17" t="n">
        <v>-37829</v>
      </c>
      <c r="H17">
        <f>D17*F17</f>
        <v/>
      </c>
      <c r="I17">
        <f>E17*G17</f>
        <v/>
      </c>
      <c r="J17">
        <f>H17-I17</f>
        <v/>
      </c>
      <c r="K17" t="n">
        <v>0.02</v>
      </c>
      <c r="L17" t="n">
        <v>-5049.846602270995</v>
      </c>
      <c r="M17" t="n">
        <v>5533.911130073839</v>
      </c>
      <c r="N17" t="n">
        <v>6.155115002113897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AAPU</t>
        </is>
      </c>
      <c r="C18" t="inlineStr">
        <is>
          <t>AAPL</t>
        </is>
      </c>
      <c r="D18" t="n">
        <v>141.6878967285156</v>
      </c>
      <c r="E18" t="n">
        <v>-14.90164470672607</v>
      </c>
      <c r="F18" t="n">
        <v>7658</v>
      </c>
      <c r="G18" t="n">
        <v>-37829</v>
      </c>
      <c r="H18">
        <f>D18*F18</f>
        <v/>
      </c>
      <c r="I18">
        <f>E18*G18</f>
        <v/>
      </c>
      <c r="J18">
        <f>H18-I18</f>
        <v/>
      </c>
      <c r="K18" t="n">
        <v>0.02</v>
      </c>
      <c r="L18" t="n">
        <v>15828.59424763764</v>
      </c>
      <c r="M18" t="n">
        <v>-11897.91234552676</v>
      </c>
      <c r="N18" t="n">
        <v>224.5420705661524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AAPU</t>
        </is>
      </c>
      <c r="C19" t="inlineStr">
        <is>
          <t>AAPL</t>
        </is>
      </c>
      <c r="D19" t="n">
        <v>143.6267852783203</v>
      </c>
      <c r="E19" t="n">
        <v>-15.20292472839355</v>
      </c>
      <c r="F19" t="n">
        <v>7658</v>
      </c>
      <c r="G19" t="n">
        <v>-37829</v>
      </c>
      <c r="H19">
        <f>D19*F19</f>
        <v/>
      </c>
      <c r="I19">
        <f>E19*G19</f>
        <v/>
      </c>
      <c r="J19">
        <f>H19-I19</f>
        <v/>
      </c>
      <c r="K19" t="n">
        <v>0.02</v>
      </c>
      <c r="L19" t="n">
        <v>14848.63373468711</v>
      </c>
      <c r="M19" t="n">
        <v>-10791.23942728835</v>
      </c>
      <c r="N19" t="n">
        <v>362.5486777565584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AAPU</t>
        </is>
      </c>
      <c r="C20" t="inlineStr">
        <is>
          <t>AAPL</t>
        </is>
      </c>
      <c r="D20" t="n">
        <v>140.7430267333984</v>
      </c>
      <c r="E20" t="n">
        <v>-14.75486850738525</v>
      </c>
      <c r="F20" t="n">
        <v>7503</v>
      </c>
      <c r="G20" t="n">
        <v>-35693</v>
      </c>
      <c r="H20">
        <f>D20*F20</f>
        <v/>
      </c>
      <c r="I20">
        <f>E20*G20</f>
        <v/>
      </c>
      <c r="J20">
        <f>H20-I20</f>
        <v/>
      </c>
      <c r="K20" t="n">
        <v>0.02</v>
      </c>
      <c r="L20" t="n">
        <v>-21637.75144711868</v>
      </c>
      <c r="M20" t="n">
        <v>15142.29480328249</v>
      </c>
      <c r="N20" t="n">
        <v>-319.8554570149824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AAPU</t>
        </is>
      </c>
      <c r="C21" t="inlineStr">
        <is>
          <t>AAPL</t>
        </is>
      </c>
      <c r="D21" t="n">
        <v>142.0126495361328</v>
      </c>
      <c r="E21" t="n">
        <v>-14.96345043182373</v>
      </c>
      <c r="F21" t="n">
        <v>7503</v>
      </c>
      <c r="G21" t="n">
        <v>-35693</v>
      </c>
      <c r="H21">
        <f>D21*F21</f>
        <v/>
      </c>
      <c r="I21">
        <f>E21*G21</f>
        <v/>
      </c>
      <c r="J21">
        <f>H21-I21</f>
        <v/>
      </c>
      <c r="K21" t="n">
        <v>0.02</v>
      </c>
      <c r="L21" t="n">
        <v>9526.381009095492</v>
      </c>
      <c r="M21" t="n">
        <v>-7049.135448617932</v>
      </c>
      <c r="N21" t="n">
        <v>149.1406183645661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AMZN Price</t>
        </is>
      </c>
      <c r="E1" t="inlineStr">
        <is>
          <t>AMZU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AMZU</t>
        </is>
      </c>
      <c r="C2" t="inlineStr">
        <is>
          <t>AMZN</t>
        </is>
      </c>
      <c r="D2" t="n">
        <v>85.81999969482422</v>
      </c>
      <c r="E2" t="n">
        <v>-11.52647113800049</v>
      </c>
      <c r="F2" t="n">
        <v>27599</v>
      </c>
      <c r="G2" t="n">
        <v>-103312</v>
      </c>
      <c r="H2">
        <f>D2*F2</f>
        <v/>
      </c>
      <c r="I2">
        <f>E2*G2</f>
        <v/>
      </c>
      <c r="J2">
        <f>H2-I2</f>
        <v/>
      </c>
      <c r="K2" t="n">
        <v>-0.0025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AMZU</t>
        </is>
      </c>
      <c r="C3" t="inlineStr">
        <is>
          <t>AMZN</t>
        </is>
      </c>
      <c r="D3" t="n">
        <v>85.13999938964844</v>
      </c>
      <c r="E3" t="n">
        <v>-11.36729431152344</v>
      </c>
      <c r="F3" t="n">
        <v>27599</v>
      </c>
      <c r="G3" t="n">
        <v>-103312</v>
      </c>
      <c r="H3">
        <f>D3*F3</f>
        <v/>
      </c>
      <c r="I3">
        <f>E3*G3</f>
        <v/>
      </c>
      <c r="J3">
        <f>H3-I3</f>
        <v/>
      </c>
      <c r="K3" t="n">
        <v>-0.0025</v>
      </c>
      <c r="L3" t="n">
        <v>0</v>
      </c>
      <c r="M3" t="n">
        <v>0</v>
      </c>
      <c r="N3" t="n">
        <v>-0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AMZU</t>
        </is>
      </c>
      <c r="C4" t="inlineStr">
        <is>
          <t>AMZN</t>
        </is>
      </c>
      <c r="D4" t="n">
        <v>83.12000274658203</v>
      </c>
      <c r="E4" t="n">
        <v>-10.96935081481934</v>
      </c>
      <c r="F4" t="n">
        <v>27599</v>
      </c>
      <c r="G4" t="n">
        <v>-103312</v>
      </c>
      <c r="H4">
        <f>D4*F4</f>
        <v/>
      </c>
      <c r="I4">
        <f>E4*G4</f>
        <v/>
      </c>
      <c r="J4">
        <f>H4-I4</f>
        <v/>
      </c>
      <c r="K4" t="n">
        <v>-0.0025</v>
      </c>
      <c r="L4" t="n">
        <v>-55752.23486952403</v>
      </c>
      <c r="M4" t="n">
        <v>38926.76509543032</v>
      </c>
      <c r="N4" t="n">
        <v>-0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AMZU</t>
        </is>
      </c>
      <c r="C5" t="inlineStr">
        <is>
          <t>AMZN</t>
        </is>
      </c>
      <c r="D5" t="n">
        <v>86.08000183105469</v>
      </c>
      <c r="E5" t="n">
        <v>-11.53771591186523</v>
      </c>
      <c r="F5" t="n">
        <v>27599</v>
      </c>
      <c r="G5" t="n">
        <v>-103312</v>
      </c>
      <c r="H5">
        <f>D5*F5</f>
        <v/>
      </c>
      <c r="I5">
        <f>E5*G5</f>
        <v/>
      </c>
      <c r="J5">
        <f>H5-I5</f>
        <v/>
      </c>
      <c r="K5" t="n">
        <v>-0.0025</v>
      </c>
      <c r="L5" t="n">
        <v>81696.45466369741</v>
      </c>
      <c r="M5" t="n">
        <v>-55597.37702560904</v>
      </c>
      <c r="N5" t="n">
        <v>0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AMZU</t>
        </is>
      </c>
      <c r="C6" t="inlineStr">
        <is>
          <t>AMZN</t>
        </is>
      </c>
      <c r="D6" t="n">
        <v>87.36000061035156</v>
      </c>
      <c r="E6" t="n">
        <v>-11.81714153289795</v>
      </c>
      <c r="F6" t="n">
        <v>27599</v>
      </c>
      <c r="G6" t="n">
        <v>-103312</v>
      </c>
      <c r="H6">
        <f>D6*F6</f>
        <v/>
      </c>
      <c r="I6">
        <f>E6*G6</f>
        <v/>
      </c>
      <c r="J6">
        <f>H6-I6</f>
        <v/>
      </c>
      <c r="K6" t="n">
        <v>-0.0025</v>
      </c>
      <c r="L6" t="n">
        <v>35328.1738467312</v>
      </c>
      <c r="M6" t="n">
        <v>-27333.36667560401</v>
      </c>
      <c r="N6" t="n">
        <v>0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AMZU</t>
        </is>
      </c>
      <c r="C7" t="inlineStr">
        <is>
          <t>AMZN</t>
        </is>
      </c>
      <c r="D7" t="n">
        <v>89.87000274658203</v>
      </c>
      <c r="E7" t="n">
        <v>-12.32754325866699</v>
      </c>
      <c r="F7" t="n">
        <v>27599</v>
      </c>
      <c r="G7" t="n">
        <v>-103312</v>
      </c>
      <c r="H7">
        <f>D7*F7</f>
        <v/>
      </c>
      <c r="I7">
        <f>E7*G7</f>
        <v/>
      </c>
      <c r="J7">
        <f>H7-I7</f>
        <v/>
      </c>
      <c r="K7" t="n">
        <v>-0.0025</v>
      </c>
      <c r="L7" t="n">
        <v>69276.46593001182</v>
      </c>
      <c r="M7" t="n">
        <v>-49927.40991590377</v>
      </c>
      <c r="N7" t="n">
        <v>0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AMZU</t>
        </is>
      </c>
      <c r="C8" t="inlineStr">
        <is>
          <t>AMZN</t>
        </is>
      </c>
      <c r="D8" t="n">
        <v>95.08999633789062</v>
      </c>
      <c r="E8" t="n">
        <v>-13.40025806427002</v>
      </c>
      <c r="F8" t="n">
        <v>27599</v>
      </c>
      <c r="G8" t="n">
        <v>-103312</v>
      </c>
      <c r="H8">
        <f>D8*F8</f>
        <v/>
      </c>
      <c r="I8">
        <f>E8*G8</f>
        <v/>
      </c>
      <c r="J8">
        <f>H8-I8</f>
        <v/>
      </c>
      <c r="K8" t="n">
        <v>-0.0025</v>
      </c>
      <c r="L8" t="n">
        <v>144072.669486352</v>
      </c>
      <c r="M8" t="n">
        <v>-104932.779648234</v>
      </c>
      <c r="N8" t="n">
        <v>0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AMZU</t>
        </is>
      </c>
      <c r="C9" t="inlineStr">
        <is>
          <t>AMZN</t>
        </is>
      </c>
      <c r="D9" t="n">
        <v>95.26999664306641</v>
      </c>
      <c r="E9" t="n">
        <v>-13.4097728729248</v>
      </c>
      <c r="F9" t="n">
        <v>27599</v>
      </c>
      <c r="G9" t="n">
        <v>-103312</v>
      </c>
      <c r="H9">
        <f>D9*F9</f>
        <v/>
      </c>
      <c r="I9">
        <f>E9*G9</f>
        <v/>
      </c>
      <c r="J9">
        <f>H9-I9</f>
        <v/>
      </c>
      <c r="K9" t="n">
        <v>-0.0025</v>
      </c>
      <c r="L9" t="n">
        <v>4968.037607979455</v>
      </c>
      <c r="M9" t="n">
        <v>-930.7369626602864</v>
      </c>
      <c r="N9" t="n">
        <v>0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AMZU</t>
        </is>
      </c>
      <c r="C10" t="inlineStr">
        <is>
          <t>AMZN</t>
        </is>
      </c>
      <c r="D10" t="n">
        <v>98.12000274658203</v>
      </c>
      <c r="E10" t="n">
        <v>-14.0231237411499</v>
      </c>
      <c r="F10" t="n">
        <v>27599</v>
      </c>
      <c r="G10" t="n">
        <v>-103312</v>
      </c>
      <c r="H10">
        <f>D10*F10</f>
        <v/>
      </c>
      <c r="I10">
        <f>E10*G10</f>
        <v/>
      </c>
      <c r="J10">
        <f>H10-I10</f>
        <v/>
      </c>
      <c r="K10" t="n">
        <v>-0.0025</v>
      </c>
      <c r="L10" t="n">
        <v>78660.63055509572</v>
      </c>
      <c r="M10" t="n">
        <v>-59997.8775032725</v>
      </c>
      <c r="N10" t="n">
        <v>0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AMZU</t>
        </is>
      </c>
      <c r="C11" t="inlineStr">
        <is>
          <t>AMZN</t>
        </is>
      </c>
      <c r="D11" t="n">
        <v>96.05000305175781</v>
      </c>
      <c r="E11" t="n">
        <v>-13.59057903289795</v>
      </c>
      <c r="F11" t="n">
        <v>26092</v>
      </c>
      <c r="G11" t="n">
        <v>-91789</v>
      </c>
      <c r="H11">
        <f>D11*F11</f>
        <v/>
      </c>
      <c r="I11">
        <f>E11*G11</f>
        <v/>
      </c>
      <c r="J11">
        <f>H11-I11</f>
        <v/>
      </c>
      <c r="K11" t="n">
        <v>-0.0025</v>
      </c>
      <c r="L11" t="n">
        <v>-54012.70630986355</v>
      </c>
      <c r="M11" t="n">
        <v>37592.20282410794</v>
      </c>
      <c r="N11" t="n">
        <v>0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AMZU</t>
        </is>
      </c>
      <c r="C12" t="inlineStr">
        <is>
          <t>AMZN</t>
        </is>
      </c>
      <c r="D12" t="n">
        <v>95.45999908447266</v>
      </c>
      <c r="E12" t="n">
        <v>-13.45216274261475</v>
      </c>
      <c r="F12" t="n">
        <v>26092</v>
      </c>
      <c r="G12" t="n">
        <v>-91789</v>
      </c>
      <c r="H12">
        <f>D12*F12</f>
        <v/>
      </c>
      <c r="I12">
        <f>E12*G12</f>
        <v/>
      </c>
      <c r="J12">
        <f>H12-I12</f>
        <v/>
      </c>
      <c r="K12" t="n">
        <v>-0.0025</v>
      </c>
      <c r="L12" t="n">
        <v>-15395.03174145813</v>
      </c>
      <c r="M12" t="n">
        <v>12029.67730090888</v>
      </c>
      <c r="N12" t="n">
        <v>-0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AMZU</t>
        </is>
      </c>
      <c r="C13" t="inlineStr">
        <is>
          <t>AMZN</t>
        </is>
      </c>
      <c r="D13" t="n">
        <v>93.68000030517578</v>
      </c>
      <c r="E13" t="n">
        <v>-13.06633377075195</v>
      </c>
      <c r="F13" t="n">
        <v>26092</v>
      </c>
      <c r="G13" t="n">
        <v>-91789</v>
      </c>
      <c r="H13">
        <f>D13*F13</f>
        <v/>
      </c>
      <c r="I13">
        <f>E13*G13</f>
        <v/>
      </c>
      <c r="J13">
        <f>H13-I13</f>
        <v/>
      </c>
      <c r="K13" t="n">
        <v>-0.0025</v>
      </c>
      <c r="L13" t="n">
        <v>-46445.68380298337</v>
      </c>
      <c r="M13" t="n">
        <v>33532.16601423457</v>
      </c>
      <c r="N13" t="n">
        <v>-0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AMZU</t>
        </is>
      </c>
      <c r="C14" t="inlineStr">
        <is>
          <t>AMZN</t>
        </is>
      </c>
      <c r="D14" t="n">
        <v>97.25</v>
      </c>
      <c r="E14" t="n">
        <v>-13.80685043334961</v>
      </c>
      <c r="F14" t="n">
        <v>26092</v>
      </c>
      <c r="G14" t="n">
        <v>-91789</v>
      </c>
      <c r="H14">
        <f>D14*F14</f>
        <v/>
      </c>
      <c r="I14">
        <f>E14*G14</f>
        <v/>
      </c>
      <c r="J14">
        <f>H14-I14</f>
        <v/>
      </c>
      <c r="K14" t="n">
        <v>-0.0025</v>
      </c>
      <c r="L14" t="n">
        <v>93152.35433366451</v>
      </c>
      <c r="M14" t="n">
        <v>-64357.86184393091</v>
      </c>
      <c r="N14" t="n">
        <v>0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AMZU</t>
        </is>
      </c>
      <c r="C15" t="inlineStr">
        <is>
          <t>AMZN</t>
        </is>
      </c>
      <c r="D15" t="n">
        <v>97.51999664306641</v>
      </c>
      <c r="E15" t="n">
        <v>-13.85270023345947</v>
      </c>
      <c r="F15" t="n">
        <v>26092</v>
      </c>
      <c r="G15" t="n">
        <v>-91789</v>
      </c>
      <c r="H15">
        <f>D15*F15</f>
        <v/>
      </c>
      <c r="I15">
        <f>E15*G15</f>
        <v/>
      </c>
      <c r="J15">
        <f>H15-I15</f>
        <v/>
      </c>
      <c r="K15" t="n">
        <v>-0.0025</v>
      </c>
      <c r="L15" t="n">
        <v>7045.04905148464</v>
      </c>
      <c r="M15" t="n">
        <v>-3984.778803884498</v>
      </c>
      <c r="N15" t="n">
        <v>0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AMZU</t>
        </is>
      </c>
      <c r="C16" t="inlineStr">
        <is>
          <t>AMZN</t>
        </is>
      </c>
      <c r="D16" t="n">
        <v>96.31999969482422</v>
      </c>
      <c r="E16" t="n">
        <v>-13.62518215179443</v>
      </c>
      <c r="F16" t="n">
        <v>26092</v>
      </c>
      <c r="G16" t="n">
        <v>-91789</v>
      </c>
      <c r="H16">
        <f>D16*F16</f>
        <v/>
      </c>
      <c r="I16">
        <f>E16*G16</f>
        <v/>
      </c>
      <c r="J16">
        <f>H16-I16</f>
        <v/>
      </c>
      <c r="K16" t="n">
        <v>-0.0025</v>
      </c>
      <c r="L16" t="n">
        <v>-31311.63878922301</v>
      </c>
      <c r="M16" t="n">
        <v>19773.46089071125</v>
      </c>
      <c r="N16" t="n">
        <v>-0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AMZU</t>
        </is>
      </c>
      <c r="C17" t="inlineStr">
        <is>
          <t>AMZN</t>
        </is>
      </c>
      <c r="D17" t="n">
        <v>97.18000030517578</v>
      </c>
      <c r="E17" t="n">
        <v>-13.7584056854248</v>
      </c>
      <c r="F17" t="n">
        <v>26092</v>
      </c>
      <c r="G17" t="n">
        <v>-91789</v>
      </c>
      <c r="H17">
        <f>D17*F17</f>
        <v/>
      </c>
      <c r="I17">
        <f>E17*G17</f>
        <v/>
      </c>
      <c r="J17">
        <f>H17-I17</f>
        <v/>
      </c>
      <c r="K17" t="n">
        <v>-0.0025</v>
      </c>
      <c r="L17" t="n">
        <v>22440.08079294277</v>
      </c>
      <c r="M17" t="n">
        <v>-11578.37791477515</v>
      </c>
      <c r="N17" t="n">
        <v>0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AMZU</t>
        </is>
      </c>
      <c r="C18" t="inlineStr">
        <is>
          <t>AMZN</t>
        </is>
      </c>
      <c r="D18" t="n">
        <v>99.22000122070312</v>
      </c>
      <c r="E18" t="n">
        <v>-14.20479202270508</v>
      </c>
      <c r="F18" t="n">
        <v>26092</v>
      </c>
      <c r="G18" t="n">
        <v>-91789</v>
      </c>
      <c r="H18">
        <f>D18*F18</f>
        <v/>
      </c>
      <c r="I18">
        <f>E18*G18</f>
        <v/>
      </c>
      <c r="J18">
        <f>H18-I18</f>
        <v/>
      </c>
      <c r="K18" t="n">
        <v>-0.0025</v>
      </c>
      <c r="L18" t="n">
        <v>53229.94520131463</v>
      </c>
      <c r="M18" t="n">
        <v>-38795.17055419883</v>
      </c>
      <c r="N18" t="n">
        <v>0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AMZU</t>
        </is>
      </c>
      <c r="C19" t="inlineStr">
        <is>
          <t>AMZN</t>
        </is>
      </c>
      <c r="D19" t="n">
        <v>102.2399978637695</v>
      </c>
      <c r="E19" t="n">
        <v>-14.84495735168457</v>
      </c>
      <c r="F19" t="n">
        <v>26092</v>
      </c>
      <c r="G19" t="n">
        <v>-91789</v>
      </c>
      <c r="H19">
        <f>D19*F19</f>
        <v/>
      </c>
      <c r="I19">
        <f>E19*G19</f>
        <v/>
      </c>
      <c r="J19">
        <f>H19-I19</f>
        <v/>
      </c>
      <c r="K19" t="n">
        <v>-0.0025</v>
      </c>
      <c r="L19" t="n">
        <v>78801.07042845307</v>
      </c>
      <c r="M19" t="n">
        <v>-55636.38724240523</v>
      </c>
      <c r="N19" t="n">
        <v>0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AMZU</t>
        </is>
      </c>
      <c r="C20" t="inlineStr">
        <is>
          <t>AMZN</t>
        </is>
      </c>
      <c r="D20" t="n">
        <v>100.5500030517578</v>
      </c>
      <c r="E20" t="n">
        <v>-14.49027252197266</v>
      </c>
      <c r="F20" t="n">
        <v>26570</v>
      </c>
      <c r="G20" t="n">
        <v>-92003</v>
      </c>
      <c r="H20">
        <f>D20*F20</f>
        <v/>
      </c>
      <c r="I20">
        <f>E20*G20</f>
        <v/>
      </c>
      <c r="J20">
        <f>H20-I20</f>
        <v/>
      </c>
      <c r="K20" t="n">
        <v>-0.0025</v>
      </c>
      <c r="L20" t="n">
        <v>-44905.05293853248</v>
      </c>
      <c r="M20" t="n">
        <v>30897.31467705332</v>
      </c>
      <c r="N20" t="n">
        <v>-0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AMZU</t>
        </is>
      </c>
      <c r="C21" t="inlineStr">
        <is>
          <t>AMZN</t>
        </is>
      </c>
      <c r="D21" t="n">
        <v>103.129997253418</v>
      </c>
      <c r="E21" t="n">
        <v>-15.03527736663818</v>
      </c>
      <c r="F21" t="n">
        <v>26570</v>
      </c>
      <c r="G21" t="n">
        <v>-92003</v>
      </c>
      <c r="H21">
        <f>D21*F21</f>
        <v/>
      </c>
      <c r="I21">
        <f>E21*G21</f>
        <v/>
      </c>
      <c r="J21">
        <f>H21-I21</f>
        <v/>
      </c>
      <c r="K21" t="n">
        <v>-0.0025</v>
      </c>
      <c r="L21" t="n">
        <v>68553.33246185894</v>
      </c>
      <c r="M21" t="n">
        <v>-47476.47707353783</v>
      </c>
      <c r="N21" t="n">
        <v>0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ARKK Price</t>
        </is>
      </c>
      <c r="E1" t="inlineStr">
        <is>
          <t>TARK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TARK</t>
        </is>
      </c>
      <c r="C2" t="inlineStr">
        <is>
          <t>ARKK</t>
        </is>
      </c>
      <c r="D2" t="n">
        <v>30.20806884765625</v>
      </c>
      <c r="E2" t="n">
        <v>-15.6141881942749</v>
      </c>
      <c r="F2" t="n">
        <v>20537</v>
      </c>
      <c r="G2" t="n">
        <v>-20077</v>
      </c>
      <c r="H2">
        <f>D2*F2</f>
        <v/>
      </c>
      <c r="I2">
        <f>E2*G2</f>
        <v/>
      </c>
      <c r="J2">
        <f>H2-I2</f>
        <v/>
      </c>
      <c r="K2" t="n">
        <v>-0.02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TARK</t>
        </is>
      </c>
      <c r="C3" t="inlineStr">
        <is>
          <t>ARKK</t>
        </is>
      </c>
      <c r="D3" t="n">
        <v>31.51715278625488</v>
      </c>
      <c r="E3" t="n">
        <v>-16.97279357910156</v>
      </c>
      <c r="F3" t="n">
        <v>20537</v>
      </c>
      <c r="G3" t="n">
        <v>-20077</v>
      </c>
      <c r="H3">
        <f>D3*F3</f>
        <v/>
      </c>
      <c r="I3">
        <f>E3*G3</f>
        <v/>
      </c>
      <c r="J3">
        <f>H3-I3</f>
        <v/>
      </c>
      <c r="K3" t="n">
        <v>-0.02</v>
      </c>
      <c r="L3" t="n">
        <v>0</v>
      </c>
      <c r="M3" t="n">
        <v>0</v>
      </c>
      <c r="N3" t="n">
        <v>-0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TARK</t>
        </is>
      </c>
      <c r="C4" t="inlineStr">
        <is>
          <t>ARKK</t>
        </is>
      </c>
      <c r="D4" t="n">
        <v>30.7634391784668</v>
      </c>
      <c r="E4" t="n">
        <v>-16.05270004272461</v>
      </c>
      <c r="F4" t="n">
        <v>20537</v>
      </c>
      <c r="G4" t="n">
        <v>-20077</v>
      </c>
      <c r="H4">
        <f>D4*F4</f>
        <v/>
      </c>
      <c r="I4">
        <f>E4*G4</f>
        <v/>
      </c>
      <c r="J4">
        <f>H4-I4</f>
        <v/>
      </c>
      <c r="K4" t="n">
        <v>-0.02</v>
      </c>
      <c r="L4" t="n">
        <v>-15479.66815391969</v>
      </c>
      <c r="M4" t="n">
        <v>17490.6895889217</v>
      </c>
      <c r="N4" t="n">
        <v>-0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TARK</t>
        </is>
      </c>
      <c r="C5" t="inlineStr">
        <is>
          <t>ARKK</t>
        </is>
      </c>
      <c r="D5" t="n">
        <v>31.11054420471191</v>
      </c>
      <c r="E5" t="n">
        <v>-16.42073822021484</v>
      </c>
      <c r="F5" t="n">
        <v>20537</v>
      </c>
      <c r="G5" t="n">
        <v>-20077</v>
      </c>
      <c r="H5">
        <f>D5*F5</f>
        <v/>
      </c>
      <c r="I5">
        <f>E5*G5</f>
        <v/>
      </c>
      <c r="J5">
        <f>H5-I5</f>
        <v/>
      </c>
      <c r="K5" t="n">
        <v>-0.02</v>
      </c>
      <c r="L5" t="n">
        <v>7128.796090865709</v>
      </c>
      <c r="M5" t="n">
        <v>-6996.290338808429</v>
      </c>
      <c r="N5" t="n">
        <v>0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TARK</t>
        </is>
      </c>
      <c r="C6" t="inlineStr">
        <is>
          <t>ARKK</t>
        </is>
      </c>
      <c r="D6" t="n">
        <v>32.53863525390625</v>
      </c>
      <c r="E6" t="n">
        <v>-17.93987083435059</v>
      </c>
      <c r="F6" t="n">
        <v>20537</v>
      </c>
      <c r="G6" t="n">
        <v>-20077</v>
      </c>
      <c r="H6">
        <f>D6*F6</f>
        <v/>
      </c>
      <c r="I6">
        <f>E6*G6</f>
        <v/>
      </c>
      <c r="J6">
        <f>H6-I6</f>
        <v/>
      </c>
      <c r="K6" t="n">
        <v>-0.02</v>
      </c>
      <c r="L6" t="n">
        <v>29329.94085112331</v>
      </c>
      <c r="M6" t="n">
        <v>-28878.23460088919</v>
      </c>
      <c r="N6" t="n">
        <v>0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TARK</t>
        </is>
      </c>
      <c r="C7" t="inlineStr">
        <is>
          <t>ARKK</t>
        </is>
      </c>
      <c r="D7" t="n">
        <v>33.34193420410156</v>
      </c>
      <c r="E7" t="n">
        <v>-18.72293090820312</v>
      </c>
      <c r="F7" t="n">
        <v>20537</v>
      </c>
      <c r="G7" t="n">
        <v>-20077</v>
      </c>
      <c r="H7">
        <f>D7*F7</f>
        <v/>
      </c>
      <c r="I7">
        <f>E7*G7</f>
        <v/>
      </c>
      <c r="J7">
        <f>H7-I7</f>
        <v/>
      </c>
      <c r="K7" t="n">
        <v>-0.02</v>
      </c>
      <c r="L7" t="n">
        <v>16498.04521097576</v>
      </c>
      <c r="M7" t="n">
        <v>-14885.72643947108</v>
      </c>
      <c r="N7" t="n">
        <v>0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TARK</t>
        </is>
      </c>
      <c r="C8" t="inlineStr">
        <is>
          <t>ARKK</t>
        </is>
      </c>
      <c r="D8" t="n">
        <v>34.47250366210938</v>
      </c>
      <c r="E8" t="n">
        <v>-20.12460517883301</v>
      </c>
      <c r="F8" t="n">
        <v>20537</v>
      </c>
      <c r="G8" t="n">
        <v>-20077</v>
      </c>
      <c r="H8">
        <f>D8*F8</f>
        <v/>
      </c>
      <c r="I8">
        <f>E8*G8</f>
        <v/>
      </c>
      <c r="J8">
        <f>H8-I8</f>
        <v/>
      </c>
      <c r="K8" t="n">
        <v>-0.02</v>
      </c>
      <c r="L8" t="n">
        <v>23219.48264444538</v>
      </c>
      <c r="M8" t="n">
        <v>-26645.38832530331</v>
      </c>
      <c r="N8" t="n">
        <v>0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TARK</t>
        </is>
      </c>
      <c r="C9" t="inlineStr">
        <is>
          <t>ARKK</t>
        </is>
      </c>
      <c r="D9" t="n">
        <v>35.19646835327148</v>
      </c>
      <c r="E9" t="n">
        <v>-20.95856094360352</v>
      </c>
      <c r="F9" t="n">
        <v>20537</v>
      </c>
      <c r="G9" t="n">
        <v>-20077</v>
      </c>
      <c r="H9">
        <f>D9*F9</f>
        <v/>
      </c>
      <c r="I9">
        <f>E9*G9</f>
        <v/>
      </c>
      <c r="J9">
        <f>H9-I9</f>
        <v/>
      </c>
      <c r="K9" t="n">
        <v>-0.02</v>
      </c>
      <c r="L9" t="n">
        <v>14868.68892712799</v>
      </c>
      <c r="M9" t="n">
        <v>-15853.23756313926</v>
      </c>
      <c r="N9" t="n">
        <v>0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TARK</t>
        </is>
      </c>
      <c r="C10" t="inlineStr">
        <is>
          <t>ARKK</t>
        </is>
      </c>
      <c r="D10" t="n">
        <v>35.69233322143555</v>
      </c>
      <c r="E10" t="n">
        <v>-21.46755218505859</v>
      </c>
      <c r="F10" t="n">
        <v>20537</v>
      </c>
      <c r="G10" t="n">
        <v>-20077</v>
      </c>
      <c r="H10">
        <f>D10*F10</f>
        <v/>
      </c>
      <c r="I10">
        <f>E10*G10</f>
        <v/>
      </c>
      <c r="J10">
        <f>H10-I10</f>
        <v/>
      </c>
      <c r="K10" t="n">
        <v>-0.02</v>
      </c>
      <c r="L10" t="n">
        <v>10184.00560777052</v>
      </c>
      <c r="M10" t="n">
        <v>-9675.763882470483</v>
      </c>
      <c r="N10" t="n">
        <v>0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TARK</t>
        </is>
      </c>
      <c r="C11" t="inlineStr">
        <is>
          <t>ARKK</t>
        </is>
      </c>
      <c r="D11" t="n">
        <v>36.73364639282227</v>
      </c>
      <c r="E11" t="n">
        <v>-22.7870044708252</v>
      </c>
      <c r="F11" t="n">
        <v>18788</v>
      </c>
      <c r="G11" t="n">
        <v>-15784</v>
      </c>
      <c r="H11">
        <f>D11*F11</f>
        <v/>
      </c>
      <c r="I11">
        <f>E11*G11</f>
        <v/>
      </c>
      <c r="J11">
        <f>H11-I11</f>
        <v/>
      </c>
      <c r="K11" t="n">
        <v>-0.02</v>
      </c>
      <c r="L11" t="n">
        <v>19565.01567345305</v>
      </c>
      <c r="M11" t="n">
        <v>-19719.0911997903</v>
      </c>
      <c r="N11" t="n">
        <v>0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TARK</t>
        </is>
      </c>
      <c r="C12" t="inlineStr">
        <is>
          <t>ARKK</t>
        </is>
      </c>
      <c r="D12" t="n">
        <v>35.65266418457031</v>
      </c>
      <c r="E12" t="n">
        <v>-21.48321151733398</v>
      </c>
      <c r="F12" t="n">
        <v>18788</v>
      </c>
      <c r="G12" t="n">
        <v>-15784</v>
      </c>
      <c r="H12">
        <f>D12*F12</f>
        <v/>
      </c>
      <c r="I12">
        <f>E12*G12</f>
        <v/>
      </c>
      <c r="J12">
        <f>H12-I12</f>
        <v/>
      </c>
      <c r="K12" t="n">
        <v>-0.02</v>
      </c>
      <c r="L12" t="n">
        <v>-20310.34892126507</v>
      </c>
      <c r="M12" t="n">
        <v>19485.06394120941</v>
      </c>
      <c r="N12" t="n">
        <v>-0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TARK</t>
        </is>
      </c>
      <c r="C13" t="inlineStr">
        <is>
          <t>ARKK</t>
        </is>
      </c>
      <c r="D13" t="n">
        <v>34.50225830078125</v>
      </c>
      <c r="E13" t="n">
        <v>-20.0267219543457</v>
      </c>
      <c r="F13" t="n">
        <v>18788</v>
      </c>
      <c r="G13" t="n">
        <v>-15784</v>
      </c>
      <c r="H13">
        <f>D13*F13</f>
        <v/>
      </c>
      <c r="I13">
        <f>E13*G13</f>
        <v/>
      </c>
      <c r="J13">
        <f>H13-I13</f>
        <v/>
      </c>
      <c r="K13" t="n">
        <v>-0.02</v>
      </c>
      <c r="L13" t="n">
        <v>-21614.7358600987</v>
      </c>
      <c r="M13" t="n">
        <v>21767.10051127158</v>
      </c>
      <c r="N13" t="n">
        <v>-0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TARK</t>
        </is>
      </c>
      <c r="C14" t="inlineStr">
        <is>
          <t>ARKK</t>
        </is>
      </c>
      <c r="D14" t="n">
        <v>36.19811248779297</v>
      </c>
      <c r="E14" t="n">
        <v>-21.97653961181641</v>
      </c>
      <c r="F14" t="n">
        <v>18788</v>
      </c>
      <c r="G14" t="n">
        <v>-15784</v>
      </c>
      <c r="H14">
        <f>D14*F14</f>
        <v/>
      </c>
      <c r="I14">
        <f>E14*G14</f>
        <v/>
      </c>
      <c r="J14">
        <f>H14-I14</f>
        <v/>
      </c>
      <c r="K14" t="n">
        <v>-0.02</v>
      </c>
      <c r="L14" t="n">
        <v>31863.05009912644</v>
      </c>
      <c r="M14" t="n">
        <v>-29139.84281613308</v>
      </c>
      <c r="N14" t="n">
        <v>0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TARK</t>
        </is>
      </c>
      <c r="C15" t="inlineStr">
        <is>
          <t>ARKK</t>
        </is>
      </c>
      <c r="D15" t="n">
        <v>37.76504898071289</v>
      </c>
      <c r="E15" t="n">
        <v>-23.84413528442383</v>
      </c>
      <c r="F15" t="n">
        <v>18788</v>
      </c>
      <c r="G15" t="n">
        <v>-15784</v>
      </c>
      <c r="H15">
        <f>D15*F15</f>
        <v/>
      </c>
      <c r="I15">
        <f>E15*G15</f>
        <v/>
      </c>
      <c r="J15">
        <f>H15-I15</f>
        <v/>
      </c>
      <c r="K15" t="n">
        <v>-0.02</v>
      </c>
      <c r="L15" t="n">
        <v>29440.84247245011</v>
      </c>
      <c r="M15" t="n">
        <v>-27911.04293027376</v>
      </c>
      <c r="N15" t="n">
        <v>0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TARK</t>
        </is>
      </c>
      <c r="C16" t="inlineStr">
        <is>
          <t>ARKK</t>
        </is>
      </c>
      <c r="D16" t="n">
        <v>37.17000961303711</v>
      </c>
      <c r="E16" t="n">
        <v>-22.95144653320312</v>
      </c>
      <c r="F16" t="n">
        <v>18788</v>
      </c>
      <c r="G16" t="n">
        <v>-15784</v>
      </c>
      <c r="H16">
        <f>D16*F16</f>
        <v/>
      </c>
      <c r="I16">
        <f>E16*G16</f>
        <v/>
      </c>
      <c r="J16">
        <f>H16-I16</f>
        <v/>
      </c>
      <c r="K16" t="n">
        <v>-0.02</v>
      </c>
      <c r="L16" t="n">
        <v>-11180.07039073043</v>
      </c>
      <c r="M16" t="n">
        <v>13341.15002735443</v>
      </c>
      <c r="N16" t="n">
        <v>-0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TARK</t>
        </is>
      </c>
      <c r="C17" t="inlineStr">
        <is>
          <t>ARKK</t>
        </is>
      </c>
      <c r="D17" t="n">
        <v>37.19975662231445</v>
      </c>
      <c r="E17" t="n">
        <v>-23.18832015991211</v>
      </c>
      <c r="F17" t="n">
        <v>18788</v>
      </c>
      <c r="G17" t="n">
        <v>-15784</v>
      </c>
      <c r="H17">
        <f>D17*F17</f>
        <v/>
      </c>
      <c r="I17">
        <f>E17*G17</f>
        <v/>
      </c>
      <c r="J17">
        <f>H17-I17</f>
        <v/>
      </c>
      <c r="K17" t="n">
        <v>-0.02</v>
      </c>
      <c r="L17" t="n">
        <v>558.9103439213511</v>
      </c>
      <c r="M17" t="n">
        <v>-3540.054231810085</v>
      </c>
      <c r="N17" t="n">
        <v>0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TARK</t>
        </is>
      </c>
      <c r="C18" t="inlineStr">
        <is>
          <t>ARKK</t>
        </is>
      </c>
      <c r="D18" t="n">
        <v>37.95347595214844</v>
      </c>
      <c r="E18" t="n">
        <v>-24.12603378295898</v>
      </c>
      <c r="F18" t="n">
        <v>18788</v>
      </c>
      <c r="G18" t="n">
        <v>-15784</v>
      </c>
      <c r="H18">
        <f>D18*F18</f>
        <v/>
      </c>
      <c r="I18">
        <f>E18*G18</f>
        <v/>
      </c>
      <c r="J18">
        <f>H18-I18</f>
        <v/>
      </c>
      <c r="K18" t="n">
        <v>-0.02</v>
      </c>
      <c r="L18" t="n">
        <v>14161.47505552864</v>
      </c>
      <c r="M18" t="n">
        <v>-14014.04253235571</v>
      </c>
      <c r="N18" t="n">
        <v>0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TARK</t>
        </is>
      </c>
      <c r="C19" t="inlineStr">
        <is>
          <t>ARKK</t>
        </is>
      </c>
      <c r="D19" t="n">
        <v>40.05593872070312</v>
      </c>
      <c r="E19" t="n">
        <v>-26.76102447509766</v>
      </c>
      <c r="F19" t="n">
        <v>18788</v>
      </c>
      <c r="G19" t="n">
        <v>-15784</v>
      </c>
      <c r="H19">
        <f>D19*F19</f>
        <v/>
      </c>
      <c r="I19">
        <f>E19*G19</f>
        <v/>
      </c>
      <c r="J19">
        <f>H19-I19</f>
        <v/>
      </c>
      <c r="K19" t="n">
        <v>-0.02</v>
      </c>
      <c r="L19" t="n">
        <v>39502.73380758717</v>
      </c>
      <c r="M19" t="n">
        <v>-39379.68983750899</v>
      </c>
      <c r="N19" t="n">
        <v>0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TARK</t>
        </is>
      </c>
      <c r="C20" t="inlineStr">
        <is>
          <t>ARKK</t>
        </is>
      </c>
      <c r="D20" t="n">
        <v>38.19148635864258</v>
      </c>
      <c r="E20" t="n">
        <v>-24.18867874145508</v>
      </c>
      <c r="F20" t="n">
        <v>17763</v>
      </c>
      <c r="G20" t="n">
        <v>-13435</v>
      </c>
      <c r="H20">
        <f>D20*F20</f>
        <v/>
      </c>
      <c r="I20">
        <f>E20*G20</f>
        <v/>
      </c>
      <c r="J20">
        <f>H20-I20</f>
        <v/>
      </c>
      <c r="K20" t="n">
        <v>-0.02</v>
      </c>
      <c r="L20" t="n">
        <v>-33119.66185204027</v>
      </c>
      <c r="M20" t="n">
        <v>32722.24887380798</v>
      </c>
      <c r="N20" t="n">
        <v>-0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TARK</t>
        </is>
      </c>
      <c r="C21" t="inlineStr">
        <is>
          <t>ARKK</t>
        </is>
      </c>
      <c r="D21" t="n">
        <v>39.59974670410156</v>
      </c>
      <c r="E21" t="n">
        <v>-26.04844093322754</v>
      </c>
      <c r="F21" t="n">
        <v>17763</v>
      </c>
      <c r="G21" t="n">
        <v>-13435</v>
      </c>
      <c r="H21">
        <f>D21*F21</f>
        <v/>
      </c>
      <c r="I21">
        <f>E21*G21</f>
        <v/>
      </c>
      <c r="J21">
        <f>H21-I21</f>
        <v/>
      </c>
      <c r="K21" t="n">
        <v>-0.02</v>
      </c>
      <c r="L21" t="n">
        <v>25015.98184557119</v>
      </c>
      <c r="M21" t="n">
        <v>-23657.62910069725</v>
      </c>
      <c r="N21" t="n">
        <v>0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ASHR Price</t>
        </is>
      </c>
      <c r="E1" t="inlineStr">
        <is>
          <t>CHAU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CHAU</t>
        </is>
      </c>
      <c r="C2" t="inlineStr">
        <is>
          <t>ASHR</t>
        </is>
      </c>
      <c r="D2" t="n">
        <v>26.66959190368652</v>
      </c>
      <c r="E2" t="n">
        <v>-18.89601707458496</v>
      </c>
      <c r="F2" t="n">
        <v>5713</v>
      </c>
      <c r="G2" t="n">
        <v>-4099</v>
      </c>
      <c r="H2">
        <f>D2*F2</f>
        <v/>
      </c>
      <c r="I2">
        <f>E2*G2</f>
        <v/>
      </c>
      <c r="J2">
        <f>H2-I2</f>
        <v/>
      </c>
      <c r="K2" t="n">
        <v>-0.01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CHAU</t>
        </is>
      </c>
      <c r="C3" t="inlineStr">
        <is>
          <t>ASHR</t>
        </is>
      </c>
      <c r="D3" t="n">
        <v>27.14078712463379</v>
      </c>
      <c r="E3" t="n">
        <v>-19.54665374755859</v>
      </c>
      <c r="F3" t="n">
        <v>5713</v>
      </c>
      <c r="G3" t="n">
        <v>-4099</v>
      </c>
      <c r="H3">
        <f>D3*F3</f>
        <v/>
      </c>
      <c r="I3">
        <f>E3*G3</f>
        <v/>
      </c>
      <c r="J3">
        <f>H3-I3</f>
        <v/>
      </c>
      <c r="K3" t="n">
        <v>-0.01</v>
      </c>
      <c r="L3" t="n">
        <v>0</v>
      </c>
      <c r="M3" t="n">
        <v>0</v>
      </c>
      <c r="N3" t="n">
        <v>-0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CHAU</t>
        </is>
      </c>
      <c r="C4" t="inlineStr">
        <is>
          <t>ASHR</t>
        </is>
      </c>
      <c r="D4" t="n">
        <v>27.47062301635742</v>
      </c>
      <c r="E4" t="n">
        <v>-20.08732604980469</v>
      </c>
      <c r="F4" t="n">
        <v>5713</v>
      </c>
      <c r="G4" t="n">
        <v>-4099</v>
      </c>
      <c r="H4">
        <f>D4*F4</f>
        <v/>
      </c>
      <c r="I4">
        <f>E4*G4</f>
        <v/>
      </c>
      <c r="J4">
        <f>H4-I4</f>
        <v/>
      </c>
      <c r="K4" t="n">
        <v>-0.01</v>
      </c>
      <c r="L4" t="n">
        <v>1884.43179577324</v>
      </c>
      <c r="M4" t="n">
        <v>-2098.399498561248</v>
      </c>
      <c r="N4" t="n">
        <v>-0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CHAU</t>
        </is>
      </c>
      <c r="C5" t="inlineStr">
        <is>
          <t>ASHR</t>
        </is>
      </c>
      <c r="D5" t="n">
        <v>28.00778579711914</v>
      </c>
      <c r="E5" t="n">
        <v>-20.86626243591309</v>
      </c>
      <c r="F5" t="n">
        <v>5713</v>
      </c>
      <c r="G5" t="n">
        <v>-4099</v>
      </c>
      <c r="H5">
        <f>D5*F5</f>
        <v/>
      </c>
      <c r="I5">
        <f>E5*G5</f>
        <v/>
      </c>
      <c r="J5">
        <f>H5-I5</f>
        <v/>
      </c>
      <c r="K5" t="n">
        <v>-0.01</v>
      </c>
      <c r="L5" t="n">
        <v>3068.940188054207</v>
      </c>
      <c r="M5" t="n">
        <v>-3023.124571446979</v>
      </c>
      <c r="N5" t="n">
        <v>0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CHAU</t>
        </is>
      </c>
      <c r="C6" t="inlineStr">
        <is>
          <t>ASHR</t>
        </is>
      </c>
      <c r="D6" t="n">
        <v>28.21511077880859</v>
      </c>
      <c r="E6" t="n">
        <v>-21.12285232543945</v>
      </c>
      <c r="F6" t="n">
        <v>5713</v>
      </c>
      <c r="G6" t="n">
        <v>-3898</v>
      </c>
      <c r="H6">
        <f>D6*F6</f>
        <v/>
      </c>
      <c r="I6">
        <f>E6*G6</f>
        <v/>
      </c>
      <c r="J6">
        <f>H6-I6</f>
        <v/>
      </c>
      <c r="K6" t="n">
        <v>-0.01</v>
      </c>
      <c r="L6" t="n">
        <v>1184.49749513939</v>
      </c>
      <c r="M6" t="n">
        <v>-947.0164176562065</v>
      </c>
      <c r="N6" t="n">
        <v>0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CHAU</t>
        </is>
      </c>
      <c r="C7" t="inlineStr">
        <is>
          <t>ASHR</t>
        </is>
      </c>
      <c r="D7" t="n">
        <v>28.29050254821777</v>
      </c>
      <c r="E7" t="n">
        <v>-21.27863883972168</v>
      </c>
      <c r="F7" t="n">
        <v>5713</v>
      </c>
      <c r="G7" t="n">
        <v>-3898</v>
      </c>
      <c r="H7">
        <f>D7*F7</f>
        <v/>
      </c>
      <c r="I7">
        <f>E7*G7</f>
        <v/>
      </c>
      <c r="J7">
        <f>H7-I7</f>
        <v/>
      </c>
      <c r="K7" t="n">
        <v>-0.01</v>
      </c>
      <c r="L7" t="n">
        <v>430.7313151150405</v>
      </c>
      <c r="M7" t="n">
        <v>-574.9734993340071</v>
      </c>
      <c r="N7" t="n">
        <v>0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CHAU</t>
        </is>
      </c>
      <c r="C8" t="inlineStr">
        <is>
          <t>ASHR</t>
        </is>
      </c>
      <c r="D8" t="n">
        <v>28.36589431762695</v>
      </c>
      <c r="E8" t="n">
        <v>-21.39776802062988</v>
      </c>
      <c r="F8" t="n">
        <v>5713</v>
      </c>
      <c r="G8" t="n">
        <v>-3898</v>
      </c>
      <c r="H8">
        <f>D8*F8</f>
        <v/>
      </c>
      <c r="I8">
        <f>E8*G8</f>
        <v/>
      </c>
      <c r="J8">
        <f>H8-I8</f>
        <v/>
      </c>
      <c r="K8" t="n">
        <v>-0.01</v>
      </c>
      <c r="L8" t="n">
        <v>430.7313151150405</v>
      </c>
      <c r="M8" t="n">
        <v>-439.6794057250318</v>
      </c>
      <c r="N8" t="n">
        <v>0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CHAU</t>
        </is>
      </c>
      <c r="C9" t="inlineStr">
        <is>
          <t>ASHR</t>
        </is>
      </c>
      <c r="D9" t="n">
        <v>28.63918685913086</v>
      </c>
      <c r="E9" t="n">
        <v>-21.77348899841309</v>
      </c>
      <c r="F9" t="n">
        <v>5713</v>
      </c>
      <c r="G9" t="n">
        <v>-3898</v>
      </c>
      <c r="H9">
        <f>D9*F9</f>
        <v/>
      </c>
      <c r="I9">
        <f>E9*G9</f>
        <v/>
      </c>
      <c r="J9">
        <f>H9-I9</f>
        <v/>
      </c>
      <c r="K9" t="n">
        <v>-0.01</v>
      </c>
      <c r="L9" t="n">
        <v>1561.386033722353</v>
      </c>
      <c r="M9" t="n">
        <v>-1386.702862982342</v>
      </c>
      <c r="N9" t="n">
        <v>0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CHAU</t>
        </is>
      </c>
      <c r="C10" t="inlineStr">
        <is>
          <t>ASHR</t>
        </is>
      </c>
      <c r="D10" t="n">
        <v>29.07268524169922</v>
      </c>
      <c r="E10" t="n">
        <v>-22.38747406005859</v>
      </c>
      <c r="F10" t="n">
        <v>5713</v>
      </c>
      <c r="G10" t="n">
        <v>-3898</v>
      </c>
      <c r="H10">
        <f>D10*F10</f>
        <v/>
      </c>
      <c r="I10">
        <f>E10*G10</f>
        <v/>
      </c>
      <c r="J10">
        <f>H10-I10</f>
        <v/>
      </c>
      <c r="K10" t="n">
        <v>-0.01</v>
      </c>
      <c r="L10" t="n">
        <v>2476.680543342934</v>
      </c>
      <c r="M10" t="n">
        <v>-2266.082793235716</v>
      </c>
      <c r="N10" t="n">
        <v>0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CHAU</t>
        </is>
      </c>
      <c r="C11" t="inlineStr">
        <is>
          <t>ASHR</t>
        </is>
      </c>
      <c r="D11" t="n">
        <v>29.19519424438477</v>
      </c>
      <c r="E11" t="n">
        <v>-22.65322685241699</v>
      </c>
      <c r="F11" t="n">
        <v>5665</v>
      </c>
      <c r="G11" t="n">
        <v>-3740</v>
      </c>
      <c r="H11">
        <f>D11*F11</f>
        <v/>
      </c>
      <c r="I11">
        <f>E11*G11</f>
        <v/>
      </c>
      <c r="J11">
        <f>H11-I11</f>
        <v/>
      </c>
      <c r="K11" t="n">
        <v>-0.01</v>
      </c>
      <c r="L11" t="n">
        <v>694.0427237499953</v>
      </c>
      <c r="M11" t="n">
        <v>-941.0778946838144</v>
      </c>
      <c r="N11" t="n">
        <v>0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CHAU</t>
        </is>
      </c>
      <c r="C12" t="inlineStr">
        <is>
          <t>ASHR</t>
        </is>
      </c>
      <c r="D12" t="n">
        <v>28.99729537963867</v>
      </c>
      <c r="E12" t="n">
        <v>-22.38564109802246</v>
      </c>
      <c r="F12" t="n">
        <v>5665</v>
      </c>
      <c r="G12" t="n">
        <v>-3740</v>
      </c>
      <c r="H12">
        <f>D12*F12</f>
        <v/>
      </c>
      <c r="I12">
        <f>E12*G12</f>
        <v/>
      </c>
      <c r="J12">
        <f>H12-I12</f>
        <v/>
      </c>
      <c r="K12" t="n">
        <v>-0.01</v>
      </c>
      <c r="L12" t="n">
        <v>-1121.144275967687</v>
      </c>
      <c r="M12" t="n">
        <v>947.5687391964581</v>
      </c>
      <c r="N12" t="n">
        <v>-0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CHAU</t>
        </is>
      </c>
      <c r="C13" t="inlineStr">
        <is>
          <t>ASHR</t>
        </is>
      </c>
      <c r="D13" t="n">
        <v>29.30828094482422</v>
      </c>
      <c r="E13" t="n">
        <v>-22.75403213500977</v>
      </c>
      <c r="F13" t="n">
        <v>5665</v>
      </c>
      <c r="G13" t="n">
        <v>-3740</v>
      </c>
      <c r="H13">
        <f>D13*F13</f>
        <v/>
      </c>
      <c r="I13">
        <f>E13*G13</f>
        <v/>
      </c>
      <c r="J13">
        <f>H13-I13</f>
        <v/>
      </c>
      <c r="K13" t="n">
        <v>-0.01</v>
      </c>
      <c r="L13" t="n">
        <v>1761.807409879211</v>
      </c>
      <c r="M13" t="n">
        <v>-1304.53817034914</v>
      </c>
      <c r="N13" t="n">
        <v>-0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CHAU</t>
        </is>
      </c>
      <c r="C14" t="inlineStr">
        <is>
          <t>ASHR</t>
        </is>
      </c>
      <c r="D14" t="n">
        <v>29.59099769592285</v>
      </c>
      <c r="E14" t="n">
        <v>-23.21222305297852</v>
      </c>
      <c r="F14" t="n">
        <v>5665</v>
      </c>
      <c r="G14" t="n">
        <v>-3740</v>
      </c>
      <c r="H14">
        <f>D14*F14</f>
        <v/>
      </c>
      <c r="I14">
        <f>E14*G14</f>
        <v/>
      </c>
      <c r="J14">
        <f>H14-I14</f>
        <v/>
      </c>
      <c r="K14" t="n">
        <v>-0.01</v>
      </c>
      <c r="L14" t="n">
        <v>1601.657834778811</v>
      </c>
      <c r="M14" t="n">
        <v>-1622.535517383243</v>
      </c>
      <c r="N14" t="n">
        <v>0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CHAU</t>
        </is>
      </c>
      <c r="C15" t="inlineStr">
        <is>
          <t>ASHR</t>
        </is>
      </c>
      <c r="D15" t="n">
        <v>29.74178123474121</v>
      </c>
      <c r="E15" t="n">
        <v>-23.45965385437012</v>
      </c>
      <c r="F15" t="n">
        <v>5665</v>
      </c>
      <c r="G15" t="n">
        <v>-3740</v>
      </c>
      <c r="H15">
        <f>D15*F15</f>
        <v/>
      </c>
      <c r="I15">
        <f>E15*G15</f>
        <v/>
      </c>
      <c r="J15">
        <f>H15-I15</f>
        <v/>
      </c>
      <c r="K15" t="n">
        <v>-0.01</v>
      </c>
      <c r="L15" t="n">
        <v>854.2247156053578</v>
      </c>
      <c r="M15" t="n">
        <v>-876.1964666000949</v>
      </c>
      <c r="N15" t="n">
        <v>0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CHAU</t>
        </is>
      </c>
      <c r="C16" t="inlineStr">
        <is>
          <t>ASHR</t>
        </is>
      </c>
      <c r="D16" t="n">
        <v>29.7040843963623</v>
      </c>
      <c r="E16" t="n">
        <v>-23.37717628479004</v>
      </c>
      <c r="F16" t="n">
        <v>5665</v>
      </c>
      <c r="G16" t="n">
        <v>-3740</v>
      </c>
      <c r="H16">
        <f>D16*F16</f>
        <v/>
      </c>
      <c r="I16">
        <f>E16*G16</f>
        <v/>
      </c>
      <c r="J16">
        <f>H16-I16</f>
        <v/>
      </c>
      <c r="K16" t="n">
        <v>-0.01</v>
      </c>
      <c r="L16" t="n">
        <v>-213.5615816938332</v>
      </c>
      <c r="M16" t="n">
        <v>292.0677402869247</v>
      </c>
      <c r="N16" t="n">
        <v>-0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CHAU</t>
        </is>
      </c>
      <c r="C17" t="inlineStr">
        <is>
          <t>ASHR</t>
        </is>
      </c>
      <c r="D17" t="n">
        <v>29.89256286621094</v>
      </c>
      <c r="E17" t="n">
        <v>-23.67958831787109</v>
      </c>
      <c r="F17" t="n">
        <v>5665</v>
      </c>
      <c r="G17" t="n">
        <v>-3740</v>
      </c>
      <c r="H17">
        <f>D17*F17</f>
        <v/>
      </c>
      <c r="I17">
        <f>E17*G17</f>
        <v/>
      </c>
      <c r="J17">
        <f>H17-I17</f>
        <v/>
      </c>
      <c r="K17" t="n">
        <v>-0.01</v>
      </c>
      <c r="L17" t="n">
        <v>1067.775491714204</v>
      </c>
      <c r="M17" t="n">
        <v>-1070.894784936686</v>
      </c>
      <c r="N17" t="n">
        <v>0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CHAU</t>
        </is>
      </c>
      <c r="C18" t="inlineStr">
        <is>
          <t>ASHR</t>
        </is>
      </c>
      <c r="D18" t="n">
        <v>30.24124717712402</v>
      </c>
      <c r="E18" t="n">
        <v>-24.23859214782715</v>
      </c>
      <c r="F18" t="n">
        <v>5665</v>
      </c>
      <c r="G18" t="n">
        <v>-3740</v>
      </c>
      <c r="H18">
        <f>D18*F18</f>
        <v/>
      </c>
      <c r="I18">
        <f>E18*G18</f>
        <v/>
      </c>
      <c r="J18">
        <f>H18-I18</f>
        <v/>
      </c>
      <c r="K18" t="n">
        <v>-0.01</v>
      </c>
      <c r="L18" t="n">
        <v>1975.379797158032</v>
      </c>
      <c r="M18" t="n">
        <v>-1979.531965578641</v>
      </c>
      <c r="N18" t="n">
        <v>0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CHAU</t>
        </is>
      </c>
      <c r="C19" t="inlineStr">
        <is>
          <t>ASHR</t>
        </is>
      </c>
      <c r="D19" t="n">
        <v>30.16585350036621</v>
      </c>
      <c r="E19" t="n">
        <v>-24.1561107635498</v>
      </c>
      <c r="F19" t="n">
        <v>5665</v>
      </c>
      <c r="G19" t="n">
        <v>-3740</v>
      </c>
      <c r="H19">
        <f>D19*F19</f>
        <v/>
      </c>
      <c r="I19">
        <f>E19*G19</f>
        <v/>
      </c>
      <c r="J19">
        <f>H19-I19</f>
        <v/>
      </c>
      <c r="K19" t="n">
        <v>-0.01</v>
      </c>
      <c r="L19" t="n">
        <v>-427.1231633876664</v>
      </c>
      <c r="M19" t="n">
        <v>292.081248808283</v>
      </c>
      <c r="N19" t="n">
        <v>0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CHAU</t>
        </is>
      </c>
      <c r="C20" t="inlineStr">
        <is>
          <t>ASHR</t>
        </is>
      </c>
      <c r="D20" t="n">
        <v>29.5721492767334</v>
      </c>
      <c r="E20" t="n">
        <v>-23.20764923095703</v>
      </c>
      <c r="F20" t="n">
        <v>5793</v>
      </c>
      <c r="G20" t="n">
        <v>-3678</v>
      </c>
      <c r="H20">
        <f>D20*F20</f>
        <v/>
      </c>
      <c r="I20">
        <f>E20*G20</f>
        <v/>
      </c>
      <c r="J20">
        <f>H20-I20</f>
        <v/>
      </c>
      <c r="K20" t="n">
        <v>-0.01</v>
      </c>
      <c r="L20" t="n">
        <v>-3439.473390831025</v>
      </c>
      <c r="M20" t="n">
        <v>3302.992442829842</v>
      </c>
      <c r="N20" t="n">
        <v>-0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CHAU</t>
        </is>
      </c>
      <c r="C21" t="inlineStr">
        <is>
          <t>ASHR</t>
        </is>
      </c>
      <c r="D21" t="n">
        <v>29.41194343566895</v>
      </c>
      <c r="E21" t="n">
        <v>-22.92814826965332</v>
      </c>
      <c r="F21" t="n">
        <v>5793</v>
      </c>
      <c r="G21" t="n">
        <v>-3678</v>
      </c>
      <c r="H21">
        <f>D21*F21</f>
        <v/>
      </c>
      <c r="I21">
        <f>E21*G21</f>
        <v/>
      </c>
      <c r="J21">
        <f>H21-I21</f>
        <v/>
      </c>
      <c r="K21" t="n">
        <v>-0.01</v>
      </c>
      <c r="L21" t="n">
        <v>-928.1115165818356</v>
      </c>
      <c r="M21" t="n">
        <v>973.354776367308</v>
      </c>
      <c r="N21" t="n">
        <v>0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BABA Price</t>
        </is>
      </c>
      <c r="E1" t="inlineStr">
        <is>
          <t>BABX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BABX</t>
        </is>
      </c>
      <c r="C2" t="inlineStr">
        <is>
          <t>BABA</t>
        </is>
      </c>
      <c r="D2" t="n">
        <v>87.35295104980469</v>
      </c>
      <c r="E2" t="n">
        <v>-26.02000045776367</v>
      </c>
      <c r="F2" t="n">
        <v>5330</v>
      </c>
      <c r="G2" t="n">
        <v>-8920</v>
      </c>
      <c r="H2">
        <f>D2*F2</f>
        <v/>
      </c>
      <c r="I2">
        <f>E2*G2</f>
        <v/>
      </c>
      <c r="J2">
        <f>H2-I2</f>
        <v/>
      </c>
      <c r="K2" t="n">
        <v>-0.0275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BABX</t>
        </is>
      </c>
      <c r="C3" t="inlineStr">
        <is>
          <t>BABA</t>
        </is>
      </c>
      <c r="D3" t="n">
        <v>98.69229888916016</v>
      </c>
      <c r="E3" t="n">
        <v>-31.91799926757812</v>
      </c>
      <c r="F3" t="n">
        <v>5330</v>
      </c>
      <c r="G3" t="n">
        <v>-8920</v>
      </c>
      <c r="H3">
        <f>D3*F3</f>
        <v/>
      </c>
      <c r="I3">
        <f>E3*G3</f>
        <v/>
      </c>
      <c r="J3">
        <f>H3-I3</f>
        <v/>
      </c>
      <c r="K3" t="n">
        <v>-0.0275</v>
      </c>
      <c r="L3" t="n">
        <v>0</v>
      </c>
      <c r="M3" t="n">
        <v>0</v>
      </c>
      <c r="N3" t="n">
        <v>-0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BABX</t>
        </is>
      </c>
      <c r="C4" t="inlineStr">
        <is>
          <t>BABA</t>
        </is>
      </c>
      <c r="D4" t="n">
        <v>99.31910705566406</v>
      </c>
      <c r="E4" t="n">
        <v>-32.3489990234375</v>
      </c>
      <c r="F4" t="n">
        <v>5330</v>
      </c>
      <c r="G4" t="n">
        <v>-8920</v>
      </c>
      <c r="H4">
        <f>D4*F4</f>
        <v/>
      </c>
      <c r="I4">
        <f>E4*G4</f>
        <v/>
      </c>
      <c r="J4">
        <f>H4-I4</f>
        <v/>
      </c>
      <c r="K4" t="n">
        <v>-0.0275</v>
      </c>
      <c r="L4" t="n">
        <v>3341.028205634393</v>
      </c>
      <c r="M4" t="n">
        <v>-3640.139372220003</v>
      </c>
      <c r="N4" t="n">
        <v>-0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BABX</t>
        </is>
      </c>
      <c r="C5" t="inlineStr">
        <is>
          <t>BABA</t>
        </is>
      </c>
      <c r="D5" t="n">
        <v>101.9972457885742</v>
      </c>
      <c r="E5" t="n">
        <v>-33.72999954223633</v>
      </c>
      <c r="F5" t="n">
        <v>5330</v>
      </c>
      <c r="G5" t="n">
        <v>-8920</v>
      </c>
      <c r="H5">
        <f>D5*F5</f>
        <v/>
      </c>
      <c r="I5">
        <f>E5*G5</f>
        <v/>
      </c>
      <c r="J5">
        <f>H5-I5</f>
        <v/>
      </c>
      <c r="K5" t="n">
        <v>-0.0275</v>
      </c>
      <c r="L5" t="n">
        <v>14275.0805165188</v>
      </c>
      <c r="M5" t="n">
        <v>-11663.65941788623</v>
      </c>
      <c r="N5" t="n">
        <v>0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BABX</t>
        </is>
      </c>
      <c r="C6" t="inlineStr">
        <is>
          <t>BABA</t>
        </is>
      </c>
      <c r="D6" t="n">
        <v>105.2546997070312</v>
      </c>
      <c r="E6" t="n">
        <v>-35.60800170898438</v>
      </c>
      <c r="F6" t="n">
        <v>5330</v>
      </c>
      <c r="G6" t="n">
        <v>-8035</v>
      </c>
      <c r="H6">
        <f>D6*F6</f>
        <v/>
      </c>
      <c r="I6">
        <f>E6*G6</f>
        <v/>
      </c>
      <c r="J6">
        <f>H6-I6</f>
        <v/>
      </c>
      <c r="K6" t="n">
        <v>-0.0275</v>
      </c>
      <c r="L6" t="n">
        <v>17362.96047452884</v>
      </c>
      <c r="M6" t="n">
        <v>-14287.56119823951</v>
      </c>
      <c r="N6" t="n">
        <v>0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BABX</t>
        </is>
      </c>
      <c r="C7" t="inlineStr">
        <is>
          <t>BABA</t>
        </is>
      </c>
      <c r="D7" t="n">
        <v>109.100959777832</v>
      </c>
      <c r="E7" t="n">
        <v>-37.84999847412109</v>
      </c>
      <c r="F7" t="n">
        <v>5330</v>
      </c>
      <c r="G7" t="n">
        <v>-8035</v>
      </c>
      <c r="H7">
        <f>D7*F7</f>
        <v/>
      </c>
      <c r="I7">
        <f>E7*G7</f>
        <v/>
      </c>
      <c r="J7">
        <f>H7-I7</f>
        <v/>
      </c>
      <c r="K7" t="n">
        <v>-0.0275</v>
      </c>
      <c r="L7" t="n">
        <v>20501.42941567859</v>
      </c>
      <c r="M7" t="n">
        <v>-17056.77797146194</v>
      </c>
      <c r="N7" t="n">
        <v>0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BABX</t>
        </is>
      </c>
      <c r="C8" t="inlineStr">
        <is>
          <t>BABA</t>
        </is>
      </c>
      <c r="D8" t="n">
        <v>109.2339172363281</v>
      </c>
      <c r="E8" t="n">
        <v>-37.94800186157227</v>
      </c>
      <c r="F8" t="n">
        <v>5330</v>
      </c>
      <c r="G8" t="n">
        <v>-8035</v>
      </c>
      <c r="H8">
        <f>D8*F8</f>
        <v/>
      </c>
      <c r="I8">
        <f>E8*G8</f>
        <v/>
      </c>
      <c r="J8">
        <f>H8-I8</f>
        <v/>
      </c>
      <c r="K8" t="n">
        <v>-0.0275</v>
      </c>
      <c r="L8" t="n">
        <v>708.6930941927111</v>
      </c>
      <c r="M8" t="n">
        <v>-745.5951971919378</v>
      </c>
      <c r="N8" t="n">
        <v>0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BABX</t>
        </is>
      </c>
      <c r="C9" t="inlineStr">
        <is>
          <t>BABA</t>
        </is>
      </c>
      <c r="D9" t="n">
        <v>107.4579925537109</v>
      </c>
      <c r="E9" t="n">
        <v>-36.86000061035156</v>
      </c>
      <c r="F9" t="n">
        <v>5330</v>
      </c>
      <c r="G9" t="n">
        <v>-8035</v>
      </c>
      <c r="H9">
        <f>D9*F9</f>
        <v/>
      </c>
      <c r="I9">
        <f>E9*G9</f>
        <v/>
      </c>
      <c r="J9">
        <f>H9-I9</f>
        <v/>
      </c>
      <c r="K9" t="n">
        <v>-0.0275</v>
      </c>
      <c r="L9" t="n">
        <v>-9466.077139359277</v>
      </c>
      <c r="M9" t="n">
        <v>8277.351717593872</v>
      </c>
      <c r="N9" t="n">
        <v>0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BABX</t>
        </is>
      </c>
      <c r="C10" t="inlineStr">
        <is>
          <t>BABA</t>
        </is>
      </c>
      <c r="D10" t="n">
        <v>111.1238098144531</v>
      </c>
      <c r="E10" t="n">
        <v>-39.01200103759766</v>
      </c>
      <c r="F10" t="n">
        <v>5330</v>
      </c>
      <c r="G10" t="n">
        <v>-8035</v>
      </c>
      <c r="H10">
        <f>D10*F10</f>
        <v/>
      </c>
      <c r="I10">
        <f>E10*G10</f>
        <v/>
      </c>
      <c r="J10">
        <f>H10-I10</f>
        <v/>
      </c>
      <c r="K10" t="n">
        <v>-0.0275</v>
      </c>
      <c r="L10" t="n">
        <v>19539.62874024668</v>
      </c>
      <c r="M10" t="n">
        <v>-16372.09921656131</v>
      </c>
      <c r="N10" t="n">
        <v>0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BABX</t>
        </is>
      </c>
      <c r="C11" t="inlineStr">
        <is>
          <t>BABA</t>
        </is>
      </c>
      <c r="D11" t="n">
        <v>109.3953704833984</v>
      </c>
      <c r="E11" t="n">
        <v>-37.95800018310547</v>
      </c>
      <c r="F11" t="n">
        <v>4529</v>
      </c>
      <c r="G11" t="n">
        <v>-6431</v>
      </c>
      <c r="H11">
        <f>D11*F11</f>
        <v/>
      </c>
      <c r="I11">
        <f>E11*G11</f>
        <v/>
      </c>
      <c r="J11">
        <f>H11-I11</f>
        <v/>
      </c>
      <c r="K11" t="n">
        <v>-0.0275</v>
      </c>
      <c r="L11" t="n">
        <v>-7828.431356233744</v>
      </c>
      <c r="M11" t="n">
        <v>6417.939311825405</v>
      </c>
      <c r="N11" t="n">
        <v>0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BABX</t>
        </is>
      </c>
      <c r="C12" t="inlineStr">
        <is>
          <t>BABA</t>
        </is>
      </c>
      <c r="D12" t="n">
        <v>107.5244750976562</v>
      </c>
      <c r="E12" t="n">
        <v>-36.70999908447266</v>
      </c>
      <c r="F12" t="n">
        <v>4529</v>
      </c>
      <c r="G12" t="n">
        <v>-6431</v>
      </c>
      <c r="H12">
        <f>D12*F12</f>
        <v/>
      </c>
      <c r="I12">
        <f>E12*G12</f>
        <v/>
      </c>
      <c r="J12">
        <f>H12-I12</f>
        <v/>
      </c>
      <c r="K12" t="n">
        <v>-0.0275</v>
      </c>
      <c r="L12" t="n">
        <v>-8473.641995313843</v>
      </c>
      <c r="M12" t="n">
        <v>7599.230378210467</v>
      </c>
      <c r="N12" t="n">
        <v>-0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BABX</t>
        </is>
      </c>
      <c r="C13" t="inlineStr">
        <is>
          <t>BABA</t>
        </is>
      </c>
      <c r="D13" t="n">
        <v>110.7154541015625</v>
      </c>
      <c r="E13" t="n">
        <v>-38.7599983215332</v>
      </c>
      <c r="F13" t="n">
        <v>4529</v>
      </c>
      <c r="G13" t="n">
        <v>-6431</v>
      </c>
      <c r="H13">
        <f>D13*F13</f>
        <v/>
      </c>
      <c r="I13">
        <f>E13*G13</f>
        <v/>
      </c>
      <c r="J13">
        <f>H13-I13</f>
        <v/>
      </c>
      <c r="K13" t="n">
        <v>-0.0275</v>
      </c>
      <c r="L13" t="n">
        <v>14452.55245147672</v>
      </c>
      <c r="M13" t="n">
        <v>-12482.69452218029</v>
      </c>
      <c r="N13" t="n">
        <v>-0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BABX</t>
        </is>
      </c>
      <c r="C14" t="inlineStr">
        <is>
          <t>BABA</t>
        </is>
      </c>
      <c r="D14" t="n">
        <v>113.8304443359375</v>
      </c>
      <c r="E14" t="n">
        <v>-40.39599990844727</v>
      </c>
      <c r="F14" t="n">
        <v>4529</v>
      </c>
      <c r="G14" t="n">
        <v>-6431</v>
      </c>
      <c r="H14">
        <f>D14*F14</f>
        <v/>
      </c>
      <c r="I14">
        <f>E14*G14</f>
        <v/>
      </c>
      <c r="J14">
        <f>H14-I14</f>
        <v/>
      </c>
      <c r="K14" t="n">
        <v>-0.0275</v>
      </c>
      <c r="L14" t="n">
        <v>14108.3848226615</v>
      </c>
      <c r="M14" t="n">
        <v>-9961.812510980593</v>
      </c>
      <c r="N14" t="n">
        <v>0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BABX</t>
        </is>
      </c>
      <c r="C15" t="inlineStr">
        <is>
          <t>BABA</t>
        </is>
      </c>
      <c r="D15" t="n">
        <v>113.5170440673828</v>
      </c>
      <c r="E15" t="n">
        <v>-40.33499908447266</v>
      </c>
      <c r="F15" t="n">
        <v>4529</v>
      </c>
      <c r="G15" t="n">
        <v>-6431</v>
      </c>
      <c r="H15">
        <f>D15*F15</f>
        <v/>
      </c>
      <c r="I15">
        <f>E15*G15</f>
        <v/>
      </c>
      <c r="J15">
        <f>H15-I15</f>
        <v/>
      </c>
      <c r="K15" t="n">
        <v>-0.0275</v>
      </c>
      <c r="L15" t="n">
        <v>-1419.449583983093</v>
      </c>
      <c r="M15" t="n">
        <v>371.4414315432502</v>
      </c>
      <c r="N15" t="n">
        <v>0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BABX</t>
        </is>
      </c>
      <c r="C16" t="inlineStr">
        <is>
          <t>BABA</t>
        </is>
      </c>
      <c r="D16" t="n">
        <v>113.4315719604492</v>
      </c>
      <c r="E16" t="n">
        <v>-40.18500137329102</v>
      </c>
      <c r="F16" t="n">
        <v>4529</v>
      </c>
      <c r="G16" t="n">
        <v>-6431</v>
      </c>
      <c r="H16">
        <f>D16*F16</f>
        <v/>
      </c>
      <c r="I16">
        <f>E16*G16</f>
        <v/>
      </c>
      <c r="J16">
        <f>H16-I16</f>
        <v/>
      </c>
      <c r="K16" t="n">
        <v>-0.0275</v>
      </c>
      <c r="L16" t="n">
        <v>-387.119472451497</v>
      </c>
      <c r="M16" t="n">
        <v>913.3542948978891</v>
      </c>
      <c r="N16" t="n">
        <v>-0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BABX</t>
        </is>
      </c>
      <c r="C17" t="inlineStr">
        <is>
          <t>BABA</t>
        </is>
      </c>
      <c r="D17" t="n">
        <v>114.2008285522461</v>
      </c>
      <c r="E17" t="n">
        <v>-40.59500122070312</v>
      </c>
      <c r="F17" t="n">
        <v>4529</v>
      </c>
      <c r="G17" t="n">
        <v>-6431</v>
      </c>
      <c r="H17">
        <f>D17*F17</f>
        <v/>
      </c>
      <c r="I17">
        <f>E17*G17</f>
        <v/>
      </c>
      <c r="J17">
        <f>H17-I17</f>
        <v/>
      </c>
      <c r="K17" t="n">
        <v>-0.0275</v>
      </c>
      <c r="L17" t="n">
        <v>3484.109807046285</v>
      </c>
      <c r="M17" t="n">
        <v>-2496.538904436058</v>
      </c>
      <c r="N17" t="n">
        <v>0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BABX</t>
        </is>
      </c>
      <c r="C18" t="inlineStr">
        <is>
          <t>BABA</t>
        </is>
      </c>
      <c r="D18" t="n">
        <v>114.5047302246094</v>
      </c>
      <c r="E18" t="n">
        <v>-40.93999862670898</v>
      </c>
      <c r="F18" t="n">
        <v>4529</v>
      </c>
      <c r="G18" t="n">
        <v>-6431</v>
      </c>
      <c r="H18">
        <f>D18*F18</f>
        <v/>
      </c>
      <c r="I18">
        <f>E18*G18</f>
        <v/>
      </c>
      <c r="J18">
        <f>H18-I18</f>
        <v/>
      </c>
      <c r="K18" t="n">
        <v>-0.0275</v>
      </c>
      <c r="L18" t="n">
        <v>1376.42863038119</v>
      </c>
      <c r="M18" t="n">
        <v>-2100.731137973861</v>
      </c>
      <c r="N18" t="n">
        <v>0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BABX</t>
        </is>
      </c>
      <c r="C19" t="inlineStr">
        <is>
          <t>BABA</t>
        </is>
      </c>
      <c r="D19" t="n">
        <v>112.4248886108398</v>
      </c>
      <c r="E19" t="n">
        <v>-39.53099822998047</v>
      </c>
      <c r="F19" t="n">
        <v>4529</v>
      </c>
      <c r="G19" t="n">
        <v>-6431</v>
      </c>
      <c r="H19">
        <f>D19*F19</f>
        <v/>
      </c>
      <c r="I19">
        <f>E19*G19</f>
        <v/>
      </c>
      <c r="J19">
        <f>H19-I19</f>
        <v/>
      </c>
      <c r="K19" t="n">
        <v>-0.0275</v>
      </c>
      <c r="L19" t="n">
        <v>-9419.999309607259</v>
      </c>
      <c r="M19" t="n">
        <v>8579.574673018977</v>
      </c>
      <c r="N19" t="n">
        <v>0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BABX</t>
        </is>
      </c>
      <c r="C20" t="inlineStr">
        <is>
          <t>BABA</t>
        </is>
      </c>
      <c r="D20" t="n">
        <v>105.6060791015625</v>
      </c>
      <c r="E20" t="n">
        <v>-35.3650016784668</v>
      </c>
      <c r="F20" t="n">
        <v>4750</v>
      </c>
      <c r="G20" t="n">
        <v>-6734</v>
      </c>
      <c r="H20">
        <f>D20*F20</f>
        <v/>
      </c>
      <c r="I20">
        <f>E20*G20</f>
        <v/>
      </c>
      <c r="J20">
        <f>H20-I20</f>
        <v/>
      </c>
      <c r="K20" t="n">
        <v>-0.0275</v>
      </c>
      <c r="L20" t="n">
        <v>-32390.70902035605</v>
      </c>
      <c r="M20" t="n">
        <v>26562.45133352811</v>
      </c>
      <c r="N20" t="n">
        <v>-0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BABX</t>
        </is>
      </c>
      <c r="C21" t="inlineStr">
        <is>
          <t>BABA</t>
        </is>
      </c>
      <c r="D21" t="n">
        <v>104.6563873291016</v>
      </c>
      <c r="E21" t="n">
        <v>-34.77999877929688</v>
      </c>
      <c r="F21" t="n">
        <v>4750</v>
      </c>
      <c r="G21" t="n">
        <v>-6734</v>
      </c>
      <c r="H21">
        <f>D21*F21</f>
        <v/>
      </c>
      <c r="I21">
        <f>E21*G21</f>
        <v/>
      </c>
      <c r="J21">
        <f>H21-I21</f>
        <v/>
      </c>
      <c r="K21" t="n">
        <v>-0.0275</v>
      </c>
      <c r="L21" t="n">
        <v>-4511.225869993322</v>
      </c>
      <c r="M21" t="n">
        <v>3729.986534321044</v>
      </c>
      <c r="N21" t="n">
        <v>0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COIN Price</t>
        </is>
      </c>
      <c r="E1" t="inlineStr">
        <is>
          <t>CONL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CONL</t>
        </is>
      </c>
      <c r="C2" t="inlineStr">
        <is>
          <t>COIN</t>
        </is>
      </c>
      <c r="D2" t="n">
        <v>33.59999847412109</v>
      </c>
      <c r="E2" t="n">
        <v>-4.229519844055176</v>
      </c>
      <c r="F2" t="n">
        <v>98778</v>
      </c>
      <c r="G2" t="n">
        <v>-394919</v>
      </c>
      <c r="H2">
        <f>D2*F2</f>
        <v/>
      </c>
      <c r="I2">
        <f>E2*G2</f>
        <v/>
      </c>
      <c r="J2">
        <f>H2-I2</f>
        <v/>
      </c>
      <c r="K2" t="n">
        <v>0.03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CONL</t>
        </is>
      </c>
      <c r="C3" t="inlineStr">
        <is>
          <t>COIN</t>
        </is>
      </c>
      <c r="D3" t="n">
        <v>37.70000076293945</v>
      </c>
      <c r="E3" t="n">
        <v>-5.047493457794189</v>
      </c>
      <c r="F3" t="n">
        <v>98778</v>
      </c>
      <c r="G3" t="n">
        <v>-394919</v>
      </c>
      <c r="H3">
        <f>D3*F3</f>
        <v/>
      </c>
      <c r="I3">
        <f>E3*G3</f>
        <v/>
      </c>
      <c r="J3">
        <f>H3-I3</f>
        <v/>
      </c>
      <c r="K3" t="n">
        <v>0.03</v>
      </c>
      <c r="L3" t="n">
        <v>0</v>
      </c>
      <c r="M3" t="n">
        <v>0</v>
      </c>
      <c r="N3" t="n">
        <v>-9309.017451335176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CONL</t>
        </is>
      </c>
      <c r="C4" t="inlineStr">
        <is>
          <t>COIN</t>
        </is>
      </c>
      <c r="D4" t="n">
        <v>33.52999877929688</v>
      </c>
      <c r="E4" t="n">
        <v>-4.179644107818604</v>
      </c>
      <c r="F4" t="n">
        <v>98778</v>
      </c>
      <c r="G4" t="n">
        <v>-394919</v>
      </c>
      <c r="H4">
        <f>D4*F4</f>
        <v/>
      </c>
      <c r="I4">
        <f>E4*G4</f>
        <v/>
      </c>
      <c r="J4">
        <f>H4-I4</f>
        <v/>
      </c>
      <c r="K4" t="n">
        <v>0.03</v>
      </c>
      <c r="L4" t="n">
        <v>-411921.8004225173</v>
      </c>
      <c r="M4" t="n">
        <v>324510.314020553</v>
      </c>
      <c r="N4" t="n">
        <v>-1022.440249386293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CONL</t>
        </is>
      </c>
      <c r="C5" t="inlineStr">
        <is>
          <t>COIN</t>
        </is>
      </c>
      <c r="D5" t="n">
        <v>33.2599983215332</v>
      </c>
      <c r="E5" t="n">
        <v>-4.105826854705811</v>
      </c>
      <c r="F5" t="n">
        <v>98778</v>
      </c>
      <c r="G5" t="n">
        <v>-394919</v>
      </c>
      <c r="H5">
        <f>D5*F5</f>
        <v/>
      </c>
      <c r="I5">
        <f>E5*G5</f>
        <v/>
      </c>
      <c r="J5">
        <f>H5-I5</f>
        <v/>
      </c>
      <c r="K5" t="n">
        <v>0.03</v>
      </c>
      <c r="L5" t="n">
        <v>-26671.22824238168</v>
      </c>
      <c r="M5" t="n">
        <v>27602.09475116962</v>
      </c>
      <c r="N5" t="n">
        <v>973.135986919774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CONL</t>
        </is>
      </c>
      <c r="C6" t="inlineStr">
        <is>
          <t>COIN</t>
        </is>
      </c>
      <c r="D6" t="n">
        <v>38.27000045776367</v>
      </c>
      <c r="E6" t="n">
        <v>-5.057468891143799</v>
      </c>
      <c r="F6" t="n">
        <v>98778</v>
      </c>
      <c r="G6" t="n">
        <v>-394919</v>
      </c>
      <c r="H6">
        <f>D6*F6</f>
        <v/>
      </c>
      <c r="I6">
        <f>E6*G6</f>
        <v/>
      </c>
      <c r="J6">
        <f>H6-I6</f>
        <v/>
      </c>
      <c r="K6" t="n">
        <v>0.03</v>
      </c>
      <c r="L6" t="n">
        <v>494898.8293463603</v>
      </c>
      <c r="M6" t="n">
        <v>-355842.4697654467</v>
      </c>
      <c r="N6" t="n">
        <v>1566.402840922432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CONL</t>
        </is>
      </c>
      <c r="C7" t="inlineStr">
        <is>
          <t>COIN</t>
        </is>
      </c>
      <c r="D7" t="n">
        <v>43.22999954223633</v>
      </c>
      <c r="E7" t="n">
        <v>-6.015096187591553</v>
      </c>
      <c r="F7" t="n">
        <v>98778</v>
      </c>
      <c r="G7" t="n">
        <v>-394919</v>
      </c>
      <c r="H7">
        <f>D7*F7</f>
        <v/>
      </c>
      <c r="I7">
        <f>E7*G7</f>
        <v/>
      </c>
      <c r="J7">
        <f>H7-I7</f>
        <v/>
      </c>
      <c r="K7" t="n">
        <v>0.03</v>
      </c>
      <c r="L7" t="n">
        <v>489959.4199198194</v>
      </c>
      <c r="M7" t="n">
        <v>-358080.5063616812</v>
      </c>
      <c r="N7" t="n">
        <v>1589.104480370088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CONL</t>
        </is>
      </c>
      <c r="C8" t="inlineStr">
        <is>
          <t>COIN</t>
        </is>
      </c>
      <c r="D8" t="n">
        <v>43.79000091552734</v>
      </c>
      <c r="E8" t="n">
        <v>-6.104873657226562</v>
      </c>
      <c r="F8" t="n">
        <v>98778</v>
      </c>
      <c r="G8" t="n">
        <v>-394919</v>
      </c>
      <c r="H8">
        <f>D8*F8</f>
        <v/>
      </c>
      <c r="I8">
        <f>E8*G8</f>
        <v/>
      </c>
      <c r="J8">
        <f>H8-I8</f>
        <v/>
      </c>
      <c r="K8" t="n">
        <v>0.03</v>
      </c>
      <c r="L8" t="n">
        <v>55318.14489057309</v>
      </c>
      <c r="M8" t="n">
        <v>-33570.01403993361</v>
      </c>
      <c r="N8" t="n">
        <v>970.2942083735516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CONL</t>
        </is>
      </c>
      <c r="C9" t="inlineStr">
        <is>
          <t>COIN</t>
        </is>
      </c>
      <c r="D9" t="n">
        <v>47.54999923706055</v>
      </c>
      <c r="E9" t="n">
        <v>-6.932822227478027</v>
      </c>
      <c r="F9" t="n">
        <v>98778</v>
      </c>
      <c r="G9" t="n">
        <v>-394919</v>
      </c>
      <c r="H9">
        <f>D9*F9</f>
        <v/>
      </c>
      <c r="I9">
        <f>E9*G9</f>
        <v/>
      </c>
      <c r="J9">
        <f>H9-I9</f>
        <v/>
      </c>
      <c r="K9" t="n">
        <v>0.03</v>
      </c>
      <c r="L9" t="n">
        <v>371420.7533394675</v>
      </c>
      <c r="M9" t="n">
        <v>-309590.4266480457</v>
      </c>
      <c r="N9" t="n">
        <v>1529.984086769595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CONL</t>
        </is>
      </c>
      <c r="C10" t="inlineStr">
        <is>
          <t>COIN</t>
        </is>
      </c>
      <c r="D10" t="n">
        <v>49.97999954223633</v>
      </c>
      <c r="E10" t="n">
        <v>-7.431586265563965</v>
      </c>
      <c r="F10" t="n">
        <v>98778</v>
      </c>
      <c r="G10" t="n">
        <v>-394919</v>
      </c>
      <c r="H10">
        <f>D10*F10</f>
        <v/>
      </c>
      <c r="I10">
        <f>E10*G10</f>
        <v/>
      </c>
      <c r="J10">
        <f>H10-I10</f>
        <v/>
      </c>
      <c r="K10" t="n">
        <v>0.03</v>
      </c>
      <c r="L10" t="n">
        <v>240040.677357402</v>
      </c>
      <c r="M10" t="n">
        <v>-186500.1968670943</v>
      </c>
      <c r="N10" t="n">
        <v>1555.345295362936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CONL</t>
        </is>
      </c>
      <c r="C11" t="inlineStr">
        <is>
          <t>COIN</t>
        </is>
      </c>
      <c r="D11" t="n">
        <v>54.13999938964844</v>
      </c>
      <c r="E11" t="n">
        <v>-8.349312782287598</v>
      </c>
      <c r="F11" t="n">
        <v>71777</v>
      </c>
      <c r="G11" t="n">
        <v>-242943</v>
      </c>
      <c r="H11">
        <f>D11*F11</f>
        <v/>
      </c>
      <c r="I11">
        <f>E11*G11</f>
        <v/>
      </c>
      <c r="J11">
        <f>H11-I11</f>
        <v/>
      </c>
      <c r="K11" t="n">
        <v>0.03</v>
      </c>
      <c r="L11" t="n">
        <v>298604.8821794915</v>
      </c>
      <c r="M11" t="n">
        <v>-211102.7077934637</v>
      </c>
      <c r="N11" t="n">
        <v>657.3639108647209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CONL</t>
        </is>
      </c>
      <c r="C12" t="inlineStr">
        <is>
          <t>COIN</t>
        </is>
      </c>
      <c r="D12" t="n">
        <v>50.20999908447266</v>
      </c>
      <c r="E12" t="n">
        <v>-7.421611309051514</v>
      </c>
      <c r="F12" t="n">
        <v>71777</v>
      </c>
      <c r="G12" t="n">
        <v>-242943</v>
      </c>
      <c r="H12">
        <f>D12*F12</f>
        <v/>
      </c>
      <c r="I12">
        <f>E12*G12</f>
        <v/>
      </c>
      <c r="J12">
        <f>H12-I12</f>
        <v/>
      </c>
      <c r="K12" t="n">
        <v>0.03</v>
      </c>
      <c r="L12" t="n">
        <v>-282095.509888639</v>
      </c>
      <c r="M12" t="n">
        <v>213397.226140191</v>
      </c>
      <c r="N12" t="n">
        <v>-812.2488130627891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CONL</t>
        </is>
      </c>
      <c r="C13" t="inlineStr">
        <is>
          <t>COIN</t>
        </is>
      </c>
      <c r="D13" t="n">
        <v>49.41999816894531</v>
      </c>
      <c r="E13" t="n">
        <v>-7.281957149505615</v>
      </c>
      <c r="F13" t="n">
        <v>71777</v>
      </c>
      <c r="G13" t="n">
        <v>-242943</v>
      </c>
      <c r="H13">
        <f>D13*F13</f>
        <v/>
      </c>
      <c r="I13">
        <f>E13*G13</f>
        <v/>
      </c>
      <c r="J13">
        <f>H13-I13</f>
        <v/>
      </c>
      <c r="K13" t="n">
        <v>0.03</v>
      </c>
      <c r="L13" t="n">
        <v>-56706.2834027464</v>
      </c>
      <c r="M13" t="n">
        <v>32124.35371270597</v>
      </c>
      <c r="N13" t="n">
        <v>-31.48142531843263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CONL</t>
        </is>
      </c>
      <c r="C14" t="inlineStr">
        <is>
          <t>COIN</t>
        </is>
      </c>
      <c r="D14" t="n">
        <v>55.15999984741211</v>
      </c>
      <c r="E14" t="n">
        <v>-8.538843154907227</v>
      </c>
      <c r="F14" t="n">
        <v>71777</v>
      </c>
      <c r="G14" t="n">
        <v>-242943</v>
      </c>
      <c r="H14">
        <f>D14*F14</f>
        <v/>
      </c>
      <c r="I14">
        <f>E14*G14</f>
        <v/>
      </c>
      <c r="J14">
        <f>H14-I14</f>
        <v/>
      </c>
      <c r="K14" t="n">
        <v>0.03</v>
      </c>
      <c r="L14" t="n">
        <v>412017.4489849843</v>
      </c>
      <c r="M14" t="n">
        <v>-289118.8543567965</v>
      </c>
      <c r="N14" t="n">
        <v>2067.097916219339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CONL</t>
        </is>
      </c>
      <c r="C15" t="inlineStr">
        <is>
          <t>COIN</t>
        </is>
      </c>
      <c r="D15" t="n">
        <v>55.95999908447266</v>
      </c>
      <c r="E15" t="n">
        <v>-8.715405464172363</v>
      </c>
      <c r="F15" t="n">
        <v>71777</v>
      </c>
      <c r="G15" t="n">
        <v>-233353</v>
      </c>
      <c r="H15">
        <f>D15*F15</f>
        <v/>
      </c>
      <c r="I15">
        <f>E15*G15</f>
        <v/>
      </c>
      <c r="J15">
        <f>H15-I15</f>
        <v/>
      </c>
      <c r="K15" t="n">
        <v>0.03</v>
      </c>
      <c r="L15" t="n">
        <v>57423.96314623775</v>
      </c>
      <c r="M15" t="n">
        <v>-39011.03946784201</v>
      </c>
      <c r="N15" t="n">
        <v>1335.737595626272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CONL</t>
        </is>
      </c>
      <c r="C16" t="inlineStr">
        <is>
          <t>COIN</t>
        </is>
      </c>
      <c r="D16" t="n">
        <v>53.56000137329102</v>
      </c>
      <c r="E16" t="n">
        <v>-8.13983154296875</v>
      </c>
      <c r="F16" t="n">
        <v>71777</v>
      </c>
      <c r="G16" t="n">
        <v>-233353</v>
      </c>
      <c r="H16">
        <f>D16*F16</f>
        <v/>
      </c>
      <c r="I16">
        <f>E16*G16</f>
        <v/>
      </c>
      <c r="J16">
        <f>H16-I16</f>
        <v/>
      </c>
      <c r="K16" t="n">
        <v>0.03</v>
      </c>
      <c r="L16" t="n">
        <v>-172271.8894387133</v>
      </c>
      <c r="M16" t="n">
        <v>127171.7449221671</v>
      </c>
      <c r="N16" t="n">
        <v>-101.1434062358076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CONL</t>
        </is>
      </c>
      <c r="C17" t="inlineStr">
        <is>
          <t>COIN</t>
        </is>
      </c>
      <c r="D17" t="n">
        <v>52.7599983215332</v>
      </c>
      <c r="E17" t="n">
        <v>-7.96027660369873</v>
      </c>
      <c r="F17" t="n">
        <v>71777</v>
      </c>
      <c r="G17" t="n">
        <v>-233353</v>
      </c>
      <c r="H17">
        <f>D17*F17</f>
        <v/>
      </c>
      <c r="I17">
        <f>E17*G17</f>
        <v/>
      </c>
      <c r="J17">
        <f>H17-I17</f>
        <v/>
      </c>
      <c r="K17" t="n">
        <v>0.03</v>
      </c>
      <c r="L17" t="n">
        <v>-57424.23696529288</v>
      </c>
      <c r="M17" t="n">
        <v>39672.25424079686</v>
      </c>
      <c r="N17" t="n">
        <v>31.11719467256685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CONL</t>
        </is>
      </c>
      <c r="C18" t="inlineStr">
        <is>
          <t>COIN</t>
        </is>
      </c>
      <c r="D18" t="n">
        <v>53.02000045776367</v>
      </c>
      <c r="E18" t="n">
        <v>-8.02012825012207</v>
      </c>
      <c r="F18" t="n">
        <v>71777</v>
      </c>
      <c r="G18" t="n">
        <v>-233353</v>
      </c>
      <c r="H18">
        <f>D18*F18</f>
        <v/>
      </c>
      <c r="I18">
        <f>E18*G18</f>
        <v/>
      </c>
      <c r="J18">
        <f>H18-I18</f>
        <v/>
      </c>
      <c r="K18" t="n">
        <v>0.03</v>
      </c>
      <c r="L18" t="n">
        <v>18662.95915943672</v>
      </c>
      <c r="M18" t="n">
        <v>-13224.08474693229</v>
      </c>
      <c r="N18" t="n">
        <v>1118.213209752557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CONL</t>
        </is>
      </c>
      <c r="C19" t="inlineStr">
        <is>
          <t>COIN</t>
        </is>
      </c>
      <c r="D19" t="n">
        <v>61.36999893188477</v>
      </c>
      <c r="E19" t="n">
        <v>-9.895481109619141</v>
      </c>
      <c r="F19" t="n">
        <v>71777</v>
      </c>
      <c r="G19" t="n">
        <v>-233353</v>
      </c>
      <c r="H19">
        <f>D19*F19</f>
        <v/>
      </c>
      <c r="I19">
        <f>E19*G19</f>
        <v/>
      </c>
      <c r="J19">
        <f>H19-I19</f>
        <v/>
      </c>
      <c r="K19" t="n">
        <v>0.03</v>
      </c>
      <c r="L19" t="n">
        <v>599363.0774085121</v>
      </c>
      <c r="M19" t="n">
        <v>-414354.9363534313</v>
      </c>
      <c r="N19" t="n">
        <v>2183.513498206141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CONL</t>
        </is>
      </c>
      <c r="C20" t="inlineStr">
        <is>
          <t>COIN</t>
        </is>
      </c>
      <c r="D20" t="n">
        <v>56.15999984741211</v>
      </c>
      <c r="E20" t="n">
        <v>-8.658546447753906</v>
      </c>
      <c r="F20" t="n">
        <v>62026</v>
      </c>
      <c r="G20" t="n">
        <v>-193596</v>
      </c>
      <c r="H20">
        <f>D20*F20</f>
        <v/>
      </c>
      <c r="I20">
        <f>E20*G20</f>
        <v/>
      </c>
      <c r="J20">
        <f>H20-I20</f>
        <v/>
      </c>
      <c r="K20" t="n">
        <v>0.03</v>
      </c>
      <c r="L20" t="n">
        <v>-323169.0106486255</v>
      </c>
      <c r="M20" t="n">
        <v>226735.3695151764</v>
      </c>
      <c r="N20" t="n">
        <v>-1527.101834959579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CONL</t>
        </is>
      </c>
      <c r="C21" t="inlineStr">
        <is>
          <t>COIN</t>
        </is>
      </c>
      <c r="D21" t="n">
        <v>58.47999954223633</v>
      </c>
      <c r="E21" t="n">
        <v>-9.167284965515137</v>
      </c>
      <c r="F21" t="n">
        <v>62026</v>
      </c>
      <c r="G21" t="n">
        <v>-193596</v>
      </c>
      <c r="H21">
        <f>D21*F21</f>
        <v/>
      </c>
      <c r="I21">
        <f>E21*G21</f>
        <v/>
      </c>
      <c r="J21">
        <f>H21-I21</f>
        <v/>
      </c>
      <c r="K21" t="n">
        <v>0.03</v>
      </c>
      <c r="L21" t="n">
        <v>143906.3604283424</v>
      </c>
      <c r="M21" t="n">
        <v>-93253.92792959271</v>
      </c>
      <c r="N21" t="n">
        <v>743.3776653436544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EWW Price</t>
        </is>
      </c>
      <c r="E1" t="inlineStr">
        <is>
          <t>MEXX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MEXX</t>
        </is>
      </c>
      <c r="C2" t="inlineStr">
        <is>
          <t>EWW</t>
        </is>
      </c>
      <c r="D2" t="n">
        <v>45.60512924194336</v>
      </c>
      <c r="E2" t="n">
        <v>-16.08794212341309</v>
      </c>
      <c r="F2" t="n">
        <v>9067</v>
      </c>
      <c r="G2" t="n">
        <v>-8695</v>
      </c>
      <c r="H2">
        <f>D2*F2</f>
        <v/>
      </c>
      <c r="I2">
        <f>E2*G2</f>
        <v/>
      </c>
      <c r="J2">
        <f>H2-I2</f>
        <v/>
      </c>
      <c r="K2" t="n">
        <v>0.0075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MEXX</t>
        </is>
      </c>
      <c r="C3" t="inlineStr">
        <is>
          <t>EWW</t>
        </is>
      </c>
      <c r="D3" t="n">
        <v>46.71038436889648</v>
      </c>
      <c r="E3" t="n">
        <v>-17.26618385314941</v>
      </c>
      <c r="F3" t="n">
        <v>9067</v>
      </c>
      <c r="G3" t="n">
        <v>-8695</v>
      </c>
      <c r="H3">
        <f>D3*F3</f>
        <v/>
      </c>
      <c r="I3">
        <f>E3*G3</f>
        <v/>
      </c>
      <c r="J3">
        <f>H3-I3</f>
        <v/>
      </c>
      <c r="K3" t="n">
        <v>0.0075</v>
      </c>
      <c r="L3" t="n">
        <v>0</v>
      </c>
      <c r="M3" t="n">
        <v>0</v>
      </c>
      <c r="N3" t="n">
        <v>-175.2774341935766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MEXX</t>
        </is>
      </c>
      <c r="C4" t="inlineStr">
        <is>
          <t>EWW</t>
        </is>
      </c>
      <c r="D4" t="n">
        <v>47.31735610961914</v>
      </c>
      <c r="E4" t="n">
        <v>-17.93195533752441</v>
      </c>
      <c r="F4" t="n">
        <v>9067</v>
      </c>
      <c r="G4" t="n">
        <v>-8695</v>
      </c>
      <c r="H4">
        <f>D4*F4</f>
        <v/>
      </c>
      <c r="I4">
        <f>E4*G4</f>
        <v/>
      </c>
      <c r="J4">
        <f>H4-I4</f>
        <v/>
      </c>
      <c r="K4" t="n">
        <v>0.0075</v>
      </c>
      <c r="L4" t="n">
        <v>5503.644510963501</v>
      </c>
      <c r="M4" t="n">
        <v>-5481.140187103258</v>
      </c>
      <c r="N4" t="n">
        <v>-24.14503553111495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MEXX</t>
        </is>
      </c>
      <c r="C5" t="inlineStr">
        <is>
          <t>EWW</t>
        </is>
      </c>
      <c r="D5" t="n">
        <v>48.64909362792969</v>
      </c>
      <c r="E5" t="n">
        <v>-19.48874282836914</v>
      </c>
      <c r="F5" t="n">
        <v>9067</v>
      </c>
      <c r="G5" t="n">
        <v>-8695</v>
      </c>
      <c r="H5">
        <f>D5*F5</f>
        <v/>
      </c>
      <c r="I5">
        <f>E5*G5</f>
        <v/>
      </c>
      <c r="J5">
        <f>H5-I5</f>
        <v/>
      </c>
      <c r="K5" t="n">
        <v>0.0075</v>
      </c>
      <c r="L5" t="n">
        <v>12075.37252717508</v>
      </c>
      <c r="M5" t="n">
        <v>-12816.66559639317</v>
      </c>
      <c r="N5" t="n">
        <v>25.42484379447296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MEXX</t>
        </is>
      </c>
      <c r="C6" t="inlineStr">
        <is>
          <t>EWW</t>
        </is>
      </c>
      <c r="D6" t="n">
        <v>49.05677032470703</v>
      </c>
      <c r="E6" t="n">
        <v>-19.98886108398438</v>
      </c>
      <c r="F6" t="n">
        <v>9067</v>
      </c>
      <c r="G6" t="n">
        <v>-7657</v>
      </c>
      <c r="H6">
        <f>D6*F6</f>
        <v/>
      </c>
      <c r="I6">
        <f>E6*G6</f>
        <v/>
      </c>
      <c r="J6">
        <f>H6-I6</f>
        <v/>
      </c>
      <c r="K6" t="n">
        <v>0.0075</v>
      </c>
      <c r="L6" t="n">
        <v>3696.560257970194</v>
      </c>
      <c r="M6" t="n">
        <v>-3625.830420404609</v>
      </c>
      <c r="N6" t="n">
        <v>30.00882003029932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MEXX</t>
        </is>
      </c>
      <c r="C7" t="inlineStr">
        <is>
          <t>EWW</t>
        </is>
      </c>
      <c r="D7" t="n">
        <v>49.36479187011719</v>
      </c>
      <c r="E7" t="n">
        <v>-20.35855102539062</v>
      </c>
      <c r="F7" t="n">
        <v>9067</v>
      </c>
      <c r="G7" t="n">
        <v>-7657</v>
      </c>
      <c r="H7">
        <f>D7*F7</f>
        <v/>
      </c>
      <c r="I7">
        <f>E7*G7</f>
        <v/>
      </c>
      <c r="J7">
        <f>H7-I7</f>
        <v/>
      </c>
      <c r="K7" t="n">
        <v>0.0075</v>
      </c>
      <c r="L7" t="n">
        <v>2792.948952840472</v>
      </c>
      <c r="M7" t="n">
        <v>-2680.232166329157</v>
      </c>
      <c r="N7" t="n">
        <v>26.07038036380619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MEXX</t>
        </is>
      </c>
      <c r="C8" t="inlineStr">
        <is>
          <t>EWW</t>
        </is>
      </c>
      <c r="D8" t="n">
        <v>50.45191955566406</v>
      </c>
      <c r="E8" t="n">
        <v>-21.49141502380371</v>
      </c>
      <c r="F8" t="n">
        <v>9067</v>
      </c>
      <c r="G8" t="n">
        <v>-7657</v>
      </c>
      <c r="H8">
        <f>D8*F8</f>
        <v/>
      </c>
      <c r="I8">
        <f>E8*G8</f>
        <v/>
      </c>
      <c r="J8">
        <f>H8-I8</f>
        <v/>
      </c>
      <c r="K8" t="n">
        <v>0.0075</v>
      </c>
      <c r="L8" t="n">
        <v>9857.401783076426</v>
      </c>
      <c r="M8" t="n">
        <v>-8213.202980511722</v>
      </c>
      <c r="N8" t="n">
        <v>16.55702851459348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MEXX</t>
        </is>
      </c>
      <c r="C9" t="inlineStr">
        <is>
          <t>EWW</t>
        </is>
      </c>
      <c r="D9" t="n">
        <v>51.17667388916016</v>
      </c>
      <c r="E9" t="n">
        <v>-22.51949882507324</v>
      </c>
      <c r="F9" t="n">
        <v>9067</v>
      </c>
      <c r="G9" t="n">
        <v>-7657</v>
      </c>
      <c r="H9">
        <f>D9*F9</f>
        <v/>
      </c>
      <c r="I9">
        <f>E9*G9</f>
        <v/>
      </c>
      <c r="J9">
        <f>H9-I9</f>
        <v/>
      </c>
      <c r="K9" t="n">
        <v>0.0075</v>
      </c>
      <c r="L9" t="n">
        <v>6571.624248261974</v>
      </c>
      <c r="M9" t="n">
        <v>-7453.552193935796</v>
      </c>
      <c r="N9" t="n">
        <v>24.08941191160052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MEXX</t>
        </is>
      </c>
      <c r="C10" t="inlineStr">
        <is>
          <t>EWW</t>
        </is>
      </c>
      <c r="D10" t="n">
        <v>51.34880065917969</v>
      </c>
      <c r="E10" t="n">
        <v>-22.89287757873535</v>
      </c>
      <c r="F10" t="n">
        <v>9067</v>
      </c>
      <c r="G10" t="n">
        <v>-7657</v>
      </c>
      <c r="H10">
        <f>D10*F10</f>
        <v/>
      </c>
      <c r="I10">
        <f>E10*G10</f>
        <v/>
      </c>
      <c r="J10">
        <f>H10-I10</f>
        <v/>
      </c>
      <c r="K10" t="n">
        <v>0.0075</v>
      </c>
      <c r="L10" t="n">
        <v>1560.739140639385</v>
      </c>
      <c r="M10" t="n">
        <v>-2706.975856530993</v>
      </c>
      <c r="N10" t="n">
        <v>23.22396185113706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MEXX</t>
        </is>
      </c>
      <c r="C11" t="inlineStr">
        <is>
          <t>EWW</t>
        </is>
      </c>
      <c r="D11" t="n">
        <v>51.23102951049805</v>
      </c>
      <c r="E11" t="n">
        <v>-22.66154479980469</v>
      </c>
      <c r="F11" t="n">
        <v>8705</v>
      </c>
      <c r="G11" t="n">
        <v>-6605</v>
      </c>
      <c r="H11">
        <f>D11*F11</f>
        <v/>
      </c>
      <c r="I11">
        <f>E11*G11</f>
        <v/>
      </c>
      <c r="J11">
        <f>H11-I11</f>
        <v/>
      </c>
      <c r="K11" t="n">
        <v>0.0075</v>
      </c>
      <c r="L11" t="n">
        <v>-1025.241018328214</v>
      </c>
      <c r="M11" t="n">
        <v>1446.725480006077</v>
      </c>
      <c r="N11" t="n">
        <v>12.12699166289999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MEXX</t>
        </is>
      </c>
      <c r="C12" t="inlineStr">
        <is>
          <t>EWW</t>
        </is>
      </c>
      <c r="D12" t="n">
        <v>50.77806091308594</v>
      </c>
      <c r="E12" t="n">
        <v>-22.04853630065918</v>
      </c>
      <c r="F12" t="n">
        <v>8705</v>
      </c>
      <c r="G12" t="n">
        <v>-6605</v>
      </c>
      <c r="H12">
        <f>D12*F12</f>
        <v/>
      </c>
      <c r="I12">
        <f>E12*G12</f>
        <v/>
      </c>
      <c r="J12">
        <f>H12-I12</f>
        <v/>
      </c>
      <c r="K12" t="n">
        <v>0.0075</v>
      </c>
      <c r="L12" t="n">
        <v>-3943.257676265576</v>
      </c>
      <c r="M12" t="n">
        <v>3833.676400178037</v>
      </c>
      <c r="N12" t="n">
        <v>-16.40133066735698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MEXX</t>
        </is>
      </c>
      <c r="C13" t="inlineStr">
        <is>
          <t>EWW</t>
        </is>
      </c>
      <c r="D13" t="n">
        <v>50.74181747436523</v>
      </c>
      <c r="E13" t="n">
        <v>-21.98525619506836</v>
      </c>
      <c r="F13" t="n">
        <v>8705</v>
      </c>
      <c r="G13" t="n">
        <v>-6605</v>
      </c>
      <c r="H13">
        <f>D13*F13</f>
        <v/>
      </c>
      <c r="I13">
        <f>E13*G13</f>
        <v/>
      </c>
      <c r="J13">
        <f>H13-I13</f>
        <v/>
      </c>
      <c r="K13" t="n">
        <v>0.0075</v>
      </c>
      <c r="L13" t="n">
        <v>-315.5124191084884</v>
      </c>
      <c r="M13" t="n">
        <v>395.7456507413252</v>
      </c>
      <c r="N13" t="n">
        <v>-0.6460204100791541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MEXX</t>
        </is>
      </c>
      <c r="C14" t="inlineStr">
        <is>
          <t>EWW</t>
        </is>
      </c>
      <c r="D14" t="n">
        <v>51.52093124389648</v>
      </c>
      <c r="E14" t="n">
        <v>-22.9609489440918</v>
      </c>
      <c r="F14" t="n">
        <v>8705</v>
      </c>
      <c r="G14" t="n">
        <v>-6605</v>
      </c>
      <c r="H14">
        <f>D14*F14</f>
        <v/>
      </c>
      <c r="I14">
        <f>E14*G14</f>
        <v/>
      </c>
      <c r="J14">
        <f>H14-I14</f>
        <v/>
      </c>
      <c r="K14" t="n">
        <v>0.0075</v>
      </c>
      <c r="L14" t="n">
        <v>6782.470948186262</v>
      </c>
      <c r="M14" t="n">
        <v>-6101.857104705684</v>
      </c>
      <c r="N14" t="n">
        <v>37.77985495670092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MEXX</t>
        </is>
      </c>
      <c r="C15" t="inlineStr">
        <is>
          <t>EWW</t>
        </is>
      </c>
      <c r="D15" t="n">
        <v>52.218505859375</v>
      </c>
      <c r="E15" t="n">
        <v>-23.83536529541016</v>
      </c>
      <c r="F15" t="n">
        <v>8705</v>
      </c>
      <c r="G15" t="n">
        <v>-6605</v>
      </c>
      <c r="H15">
        <f>D15*F15</f>
        <v/>
      </c>
      <c r="I15">
        <f>E15*G15</f>
        <v/>
      </c>
      <c r="J15">
        <f>H15-I15</f>
        <v/>
      </c>
      <c r="K15" t="n">
        <v>0.0075</v>
      </c>
      <c r="L15" t="n">
        <v>6072.642723952608</v>
      </c>
      <c r="M15" t="n">
        <v>-5468.487524482551</v>
      </c>
      <c r="N15" t="n">
        <v>25.84965835584585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MEXX</t>
        </is>
      </c>
      <c r="C16" t="inlineStr">
        <is>
          <t>EWW</t>
        </is>
      </c>
      <c r="D16" t="n">
        <v>52.57181930541992</v>
      </c>
      <c r="E16" t="n">
        <v>-24.32126998901367</v>
      </c>
      <c r="F16" t="n">
        <v>8705</v>
      </c>
      <c r="G16" t="n">
        <v>-6605</v>
      </c>
      <c r="H16">
        <f>D16*F16</f>
        <v/>
      </c>
      <c r="I16">
        <f>E16*G16</f>
        <v/>
      </c>
      <c r="J16">
        <f>H16-I16</f>
        <v/>
      </c>
      <c r="K16" t="n">
        <v>0.0075</v>
      </c>
      <c r="L16" t="n">
        <v>3075.723054984643</v>
      </c>
      <c r="M16" t="n">
        <v>-3038.78552940156</v>
      </c>
      <c r="N16" t="n">
        <v>-2.138493079792764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MEXX</t>
        </is>
      </c>
      <c r="C17" t="inlineStr">
        <is>
          <t>EWW</t>
        </is>
      </c>
      <c r="D17" t="n">
        <v>52.66242218017578</v>
      </c>
      <c r="E17" t="n">
        <v>-24.42273330688477</v>
      </c>
      <c r="F17" t="n">
        <v>8705</v>
      </c>
      <c r="G17" t="n">
        <v>-6605</v>
      </c>
      <c r="H17">
        <f>D17*F17</f>
        <v/>
      </c>
      <c r="I17">
        <f>E17*G17</f>
        <v/>
      </c>
      <c r="J17">
        <f>H17-I17</f>
        <v/>
      </c>
      <c r="K17" t="n">
        <v>0.0075</v>
      </c>
      <c r="L17" t="n">
        <v>788.7312352642573</v>
      </c>
      <c r="M17" t="n">
        <v>-634.538554927677</v>
      </c>
      <c r="N17" t="n">
        <v>0.6755632045262878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MEXX</t>
        </is>
      </c>
      <c r="C18" t="inlineStr">
        <is>
          <t>EWW</t>
        </is>
      </c>
      <c r="D18" t="n">
        <v>52.96138000488281</v>
      </c>
      <c r="E18" t="n">
        <v>-24.80883979797363</v>
      </c>
      <c r="F18" t="n">
        <v>8705</v>
      </c>
      <c r="G18" t="n">
        <v>-6605</v>
      </c>
      <c r="H18">
        <f>D18*F18</f>
        <v/>
      </c>
      <c r="I18">
        <f>E18*G18</f>
        <v/>
      </c>
      <c r="J18">
        <f>H18-I18</f>
        <v/>
      </c>
      <c r="K18" t="n">
        <v>0.0075</v>
      </c>
      <c r="L18" t="n">
        <v>2602.53744716685</v>
      </c>
      <c r="M18" t="n">
        <v>-2414.660391994973</v>
      </c>
      <c r="N18" t="n">
        <v>24.47649355705505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MEXX</t>
        </is>
      </c>
      <c r="C19" t="inlineStr">
        <is>
          <t>EWW</t>
        </is>
      </c>
      <c r="D19" t="n">
        <v>52.58994293212891</v>
      </c>
      <c r="E19" t="n">
        <v>-24.2978458404541</v>
      </c>
      <c r="F19" t="n">
        <v>8705</v>
      </c>
      <c r="G19" t="n">
        <v>-6605</v>
      </c>
      <c r="H19">
        <f>D19*F19</f>
        <v/>
      </c>
      <c r="I19">
        <f>E19*G19</f>
        <v/>
      </c>
      <c r="J19">
        <f>H19-I19</f>
        <v/>
      </c>
      <c r="K19" t="n">
        <v>0.0075</v>
      </c>
      <c r="L19" t="n">
        <v>-3233.495868707875</v>
      </c>
      <c r="M19" t="n">
        <v>3195.690562703287</v>
      </c>
      <c r="N19" t="n">
        <v>37.93902636376757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MEXX</t>
        </is>
      </c>
      <c r="C20" t="inlineStr">
        <is>
          <t>EWW</t>
        </is>
      </c>
      <c r="D20" t="n">
        <v>52.20038604736328</v>
      </c>
      <c r="E20" t="n">
        <v>-23.8774242401123</v>
      </c>
      <c r="F20" t="n">
        <v>9018</v>
      </c>
      <c r="G20" t="n">
        <v>-6603</v>
      </c>
      <c r="H20">
        <f>D20*F20</f>
        <v/>
      </c>
      <c r="I20">
        <f>E20*G20</f>
        <v/>
      </c>
      <c r="J20">
        <f>H20-I20</f>
        <v/>
      </c>
      <c r="K20" t="n">
        <v>0.0075</v>
      </c>
      <c r="L20" t="n">
        <v>-3513.171913310954</v>
      </c>
      <c r="M20" t="n">
        <v>2628.466533658294</v>
      </c>
      <c r="N20" t="n">
        <v>-35.90834671280961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MEXX</t>
        </is>
      </c>
      <c r="C21" t="inlineStr">
        <is>
          <t>EWW</t>
        </is>
      </c>
      <c r="D21" t="n">
        <v>52.22756576538086</v>
      </c>
      <c r="E21" t="n">
        <v>-23.8410816192627</v>
      </c>
      <c r="F21" t="n">
        <v>9018</v>
      </c>
      <c r="G21" t="n">
        <v>-6603</v>
      </c>
      <c r="H21">
        <f>D21*F21</f>
        <v/>
      </c>
      <c r="I21">
        <f>E21*G21</f>
        <v/>
      </c>
      <c r="J21">
        <f>H21-I21</f>
        <v/>
      </c>
      <c r="K21" t="n">
        <v>0.0075</v>
      </c>
      <c r="L21" t="n">
        <v>245.1170180409376</v>
      </c>
      <c r="M21" t="n">
        <v>227.2132606197437</v>
      </c>
      <c r="N21" t="n">
        <v>16.48464722758697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EWY Price</t>
        </is>
      </c>
      <c r="E1" t="inlineStr">
        <is>
          <t>KORU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KORU</t>
        </is>
      </c>
      <c r="C2" t="inlineStr">
        <is>
          <t>EWY</t>
        </is>
      </c>
      <c r="D2" t="n">
        <v>51.599609375</v>
      </c>
      <c r="E2" t="n">
        <v>-66.14919281005859</v>
      </c>
      <c r="F2" t="n">
        <v>12826</v>
      </c>
      <c r="G2" t="n">
        <v>-3410</v>
      </c>
      <c r="H2">
        <f>D2*F2</f>
        <v/>
      </c>
      <c r="I2">
        <f>E2*G2</f>
        <v/>
      </c>
      <c r="J2">
        <f>H2-I2</f>
        <v/>
      </c>
      <c r="K2" t="n">
        <v>0.0225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KORU</t>
        </is>
      </c>
      <c r="C3" t="inlineStr">
        <is>
          <t>EWY</t>
        </is>
      </c>
      <c r="D3" t="n">
        <v>53.63827133178711</v>
      </c>
      <c r="E3" t="n">
        <v>-73.71710968017578</v>
      </c>
      <c r="F3" t="n">
        <v>12826</v>
      </c>
      <c r="G3" t="n">
        <v>-3410</v>
      </c>
      <c r="H3">
        <f>D3*F3</f>
        <v/>
      </c>
      <c r="I3">
        <f>E3*G3</f>
        <v/>
      </c>
      <c r="J3">
        <f>H3-I3</f>
        <v/>
      </c>
      <c r="K3" t="n">
        <v>0.0225</v>
      </c>
      <c r="L3" t="n">
        <v>0</v>
      </c>
      <c r="M3" t="n">
        <v>0</v>
      </c>
      <c r="N3" t="n">
        <v>-880.4485700399404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KORU</t>
        </is>
      </c>
      <c r="C4" t="inlineStr">
        <is>
          <t>EWY</t>
        </is>
      </c>
      <c r="D4" t="n">
        <v>53.0704231262207</v>
      </c>
      <c r="E4" t="n">
        <v>-71.47477722167969</v>
      </c>
      <c r="F4" t="n">
        <v>12826</v>
      </c>
      <c r="G4" t="n">
        <v>-3410</v>
      </c>
      <c r="H4">
        <f>D4*F4</f>
        <v/>
      </c>
      <c r="I4">
        <f>E4*G4</f>
        <v/>
      </c>
      <c r="J4">
        <f>H4-I4</f>
        <v/>
      </c>
      <c r="K4" t="n">
        <v>0.0225</v>
      </c>
      <c r="L4" t="n">
        <v>-7283.527766635072</v>
      </c>
      <c r="M4" t="n">
        <v>7239.865799535268</v>
      </c>
      <c r="N4" t="n">
        <v>-113.2293614331581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KORU</t>
        </is>
      </c>
      <c r="C5" t="inlineStr">
        <is>
          <t>EWY</t>
        </is>
      </c>
      <c r="D5" t="n">
        <v>55.75141143798828</v>
      </c>
      <c r="E5" t="n">
        <v>-82.59306335449219</v>
      </c>
      <c r="F5" t="n">
        <v>12826</v>
      </c>
      <c r="G5" t="n">
        <v>-3410</v>
      </c>
      <c r="H5">
        <f>D5*F5</f>
        <v/>
      </c>
      <c r="I5">
        <f>E5*G5</f>
        <v/>
      </c>
      <c r="J5">
        <f>H5-I5</f>
        <v/>
      </c>
      <c r="K5" t="n">
        <v>0.0225</v>
      </c>
      <c r="L5" t="n">
        <v>34387.80402820112</v>
      </c>
      <c r="M5" t="n">
        <v>-35897.843434146</v>
      </c>
      <c r="N5" t="n">
        <v>126.7722184394636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KORU</t>
        </is>
      </c>
      <c r="C6" t="inlineStr">
        <is>
          <t>EWY</t>
        </is>
      </c>
      <c r="D6" t="n">
        <v>56.92433929443359</v>
      </c>
      <c r="E6" t="n">
        <v>-87.73178863525391</v>
      </c>
      <c r="F6" t="n">
        <v>12826</v>
      </c>
      <c r="G6" t="n">
        <v>-2951</v>
      </c>
      <c r="H6">
        <f>D6*F6</f>
        <v/>
      </c>
      <c r="I6">
        <f>E6*G6</f>
        <v/>
      </c>
      <c r="J6">
        <f>H6-I6</f>
        <v/>
      </c>
      <c r="K6" t="n">
        <v>0.0225</v>
      </c>
      <c r="L6" t="n">
        <v>15044.60615871425</v>
      </c>
      <c r="M6" t="n">
        <v>-14358.22463826688</v>
      </c>
      <c r="N6" t="n">
        <v>152.2823849871754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KORU</t>
        </is>
      </c>
      <c r="C7" t="inlineStr">
        <is>
          <t>EWY</t>
        </is>
      </c>
      <c r="D7" t="n">
        <v>57.11051559448242</v>
      </c>
      <c r="E7" t="n">
        <v>-88.57266235351562</v>
      </c>
      <c r="F7" t="n">
        <v>12826</v>
      </c>
      <c r="G7" t="n">
        <v>-2951</v>
      </c>
      <c r="H7">
        <f>D7*F7</f>
        <v/>
      </c>
      <c r="I7">
        <f>E7*G7</f>
        <v/>
      </c>
      <c r="J7">
        <f>H7-I7</f>
        <v/>
      </c>
      <c r="K7" t="n">
        <v>0.0225</v>
      </c>
      <c r="L7" t="n">
        <v>2387.997774057321</v>
      </c>
      <c r="M7" t="n">
        <v>-2349.503637490976</v>
      </c>
      <c r="N7" t="n">
        <v>131.1390456772348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KORU</t>
        </is>
      </c>
      <c r="C8" t="inlineStr">
        <is>
          <t>EWY</t>
        </is>
      </c>
      <c r="D8" t="n">
        <v>57.25946426391602</v>
      </c>
      <c r="E8" t="n">
        <v>-89.2266845703125</v>
      </c>
      <c r="F8" t="n">
        <v>12826</v>
      </c>
      <c r="G8" t="n">
        <v>-2951</v>
      </c>
      <c r="H8">
        <f>D8*F8</f>
        <v/>
      </c>
      <c r="I8">
        <f>E8*G8</f>
        <v/>
      </c>
      <c r="J8">
        <f>H8-I8</f>
        <v/>
      </c>
      <c r="K8" t="n">
        <v>0.0225</v>
      </c>
      <c r="L8" t="n">
        <v>1910.496077980579</v>
      </c>
      <c r="M8" t="n">
        <v>-1827.41777271947</v>
      </c>
      <c r="N8" t="n">
        <v>79.47745629894138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KORU</t>
        </is>
      </c>
      <c r="C9" t="inlineStr">
        <is>
          <t>EWY</t>
        </is>
      </c>
      <c r="D9" t="n">
        <v>57.67836380004883</v>
      </c>
      <c r="E9" t="n">
        <v>-91.18872833251953</v>
      </c>
      <c r="F9" t="n">
        <v>12826</v>
      </c>
      <c r="G9" t="n">
        <v>-2951</v>
      </c>
      <c r="H9">
        <f>D9*F9</f>
        <v/>
      </c>
      <c r="I9">
        <f>E9*G9</f>
        <v/>
      </c>
      <c r="J9">
        <f>H9-I9</f>
        <v/>
      </c>
      <c r="K9" t="n">
        <v>0.0225</v>
      </c>
      <c r="L9" t="n">
        <v>5373.031688654493</v>
      </c>
      <c r="M9" t="n">
        <v>-5482.189365784302</v>
      </c>
      <c r="N9" t="n">
        <v>112.7821717737388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KORU</t>
        </is>
      </c>
      <c r="C10" t="inlineStr">
        <is>
          <t>EWY</t>
        </is>
      </c>
      <c r="D10" t="n">
        <v>58.10657501220703</v>
      </c>
      <c r="E10" t="n">
        <v>-93.15078735351562</v>
      </c>
      <c r="F10" t="n">
        <v>12826</v>
      </c>
      <c r="G10" t="n">
        <v>-2951</v>
      </c>
      <c r="H10">
        <f>D10*F10</f>
        <v/>
      </c>
      <c r="I10">
        <f>E10*G10</f>
        <v/>
      </c>
      <c r="J10">
        <f>H10-I10</f>
        <v/>
      </c>
      <c r="K10" t="n">
        <v>0.0225</v>
      </c>
      <c r="L10" t="n">
        <v>5492.46827438288</v>
      </c>
      <c r="M10" t="n">
        <v>-5482.232000700374</v>
      </c>
      <c r="N10" t="n">
        <v>109.2582577242936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KORU</t>
        </is>
      </c>
      <c r="C11" t="inlineStr">
        <is>
          <t>EWY</t>
        </is>
      </c>
      <c r="D11" t="n">
        <v>57.94832229614258</v>
      </c>
      <c r="E11" t="n">
        <v>-92.30990600585938</v>
      </c>
      <c r="F11" t="n">
        <v>12312</v>
      </c>
      <c r="G11" t="n">
        <v>-2618</v>
      </c>
      <c r="H11">
        <f>D11*F11</f>
        <v/>
      </c>
      <c r="I11">
        <f>E11*G11</f>
        <v/>
      </c>
      <c r="J11">
        <f>H11-I11</f>
        <v/>
      </c>
      <c r="K11" t="n">
        <v>0.0225</v>
      </c>
      <c r="L11" t="n">
        <v>-1948.489483770692</v>
      </c>
      <c r="M11" t="n">
        <v>2084.397266030673</v>
      </c>
      <c r="N11" t="n">
        <v>58.73946018778445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KORU</t>
        </is>
      </c>
      <c r="C12" t="inlineStr">
        <is>
          <t>EWY</t>
        </is>
      </c>
      <c r="D12" t="n">
        <v>57.08259201049805</v>
      </c>
      <c r="E12" t="n">
        <v>-88.29236602783203</v>
      </c>
      <c r="F12" t="n">
        <v>12312</v>
      </c>
      <c r="G12" t="n">
        <v>-2618</v>
      </c>
      <c r="H12">
        <f>D12*F12</f>
        <v/>
      </c>
      <c r="I12">
        <f>E12*G12</f>
        <v/>
      </c>
      <c r="J12">
        <f>H12-I12</f>
        <v/>
      </c>
      <c r="K12" t="n">
        <v>0.0225</v>
      </c>
      <c r="L12" t="n">
        <v>-10659.32010085147</v>
      </c>
      <c r="M12" t="n">
        <v>9958.776431074379</v>
      </c>
      <c r="N12" t="n">
        <v>-78.09811478891334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KORU</t>
        </is>
      </c>
      <c r="C13" t="inlineStr">
        <is>
          <t>EWY</t>
        </is>
      </c>
      <c r="D13" t="n">
        <v>57.87385177612305</v>
      </c>
      <c r="E13" t="n">
        <v>-91.56246185302734</v>
      </c>
      <c r="F13" t="n">
        <v>12312</v>
      </c>
      <c r="G13" t="n">
        <v>-2618</v>
      </c>
      <c r="H13">
        <f>D13*F13</f>
        <v/>
      </c>
      <c r="I13">
        <f>E13*G13</f>
        <v/>
      </c>
      <c r="J13">
        <f>H13-I13</f>
        <v/>
      </c>
      <c r="K13" t="n">
        <v>0.0225</v>
      </c>
      <c r="L13" t="n">
        <v>9742.400450323054</v>
      </c>
      <c r="M13" t="n">
        <v>-8105.993570548148</v>
      </c>
      <c r="N13" t="n">
        <v>-3.199265217414613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KORU</t>
        </is>
      </c>
      <c r="C14" t="inlineStr">
        <is>
          <t>EWY</t>
        </is>
      </c>
      <c r="D14" t="n">
        <v>58.86991500854492</v>
      </c>
      <c r="E14" t="n">
        <v>-96.42086791992188</v>
      </c>
      <c r="F14" t="n">
        <v>12312</v>
      </c>
      <c r="G14" t="n">
        <v>-2618</v>
      </c>
      <c r="H14">
        <f>D14*F14</f>
        <v/>
      </c>
      <c r="I14">
        <f>E14*G14</f>
        <v/>
      </c>
      <c r="J14">
        <f>H14-I14</f>
        <v/>
      </c>
      <c r="K14" t="n">
        <v>0.0225</v>
      </c>
      <c r="L14" t="n">
        <v>12264.04691060221</v>
      </c>
      <c r="M14" t="n">
        <v>-12043.13587324525</v>
      </c>
      <c r="N14" t="n">
        <v>188.6511968286081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KORU</t>
        </is>
      </c>
      <c r="C15" t="inlineStr">
        <is>
          <t>EWY</t>
        </is>
      </c>
      <c r="D15" t="n">
        <v>59.48430633544922</v>
      </c>
      <c r="E15" t="n">
        <v>-99.31723785400391</v>
      </c>
      <c r="F15" t="n">
        <v>12312</v>
      </c>
      <c r="G15" t="n">
        <v>-2618</v>
      </c>
      <c r="H15">
        <f>D15*F15</f>
        <v/>
      </c>
      <c r="I15">
        <f>E15*G15</f>
        <v/>
      </c>
      <c r="J15">
        <f>H15-I15</f>
        <v/>
      </c>
      <c r="K15" t="n">
        <v>0.0225</v>
      </c>
      <c r="L15" t="n">
        <v>7564.70453818546</v>
      </c>
      <c r="M15" t="n">
        <v>-7179.592684320083</v>
      </c>
      <c r="N15" t="n">
        <v>128.0783438191835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KORU</t>
        </is>
      </c>
      <c r="C16" t="inlineStr">
        <is>
          <t>EWY</t>
        </is>
      </c>
      <c r="D16" t="n">
        <v>59.30743408203125</v>
      </c>
      <c r="E16" t="n">
        <v>-98.28950500488281</v>
      </c>
      <c r="F16" t="n">
        <v>12312</v>
      </c>
      <c r="G16" t="n">
        <v>-2618</v>
      </c>
      <c r="H16">
        <f>D16*F16</f>
        <v/>
      </c>
      <c r="I16">
        <f>E16*G16</f>
        <v/>
      </c>
      <c r="J16">
        <f>H16-I16</f>
        <v/>
      </c>
      <c r="K16" t="n">
        <v>0.0225</v>
      </c>
      <c r="L16" t="n">
        <v>-2177.742880667998</v>
      </c>
      <c r="M16" t="n">
        <v>2547.569341249853</v>
      </c>
      <c r="N16" t="n">
        <v>-10.27653778205987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KORU</t>
        </is>
      </c>
      <c r="C17" t="inlineStr">
        <is>
          <t>EWY</t>
        </is>
      </c>
      <c r="D17" t="n">
        <v>59.44707107543945</v>
      </c>
      <c r="E17" t="n">
        <v>-99.03692626953125</v>
      </c>
      <c r="F17" t="n">
        <v>12312</v>
      </c>
      <c r="G17" t="n">
        <v>-2618</v>
      </c>
      <c r="H17">
        <f>D17*F17</f>
        <v/>
      </c>
      <c r="I17">
        <f>E17*G17</f>
        <v/>
      </c>
      <c r="J17">
        <f>H17-I17</f>
        <v/>
      </c>
      <c r="K17" t="n">
        <v>0.0225</v>
      </c>
      <c r="L17" t="n">
        <v>1719.283055403788</v>
      </c>
      <c r="M17" t="n">
        <v>-1852.726124736525</v>
      </c>
      <c r="N17" t="n">
        <v>3.257518929373896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KORU</t>
        </is>
      </c>
      <c r="C18" t="inlineStr">
        <is>
          <t>EWY</t>
        </is>
      </c>
      <c r="D18" t="n">
        <v>60.59206771850586</v>
      </c>
      <c r="E18" t="n">
        <v>-104.6427841186523</v>
      </c>
      <c r="F18" t="n">
        <v>12312</v>
      </c>
      <c r="G18" t="n">
        <v>-2618</v>
      </c>
      <c r="H18">
        <f>D18*F18</f>
        <v/>
      </c>
      <c r="I18">
        <f>E18*G18</f>
        <v/>
      </c>
      <c r="J18">
        <f>H18-I18</f>
        <v/>
      </c>
      <c r="K18" t="n">
        <v>0.0225</v>
      </c>
      <c r="L18" t="n">
        <v>14097.79227459824</v>
      </c>
      <c r="M18" t="n">
        <v>-13895.93764570138</v>
      </c>
      <c r="N18" t="n">
        <v>122.7637392814965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KORU</t>
        </is>
      </c>
      <c r="C19" t="inlineStr">
        <is>
          <t>EWY</t>
        </is>
      </c>
      <c r="D19" t="n">
        <v>60.88996124267578</v>
      </c>
      <c r="E19" t="n">
        <v>-106.6048583984375</v>
      </c>
      <c r="F19" t="n">
        <v>12312</v>
      </c>
      <c r="G19" t="n">
        <v>-2618</v>
      </c>
      <c r="H19">
        <f>D19*F19</f>
        <v/>
      </c>
      <c r="I19">
        <f>E19*G19</f>
        <v/>
      </c>
      <c r="J19">
        <f>H19-I19</f>
        <v/>
      </c>
      <c r="K19" t="n">
        <v>0.0225</v>
      </c>
      <c r="L19" t="n">
        <v>3667.819507704883</v>
      </c>
      <c r="M19" t="n">
        <v>-4863.637748574673</v>
      </c>
      <c r="N19" t="n">
        <v>197.9308463085461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KORU</t>
        </is>
      </c>
      <c r="C20" t="inlineStr">
        <is>
          <t>EWY</t>
        </is>
      </c>
      <c r="D20" t="n">
        <v>59.54947280883789</v>
      </c>
      <c r="E20" t="n">
        <v>-99.31723785400391</v>
      </c>
      <c r="F20" t="n">
        <v>12466</v>
      </c>
      <c r="G20" t="n">
        <v>-2427</v>
      </c>
      <c r="H20">
        <f>D20*F20</f>
        <v/>
      </c>
      <c r="I20">
        <f>E20*G20</f>
        <v/>
      </c>
      <c r="J20">
        <f>H20-I20</f>
        <v/>
      </c>
      <c r="K20" t="n">
        <v>0.0225</v>
      </c>
      <c r="L20" t="n">
        <v>-16711.23246355351</v>
      </c>
      <c r="M20" t="n">
        <v>16746.79335195956</v>
      </c>
      <c r="N20" t="n">
        <v>-164.6957152316683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KORU</t>
        </is>
      </c>
      <c r="C21" t="inlineStr">
        <is>
          <t>EWY</t>
        </is>
      </c>
      <c r="D21" t="n">
        <v>59.08401870727539</v>
      </c>
      <c r="E21" t="n">
        <v>-96.60774230957031</v>
      </c>
      <c r="F21" t="n">
        <v>12466</v>
      </c>
      <c r="G21" t="n">
        <v>-2427</v>
      </c>
      <c r="H21">
        <f>D21*F21</f>
        <v/>
      </c>
      <c r="I21">
        <f>E21*G21</f>
        <v/>
      </c>
      <c r="J21">
        <f>H21-I21</f>
        <v/>
      </c>
      <c r="K21" t="n">
        <v>0.0225</v>
      </c>
      <c r="L21" t="n">
        <v>-5802.595155599855</v>
      </c>
      <c r="M21" t="n">
        <v>6226.361772546324</v>
      </c>
      <c r="N21" t="n">
        <v>73.65722785165795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FXI Price</t>
        </is>
      </c>
      <c r="E1" t="inlineStr">
        <is>
          <t>YINN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YINN</t>
        </is>
      </c>
      <c r="C2" t="inlineStr">
        <is>
          <t>FXI</t>
        </is>
      </c>
      <c r="D2" t="n">
        <v>27.23507308959961</v>
      </c>
      <c r="E2" t="n">
        <v>-47.69095993041992</v>
      </c>
      <c r="F2" t="n">
        <v>35048</v>
      </c>
      <c r="G2" t="n">
        <v>-6728</v>
      </c>
      <c r="H2">
        <f>D2*F2</f>
        <v/>
      </c>
      <c r="I2">
        <f>E2*G2</f>
        <v/>
      </c>
      <c r="J2">
        <f>H2-I2</f>
        <v/>
      </c>
      <c r="K2" t="n">
        <v>-0.02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YINN</t>
        </is>
      </c>
      <c r="C3" t="inlineStr">
        <is>
          <t>FXI</t>
        </is>
      </c>
      <c r="D3" t="n">
        <v>28.97209739685059</v>
      </c>
      <c r="E3" t="n">
        <v>-56.75046920776367</v>
      </c>
      <c r="F3" t="n">
        <v>35048</v>
      </c>
      <c r="G3" t="n">
        <v>-6728</v>
      </c>
      <c r="H3">
        <f>D3*F3</f>
        <v/>
      </c>
      <c r="I3">
        <f>E3*G3</f>
        <v/>
      </c>
      <c r="J3">
        <f>H3-I3</f>
        <v/>
      </c>
      <c r="K3" t="n">
        <v>-0.02</v>
      </c>
      <c r="L3" t="n">
        <v>0</v>
      </c>
      <c r="M3" t="n">
        <v>0</v>
      </c>
      <c r="N3" t="n">
        <v>-0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YINN</t>
        </is>
      </c>
      <c r="C4" t="inlineStr">
        <is>
          <t>FXI</t>
        </is>
      </c>
      <c r="D4" t="n">
        <v>28.90707397460938</v>
      </c>
      <c r="E4" t="n">
        <v>-56.48868942260742</v>
      </c>
      <c r="F4" t="n">
        <v>35048</v>
      </c>
      <c r="G4" t="n">
        <v>-6728</v>
      </c>
      <c r="H4">
        <f>D4*F4</f>
        <v/>
      </c>
      <c r="I4">
        <f>E4*G4</f>
        <v/>
      </c>
      <c r="J4">
        <f>H4-I4</f>
        <v/>
      </c>
      <c r="K4" t="n">
        <v>-0.02</v>
      </c>
      <c r="L4" t="n">
        <v>-2279.036864405721</v>
      </c>
      <c r="M4" t="n">
        <v>1667.624332210923</v>
      </c>
      <c r="N4" t="n">
        <v>-0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YINN</t>
        </is>
      </c>
      <c r="C5" t="inlineStr">
        <is>
          <t>FXI</t>
        </is>
      </c>
      <c r="D5" t="n">
        <v>28.98138809204102</v>
      </c>
      <c r="E5" t="n">
        <v>-56.95615005493164</v>
      </c>
      <c r="F5" t="n">
        <v>35048</v>
      </c>
      <c r="G5" t="n">
        <v>-6728</v>
      </c>
      <c r="H5">
        <f>D5*F5</f>
        <v/>
      </c>
      <c r="I5">
        <f>E5*G5</f>
        <v/>
      </c>
      <c r="J5">
        <f>H5-I5</f>
        <v/>
      </c>
      <c r="K5" t="n">
        <v>-0.02</v>
      </c>
      <c r="L5" t="n">
        <v>2604.670860666325</v>
      </c>
      <c r="M5" t="n">
        <v>-2977.879763898796</v>
      </c>
      <c r="N5" t="n">
        <v>0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YINN</t>
        </is>
      </c>
      <c r="C6" t="inlineStr">
        <is>
          <t>FXI</t>
        </is>
      </c>
      <c r="D6" t="n">
        <v>28.98138809204102</v>
      </c>
      <c r="E6" t="n">
        <v>-57.05900192260742</v>
      </c>
      <c r="F6" t="n">
        <v>35048</v>
      </c>
      <c r="G6" t="n">
        <v>-5995</v>
      </c>
      <c r="H6">
        <f>D6*F6</f>
        <v/>
      </c>
      <c r="I6">
        <f>E6*G6</f>
        <v/>
      </c>
      <c r="J6">
        <f>H6-I6</f>
        <v/>
      </c>
      <c r="K6" t="n">
        <v>-0.02</v>
      </c>
      <c r="L6" t="n">
        <v>0</v>
      </c>
      <c r="M6" t="n">
        <v>-583.8180303219303</v>
      </c>
      <c r="N6" t="n">
        <v>0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YINN</t>
        </is>
      </c>
      <c r="C7" t="inlineStr">
        <is>
          <t>FXI</t>
        </is>
      </c>
      <c r="D7" t="n">
        <v>29.34365272521973</v>
      </c>
      <c r="E7" t="n">
        <v>-58.95691680908203</v>
      </c>
      <c r="F7" t="n">
        <v>35048</v>
      </c>
      <c r="G7" t="n">
        <v>-5995</v>
      </c>
      <c r="H7">
        <f>D7*F7</f>
        <v/>
      </c>
      <c r="I7">
        <f>E7*G7</f>
        <v/>
      </c>
      <c r="J7">
        <f>H7-I7</f>
        <v/>
      </c>
      <c r="K7" t="n">
        <v>-0.02</v>
      </c>
      <c r="L7" t="n">
        <v>12697.18549451301</v>
      </c>
      <c r="M7" t="n">
        <v>-10773.13378725536</v>
      </c>
      <c r="N7" t="n">
        <v>0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YINN</t>
        </is>
      </c>
      <c r="C8" t="inlineStr">
        <is>
          <t>FXI</t>
        </is>
      </c>
      <c r="D8" t="n">
        <v>29.64089965820312</v>
      </c>
      <c r="E8" t="n">
        <v>-60.72393035888672</v>
      </c>
      <c r="F8" t="n">
        <v>35048</v>
      </c>
      <c r="G8" t="n">
        <v>-5995</v>
      </c>
      <c r="H8">
        <f>D8*F8</f>
        <v/>
      </c>
      <c r="I8">
        <f>E8*G8</f>
        <v/>
      </c>
      <c r="J8">
        <f>H8-I8</f>
        <v/>
      </c>
      <c r="K8" t="n">
        <v>-0.02</v>
      </c>
      <c r="L8" t="n">
        <v>10418.34918481654</v>
      </c>
      <c r="M8" t="n">
        <v>-10030.09856321794</v>
      </c>
      <c r="N8" t="n">
        <v>0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YINN</t>
        </is>
      </c>
      <c r="C9" t="inlineStr">
        <is>
          <t>FXI</t>
        </is>
      </c>
      <c r="D9" t="n">
        <v>29.39010047912598</v>
      </c>
      <c r="E9" t="n">
        <v>-59.12520599365234</v>
      </c>
      <c r="F9" t="n">
        <v>35048</v>
      </c>
      <c r="G9" t="n">
        <v>-5995</v>
      </c>
      <c r="H9">
        <f>D9*F9</f>
        <v/>
      </c>
      <c r="I9">
        <f>E9*G9</f>
        <v/>
      </c>
      <c r="J9">
        <f>H9-I9</f>
        <v/>
      </c>
      <c r="K9" t="n">
        <v>-0.02</v>
      </c>
      <c r="L9" t="n">
        <v>-8790.379758222774</v>
      </c>
      <c r="M9" t="n">
        <v>9074.838707655208</v>
      </c>
      <c r="N9" t="n">
        <v>0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YINN</t>
        </is>
      </c>
      <c r="C10" t="inlineStr">
        <is>
          <t>FXI</t>
        </is>
      </c>
      <c r="D10" t="n">
        <v>29.8080997467041</v>
      </c>
      <c r="E10" t="n">
        <v>-61.59342575073242</v>
      </c>
      <c r="F10" t="n">
        <v>35048</v>
      </c>
      <c r="G10" t="n">
        <v>-5995</v>
      </c>
      <c r="H10">
        <f>D10*F10</f>
        <v/>
      </c>
      <c r="I10">
        <f>E10*G10</f>
        <v/>
      </c>
      <c r="J10">
        <f>H10-I10</f>
        <v/>
      </c>
      <c r="K10" t="n">
        <v>-0.02</v>
      </c>
      <c r="L10" t="n">
        <v>14650.65521422787</v>
      </c>
      <c r="M10" t="n">
        <v>-14010.35517918434</v>
      </c>
      <c r="N10" t="n">
        <v>0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YINN</t>
        </is>
      </c>
      <c r="C11" t="inlineStr">
        <is>
          <t>FXI</t>
        </is>
      </c>
      <c r="D11" t="n">
        <v>29.15787506103516</v>
      </c>
      <c r="E11" t="n">
        <v>-57.6386604309082</v>
      </c>
      <c r="F11" t="n">
        <v>34613</v>
      </c>
      <c r="G11" t="n">
        <v>-5631</v>
      </c>
      <c r="H11">
        <f>D11*F11</f>
        <v/>
      </c>
      <c r="I11">
        <f>E11*G11</f>
        <v/>
      </c>
      <c r="J11">
        <f>H11-I11</f>
        <v/>
      </c>
      <c r="K11" t="n">
        <v>-0.02</v>
      </c>
      <c r="L11" t="n">
        <v>-22507.17473778341</v>
      </c>
      <c r="M11" t="n">
        <v>21085.42591426866</v>
      </c>
      <c r="N11" t="n">
        <v>0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YINN</t>
        </is>
      </c>
      <c r="C12" t="inlineStr">
        <is>
          <t>FXI</t>
        </is>
      </c>
      <c r="D12" t="n">
        <v>28.86992073059082</v>
      </c>
      <c r="E12" t="n">
        <v>-55.84358596801758</v>
      </c>
      <c r="F12" t="n">
        <v>34613</v>
      </c>
      <c r="G12" t="n">
        <v>-5631</v>
      </c>
      <c r="H12">
        <f>D12*F12</f>
        <v/>
      </c>
      <c r="I12">
        <f>E12*G12</f>
        <v/>
      </c>
      <c r="J12">
        <f>H12-I12</f>
        <v/>
      </c>
      <c r="K12" t="n">
        <v>-0.02</v>
      </c>
      <c r="L12" t="n">
        <v>-9967.382928786317</v>
      </c>
      <c r="M12" t="n">
        <v>9570.709394093259</v>
      </c>
      <c r="N12" t="n">
        <v>-0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YINN</t>
        </is>
      </c>
      <c r="C13" t="inlineStr">
        <is>
          <t>FXI</t>
        </is>
      </c>
      <c r="D13" t="n">
        <v>29.44583129882812</v>
      </c>
      <c r="E13" t="n">
        <v>-59.2747917175293</v>
      </c>
      <c r="F13" t="n">
        <v>34613</v>
      </c>
      <c r="G13" t="n">
        <v>-5631</v>
      </c>
      <c r="H13">
        <f>D13*F13</f>
        <v/>
      </c>
      <c r="I13">
        <f>E13*G13</f>
        <v/>
      </c>
      <c r="J13">
        <f>H13-I13</f>
        <v/>
      </c>
      <c r="K13" t="n">
        <v>-0.02</v>
      </c>
      <c r="L13" t="n">
        <v>19934.83187941079</v>
      </c>
      <c r="M13" t="n">
        <v>-18293.98934629015</v>
      </c>
      <c r="N13" t="n">
        <v>-0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YINN</t>
        </is>
      </c>
      <c r="C14" t="inlineStr">
        <is>
          <t>FXI</t>
        </is>
      </c>
      <c r="D14" t="n">
        <v>30.17965698242188</v>
      </c>
      <c r="E14" t="n">
        <v>-63.55679321289062</v>
      </c>
      <c r="F14" t="n">
        <v>34613</v>
      </c>
      <c r="G14" t="n">
        <v>-5631</v>
      </c>
      <c r="H14">
        <f>D14*F14</f>
        <v/>
      </c>
      <c r="I14">
        <f>E14*G14</f>
        <v/>
      </c>
      <c r="J14">
        <f>H14-I14</f>
        <v/>
      </c>
      <c r="K14" t="n">
        <v>-0.02</v>
      </c>
      <c r="L14" t="n">
        <v>25400.97792615491</v>
      </c>
      <c r="M14" t="n">
        <v>-22830.1347851513</v>
      </c>
      <c r="N14" t="n">
        <v>0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YINN</t>
        </is>
      </c>
      <c r="C15" t="inlineStr">
        <is>
          <t>FXI</t>
        </is>
      </c>
      <c r="D15" t="n">
        <v>30.5140552520752</v>
      </c>
      <c r="E15" t="n">
        <v>-65.48274993896484</v>
      </c>
      <c r="F15" t="n">
        <v>34613</v>
      </c>
      <c r="G15" t="n">
        <v>-5631</v>
      </c>
      <c r="H15">
        <f>D15*F15</f>
        <v/>
      </c>
      <c r="I15">
        <f>E15*G15</f>
        <v/>
      </c>
      <c r="J15">
        <f>H15-I15</f>
        <v/>
      </c>
      <c r="K15" t="n">
        <v>-0.02</v>
      </c>
      <c r="L15" t="n">
        <v>11575.0146879715</v>
      </c>
      <c r="M15" t="n">
        <v>-10268.52785882384</v>
      </c>
      <c r="N15" t="n">
        <v>0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YINN</t>
        </is>
      </c>
      <c r="C16" t="inlineStr">
        <is>
          <t>FXI</t>
        </is>
      </c>
      <c r="D16" t="n">
        <v>30.45832061767578</v>
      </c>
      <c r="E16" t="n">
        <v>-65.33318328857422</v>
      </c>
      <c r="F16" t="n">
        <v>34613</v>
      </c>
      <c r="G16" t="n">
        <v>-5631</v>
      </c>
      <c r="H16">
        <f>D16*F16</f>
        <v/>
      </c>
      <c r="I16">
        <f>E16*G16</f>
        <v/>
      </c>
      <c r="J16">
        <f>H16-I16</f>
        <v/>
      </c>
      <c r="K16" t="n">
        <v>-0.02</v>
      </c>
      <c r="L16" t="n">
        <v>-1929.224132860384</v>
      </c>
      <c r="M16" t="n">
        <v>797.4370843822965</v>
      </c>
      <c r="N16" t="n">
        <v>-0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YINN</t>
        </is>
      </c>
      <c r="C17" t="inlineStr">
        <is>
          <t>FXI</t>
        </is>
      </c>
      <c r="D17" t="n">
        <v>30.52334785461426</v>
      </c>
      <c r="E17" t="n">
        <v>-65.76322937011719</v>
      </c>
      <c r="F17" t="n">
        <v>34613</v>
      </c>
      <c r="G17" t="n">
        <v>-5631</v>
      </c>
      <c r="H17">
        <f>D17*F17</f>
        <v/>
      </c>
      <c r="I17">
        <f>E17*G17</f>
        <v/>
      </c>
      <c r="J17">
        <f>H17-I17</f>
        <v/>
      </c>
      <c r="K17" t="n">
        <v>-0.02</v>
      </c>
      <c r="L17" t="n">
        <v>2250.88252837374</v>
      </c>
      <c r="M17" t="n">
        <v>-2292.855342551362</v>
      </c>
      <c r="N17" t="n">
        <v>0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YINN</t>
        </is>
      </c>
      <c r="C18" t="inlineStr">
        <is>
          <t>FXI</t>
        </is>
      </c>
      <c r="D18" t="n">
        <v>30.92276763916016</v>
      </c>
      <c r="E18" t="n">
        <v>-68.25016021728516</v>
      </c>
      <c r="F18" t="n">
        <v>34613</v>
      </c>
      <c r="G18" t="n">
        <v>-5631</v>
      </c>
      <c r="H18">
        <f>D18*F18</f>
        <v/>
      </c>
      <c r="I18">
        <f>E18*G18</f>
        <v/>
      </c>
      <c r="J18">
        <f>H18-I18</f>
        <v/>
      </c>
      <c r="K18" t="n">
        <v>-0.02</v>
      </c>
      <c r="L18" t="n">
        <v>13825.69915083077</v>
      </c>
      <c r="M18" t="n">
        <v>-13259.44572969007</v>
      </c>
      <c r="N18" t="n">
        <v>0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YINN</t>
        </is>
      </c>
      <c r="C19" t="inlineStr">
        <is>
          <t>FXI</t>
        </is>
      </c>
      <c r="D19" t="n">
        <v>30.86703491210938</v>
      </c>
      <c r="E19" t="n">
        <v>-67.92294311523438</v>
      </c>
      <c r="F19" t="n">
        <v>34613</v>
      </c>
      <c r="G19" t="n">
        <v>-5631</v>
      </c>
      <c r="H19">
        <f>D19*F19</f>
        <v/>
      </c>
      <c r="I19">
        <f>E19*G19</f>
        <v/>
      </c>
      <c r="J19">
        <f>H19-I19</f>
        <v/>
      </c>
      <c r="K19" t="n">
        <v>-0.02</v>
      </c>
      <c r="L19" t="n">
        <v>-1929.158111022224</v>
      </c>
      <c r="M19" t="n">
        <v>1744.607177722522</v>
      </c>
      <c r="N19" t="n">
        <v>0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YINN</t>
        </is>
      </c>
      <c r="C20" t="inlineStr">
        <is>
          <t>FXI</t>
        </is>
      </c>
      <c r="D20" t="n">
        <v>29.7244987487793</v>
      </c>
      <c r="E20" t="n">
        <v>-60.39670181274414</v>
      </c>
      <c r="F20" t="n">
        <v>35467</v>
      </c>
      <c r="G20" t="n">
        <v>-5418</v>
      </c>
      <c r="H20">
        <f>D20*F20</f>
        <v/>
      </c>
      <c r="I20">
        <f>E20*G20</f>
        <v/>
      </c>
      <c r="J20">
        <f>H20-I20</f>
        <v/>
      </c>
      <c r="K20" t="n">
        <v>-0.02</v>
      </c>
      <c r="L20" t="n">
        <v>-40524.03642003261</v>
      </c>
      <c r="M20" t="n">
        <v>38609.41955261127</v>
      </c>
      <c r="N20" t="n">
        <v>-0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YINN</t>
        </is>
      </c>
      <c r="C21" t="inlineStr">
        <is>
          <t>FXI</t>
        </is>
      </c>
      <c r="D21" t="n">
        <v>29.53872108459473</v>
      </c>
      <c r="E21" t="n">
        <v>-59.40568542480469</v>
      </c>
      <c r="F21" t="n">
        <v>35467</v>
      </c>
      <c r="G21" t="n">
        <v>-5418</v>
      </c>
      <c r="H21">
        <f>D21*F21</f>
        <v/>
      </c>
      <c r="I21">
        <f>E21*G21</f>
        <v/>
      </c>
      <c r="J21">
        <f>H21-I21</f>
        <v/>
      </c>
      <c r="K21" t="n">
        <v>-0.02</v>
      </c>
      <c r="L21" t="n">
        <v>-6589.25386440407</v>
      </c>
      <c r="M21" t="n">
        <v>5083.887955174602</v>
      </c>
      <c r="N21" t="n">
        <v>0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GDXJ Price</t>
        </is>
      </c>
      <c r="E1" t="inlineStr">
        <is>
          <t>JNUG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JNUG</t>
        </is>
      </c>
      <c r="C2" t="inlineStr">
        <is>
          <t>GDXJ</t>
        </is>
      </c>
      <c r="D2" t="n">
        <v>34.86901092529297</v>
      </c>
      <c r="E2" t="n">
        <v>-36.15386581420898</v>
      </c>
      <c r="F2" t="n">
        <v>13873</v>
      </c>
      <c r="G2" t="n">
        <v>-6778</v>
      </c>
      <c r="H2">
        <f>D2*F2</f>
        <v/>
      </c>
      <c r="I2">
        <f>E2*G2</f>
        <v/>
      </c>
      <c r="J2">
        <f>H2-I2</f>
        <v/>
      </c>
      <c r="K2" t="n">
        <v>-0.005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JNUG</t>
        </is>
      </c>
      <c r="C3" t="inlineStr">
        <is>
          <t>GDXJ</t>
        </is>
      </c>
      <c r="D3" t="n">
        <v>36.55286407470703</v>
      </c>
      <c r="E3" t="n">
        <v>-39.54270553588867</v>
      </c>
      <c r="F3" t="n">
        <v>13873</v>
      </c>
      <c r="G3" t="n">
        <v>-6778</v>
      </c>
      <c r="H3">
        <f>D3*F3</f>
        <v/>
      </c>
      <c r="I3">
        <f>E3*G3</f>
        <v/>
      </c>
      <c r="J3">
        <f>H3-I3</f>
        <v/>
      </c>
      <c r="K3" t="n">
        <v>-0.005</v>
      </c>
      <c r="L3" t="n">
        <v>0</v>
      </c>
      <c r="M3" t="n">
        <v>0</v>
      </c>
      <c r="N3" t="n">
        <v>-0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JNUG</t>
        </is>
      </c>
      <c r="C4" t="inlineStr">
        <is>
          <t>GDXJ</t>
        </is>
      </c>
      <c r="D4" t="n">
        <v>36.07041168212891</v>
      </c>
      <c r="E4" t="n">
        <v>-38.6065673828125</v>
      </c>
      <c r="F4" t="n">
        <v>13873</v>
      </c>
      <c r="G4" t="n">
        <v>-6778</v>
      </c>
      <c r="H4">
        <f>D4*F4</f>
        <v/>
      </c>
      <c r="I4">
        <f>E4*G4</f>
        <v/>
      </c>
      <c r="J4">
        <f>H4-I4</f>
        <v/>
      </c>
      <c r="K4" t="n">
        <v>-0.005</v>
      </c>
      <c r="L4" t="n">
        <v>-6693.343873846193</v>
      </c>
      <c r="M4" t="n">
        <v>6007.830117144069</v>
      </c>
      <c r="N4" t="n">
        <v>-0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JNUG</t>
        </is>
      </c>
      <c r="C5" t="inlineStr">
        <is>
          <t>GDXJ</t>
        </is>
      </c>
      <c r="D5" t="n">
        <v>37.34749221801758</v>
      </c>
      <c r="E5" t="n">
        <v>-41.25585174560547</v>
      </c>
      <c r="F5" t="n">
        <v>13873</v>
      </c>
      <c r="G5" t="n">
        <v>-6778</v>
      </c>
      <c r="H5">
        <f>D5*F5</f>
        <v/>
      </c>
      <c r="I5">
        <f>E5*G5</f>
        <v/>
      </c>
      <c r="J5">
        <f>H5-I5</f>
        <v/>
      </c>
      <c r="K5" t="n">
        <v>-0.005</v>
      </c>
      <c r="L5" t="n">
        <v>17717.68429962643</v>
      </c>
      <c r="M5" t="n">
        <v>-17002.24516153369</v>
      </c>
      <c r="N5" t="n">
        <v>0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JNUG</t>
        </is>
      </c>
      <c r="C6" t="inlineStr">
        <is>
          <t>GDXJ</t>
        </is>
      </c>
      <c r="D6" t="n">
        <v>36.80828094482422</v>
      </c>
      <c r="E6" t="n">
        <v>-40.16992568969727</v>
      </c>
      <c r="F6" t="n">
        <v>13873</v>
      </c>
      <c r="G6" t="n">
        <v>-6362</v>
      </c>
      <c r="H6">
        <f>D6*F6</f>
        <v/>
      </c>
      <c r="I6">
        <f>E6*G6</f>
        <v/>
      </c>
      <c r="J6">
        <f>H6-I6</f>
        <v/>
      </c>
      <c r="K6" t="n">
        <v>-0.005</v>
      </c>
      <c r="L6" t="n">
        <v>-7480.792981150241</v>
      </c>
      <c r="M6" t="n">
        <v>6541.390141628704</v>
      </c>
      <c r="N6" t="n">
        <v>0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JNUG</t>
        </is>
      </c>
      <c r="C7" t="inlineStr">
        <is>
          <t>GDXJ</t>
        </is>
      </c>
      <c r="D7" t="n">
        <v>37.53668594360352</v>
      </c>
      <c r="E7" t="n">
        <v>-41.63966751098633</v>
      </c>
      <c r="F7" t="n">
        <v>13873</v>
      </c>
      <c r="G7" t="n">
        <v>-6362</v>
      </c>
      <c r="H7">
        <f>D7*F7</f>
        <v/>
      </c>
      <c r="I7">
        <f>E7*G7</f>
        <v/>
      </c>
      <c r="J7">
        <f>H7-I7</f>
        <v/>
      </c>
      <c r="K7" t="n">
        <v>-0.005</v>
      </c>
      <c r="L7" t="n">
        <v>10105.58805648135</v>
      </c>
      <c r="M7" t="n">
        <v>-8853.415578539543</v>
      </c>
      <c r="N7" t="n">
        <v>0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JNUG</t>
        </is>
      </c>
      <c r="C8" t="inlineStr">
        <is>
          <t>GDXJ</t>
        </is>
      </c>
      <c r="D8" t="n">
        <v>36.98801803588867</v>
      </c>
      <c r="E8" t="n">
        <v>-40.55373764038086</v>
      </c>
      <c r="F8" t="n">
        <v>13873</v>
      </c>
      <c r="G8" t="n">
        <v>-6362</v>
      </c>
      <c r="H8">
        <f>D8*F8</f>
        <v/>
      </c>
      <c r="I8">
        <f>E8*G8</f>
        <v/>
      </c>
      <c r="J8">
        <f>H8-I8</f>
        <v/>
      </c>
      <c r="K8" t="n">
        <v>-0.005</v>
      </c>
      <c r="L8" t="n">
        <v>-7611.990396097935</v>
      </c>
      <c r="M8" t="n">
        <v>6541.41312056263</v>
      </c>
      <c r="N8" t="n">
        <v>0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JNUG</t>
        </is>
      </c>
      <c r="C9" t="inlineStr">
        <is>
          <t>GDXJ</t>
        </is>
      </c>
      <c r="D9" t="n">
        <v>37.74480438232422</v>
      </c>
      <c r="E9" t="n">
        <v>-41.99539566040039</v>
      </c>
      <c r="F9" t="n">
        <v>13873</v>
      </c>
      <c r="G9" t="n">
        <v>-6362</v>
      </c>
      <c r="H9">
        <f>D9*F9</f>
        <v/>
      </c>
      <c r="I9">
        <f>E9*G9</f>
        <v/>
      </c>
      <c r="J9">
        <f>H9-I9</f>
        <v/>
      </c>
      <c r="K9" t="n">
        <v>-0.005</v>
      </c>
      <c r="L9" t="n">
        <v>10499.33907189516</v>
      </c>
      <c r="M9" t="n">
        <v>-8684.244666980259</v>
      </c>
      <c r="N9" t="n">
        <v>0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JNUG</t>
        </is>
      </c>
      <c r="C10" t="inlineStr">
        <is>
          <t>GDXJ</t>
        </is>
      </c>
      <c r="D10" t="n">
        <v>38.21780014038086</v>
      </c>
      <c r="E10" t="n">
        <v>-43.08132934570312</v>
      </c>
      <c r="F10" t="n">
        <v>13873</v>
      </c>
      <c r="G10" t="n">
        <v>-6362</v>
      </c>
      <c r="H10">
        <f>D10*F10</f>
        <v/>
      </c>
      <c r="I10">
        <f>E10*G10</f>
        <v/>
      </c>
      <c r="J10">
        <f>H10-I10</f>
        <v/>
      </c>
      <c r="K10" t="n">
        <v>-0.005</v>
      </c>
      <c r="L10" t="n">
        <v>6562.146458898499</v>
      </c>
      <c r="M10" t="n">
        <v>-6541.436099496555</v>
      </c>
      <c r="N10" t="n">
        <v>0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JNUG</t>
        </is>
      </c>
      <c r="C11" t="inlineStr">
        <is>
          <t>GDXJ</t>
        </is>
      </c>
      <c r="D11" t="n">
        <v>36.98801803588867</v>
      </c>
      <c r="E11" t="n">
        <v>-40.45076370239258</v>
      </c>
      <c r="F11" t="n">
        <v>13681</v>
      </c>
      <c r="G11" t="n">
        <v>-6148</v>
      </c>
      <c r="H11">
        <f>D11*F11</f>
        <v/>
      </c>
      <c r="I11">
        <f>E11*G11</f>
        <v/>
      </c>
      <c r="J11">
        <f>H11-I11</f>
        <v/>
      </c>
      <c r="K11" t="n">
        <v>-0.005</v>
      </c>
      <c r="L11" t="n">
        <v>-16825.3574242621</v>
      </c>
      <c r="M11" t="n">
        <v>15312.95957580581</v>
      </c>
      <c r="N11" t="n">
        <v>0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JNUG</t>
        </is>
      </c>
      <c r="C12" t="inlineStr">
        <is>
          <t>GDXJ</t>
        </is>
      </c>
      <c r="D12" t="n">
        <v>36.4771842956543</v>
      </c>
      <c r="E12" t="n">
        <v>-39.25250625610352</v>
      </c>
      <c r="F12" t="n">
        <v>13681</v>
      </c>
      <c r="G12" t="n">
        <v>-6148</v>
      </c>
      <c r="H12">
        <f>D12*F12</f>
        <v/>
      </c>
      <c r="I12">
        <f>E12*G12</f>
        <v/>
      </c>
      <c r="J12">
        <f>H12-I12</f>
        <v/>
      </c>
      <c r="K12" t="n">
        <v>-0.005</v>
      </c>
      <c r="L12" t="n">
        <v>-6989.010681176828</v>
      </c>
      <c r="M12" t="n">
        <v>6975.255638684922</v>
      </c>
      <c r="N12" t="n">
        <v>-0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JNUG</t>
        </is>
      </c>
      <c r="C13" t="inlineStr">
        <is>
          <t>GDXJ</t>
        </is>
      </c>
      <c r="D13" t="n">
        <v>37.46100616455078</v>
      </c>
      <c r="E13" t="n">
        <v>-41.31201553344727</v>
      </c>
      <c r="F13" t="n">
        <v>13681</v>
      </c>
      <c r="G13" t="n">
        <v>-6148</v>
      </c>
      <c r="H13">
        <f>D13*F13</f>
        <v/>
      </c>
      <c r="I13">
        <f>E13*G13</f>
        <v/>
      </c>
      <c r="J13">
        <f>H13-I13</f>
        <v/>
      </c>
      <c r="K13" t="n">
        <v>-0.005</v>
      </c>
      <c r="L13" t="n">
        <v>13460.23374833881</v>
      </c>
      <c r="M13" t="n">
        <v>-11988.74561072446</v>
      </c>
      <c r="N13" t="n">
        <v>-0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JNUG</t>
        </is>
      </c>
      <c r="C14" t="inlineStr">
        <is>
          <t>GDXJ</t>
        </is>
      </c>
      <c r="D14" t="n">
        <v>38.09482192993164</v>
      </c>
      <c r="E14" t="n">
        <v>-42.697509765625</v>
      </c>
      <c r="F14" t="n">
        <v>13681</v>
      </c>
      <c r="G14" t="n">
        <v>-6148</v>
      </c>
      <c r="H14">
        <f>D14*F14</f>
        <v/>
      </c>
      <c r="I14">
        <f>E14*G14</f>
        <v/>
      </c>
      <c r="J14">
        <f>H14-I14</f>
        <v/>
      </c>
      <c r="K14" t="n">
        <v>-0.005</v>
      </c>
      <c r="L14" t="n">
        <v>8671.5986146739</v>
      </c>
      <c r="M14" t="n">
        <v>-8065.192071447252</v>
      </c>
      <c r="N14" t="n">
        <v>0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JNUG</t>
        </is>
      </c>
      <c r="C15" t="inlineStr">
        <is>
          <t>GDXJ</t>
        </is>
      </c>
      <c r="D15" t="n">
        <v>37.86777877807617</v>
      </c>
      <c r="E15" t="n">
        <v>-42.16390609741211</v>
      </c>
      <c r="F15" t="n">
        <v>13681</v>
      </c>
      <c r="G15" t="n">
        <v>-6148</v>
      </c>
      <c r="H15">
        <f>D15*F15</f>
        <v/>
      </c>
      <c r="I15">
        <f>E15*G15</f>
        <v/>
      </c>
      <c r="J15">
        <f>H15-I15</f>
        <v/>
      </c>
      <c r="K15" t="n">
        <v>-0.005</v>
      </c>
      <c r="L15" t="n">
        <v>-3106.308155522152</v>
      </c>
      <c r="M15" t="n">
        <v>3106.195590147861</v>
      </c>
      <c r="N15" t="n">
        <v>0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JNUG</t>
        </is>
      </c>
      <c r="C16" t="inlineStr">
        <is>
          <t>GDXJ</t>
        </is>
      </c>
      <c r="D16" t="n">
        <v>38.43537521362305</v>
      </c>
      <c r="E16" t="n">
        <v>-43.36216735839844</v>
      </c>
      <c r="F16" t="n">
        <v>13681</v>
      </c>
      <c r="G16" t="n">
        <v>-6148</v>
      </c>
      <c r="H16">
        <f>D16*F16</f>
        <v/>
      </c>
      <c r="I16">
        <f>E16*G16</f>
        <v/>
      </c>
      <c r="J16">
        <f>H16-I16</f>
        <v/>
      </c>
      <c r="K16" t="n">
        <v>-0.005</v>
      </c>
      <c r="L16" t="n">
        <v>7765.613815592797</v>
      </c>
      <c r="M16" t="n">
        <v>-6975.277844671368</v>
      </c>
      <c r="N16" t="n">
        <v>-0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JNUG</t>
        </is>
      </c>
      <c r="C17" t="inlineStr">
        <is>
          <t>GDXJ</t>
        </is>
      </c>
      <c r="D17" t="n">
        <v>38.89890670776367</v>
      </c>
      <c r="E17" t="n">
        <v>-44.36384201049805</v>
      </c>
      <c r="F17" t="n">
        <v>13681</v>
      </c>
      <c r="G17" t="n">
        <v>-6148</v>
      </c>
      <c r="H17">
        <f>D17*F17</f>
        <v/>
      </c>
      <c r="I17">
        <f>E17*G17</f>
        <v/>
      </c>
      <c r="J17">
        <f>H17-I17</f>
        <v/>
      </c>
      <c r="K17" t="n">
        <v>-0.005</v>
      </c>
      <c r="L17" t="n">
        <v>6341.841402496854</v>
      </c>
      <c r="M17" t="n">
        <v>-5830.914539128229</v>
      </c>
      <c r="N17" t="n">
        <v>0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JNUG</t>
        </is>
      </c>
      <c r="C18" t="inlineStr">
        <is>
          <t>GDXJ</t>
        </is>
      </c>
      <c r="D18" t="n">
        <v>38.10427856445312</v>
      </c>
      <c r="E18" t="n">
        <v>-42.70687103271484</v>
      </c>
      <c r="F18" t="n">
        <v>13681</v>
      </c>
      <c r="G18" t="n">
        <v>-6148</v>
      </c>
      <c r="H18">
        <f>D18*F18</f>
        <v/>
      </c>
      <c r="I18">
        <f>E18*G18</f>
        <v/>
      </c>
      <c r="J18">
        <f>H18-I18</f>
        <v/>
      </c>
      <c r="K18" t="n">
        <v>-0.005</v>
      </c>
      <c r="L18" t="n">
        <v>-10871.76539790237</v>
      </c>
      <c r="M18" t="n">
        <v>9645.503302911588</v>
      </c>
      <c r="N18" t="n">
        <v>0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JNUG</t>
        </is>
      </c>
      <c r="C19" t="inlineStr">
        <is>
          <t>GDXJ</t>
        </is>
      </c>
      <c r="D19" t="n">
        <v>37.35695266723633</v>
      </c>
      <c r="E19" t="n">
        <v>-41.04989624023438</v>
      </c>
      <c r="F19" t="n">
        <v>13681</v>
      </c>
      <c r="G19" t="n">
        <v>-6148</v>
      </c>
      <c r="H19">
        <f>D19*F19</f>
        <v/>
      </c>
      <c r="I19">
        <f>E19*G19</f>
        <v/>
      </c>
      <c r="J19">
        <f>H19-I19</f>
        <v/>
      </c>
      <c r="K19" t="n">
        <v>-0.005</v>
      </c>
      <c r="L19" t="n">
        <v>-10224.59611922239</v>
      </c>
      <c r="M19" t="n">
        <v>9645.525508898034</v>
      </c>
      <c r="N19" t="n">
        <v>0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JNUG</t>
        </is>
      </c>
      <c r="C20" t="inlineStr">
        <is>
          <t>GDXJ</t>
        </is>
      </c>
      <c r="D20" t="n">
        <v>36.68529891967773</v>
      </c>
      <c r="E20" t="n">
        <v>-39.58951568603516</v>
      </c>
      <c r="F20" t="n">
        <v>14851</v>
      </c>
      <c r="G20" t="n">
        <v>-6847</v>
      </c>
      <c r="H20">
        <f>D20*F20</f>
        <v/>
      </c>
      <c r="I20">
        <f>E20*G20</f>
        <v/>
      </c>
      <c r="J20">
        <f>H20-I20</f>
        <v/>
      </c>
      <c r="K20" t="n">
        <v>-0.005</v>
      </c>
      <c r="L20" t="n">
        <v>-9975.149821143903</v>
      </c>
      <c r="M20" t="n">
        <v>9467.65672049326</v>
      </c>
      <c r="N20" t="n">
        <v>-0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JNUG</t>
        </is>
      </c>
      <c r="C21" t="inlineStr">
        <is>
          <t>GDXJ</t>
        </is>
      </c>
      <c r="D21" t="n">
        <v>36.84611892700195</v>
      </c>
      <c r="E21" t="n">
        <v>-39.78610610961914</v>
      </c>
      <c r="F21" t="n">
        <v>14851</v>
      </c>
      <c r="G21" t="n">
        <v>-6847</v>
      </c>
      <c r="H21">
        <f>D21*F21</f>
        <v/>
      </c>
      <c r="I21">
        <f>E21*G21</f>
        <v/>
      </c>
      <c r="J21">
        <f>H21-I21</f>
        <v/>
      </c>
      <c r="K21" t="n">
        <v>-0.005</v>
      </c>
      <c r="L21" t="n">
        <v>2388.438496960213</v>
      </c>
      <c r="M21" t="n">
        <v>-1274.497006740904</v>
      </c>
      <c r="N21" t="n">
        <v>0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GDX Price</t>
        </is>
      </c>
      <c r="E1" t="inlineStr">
        <is>
          <t>GDXU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GDXU</t>
        </is>
      </c>
      <c r="C2" t="inlineStr">
        <is>
          <t>GDX</t>
        </is>
      </c>
      <c r="D2" t="n">
        <v>28.63426971435547</v>
      </c>
      <c r="E2" t="n">
        <v>-46.52000045776367</v>
      </c>
      <c r="F2" t="n">
        <v>53188</v>
      </c>
      <c r="G2" t="n">
        <v>-10762</v>
      </c>
      <c r="H2">
        <f>D2*F2</f>
        <v/>
      </c>
      <c r="I2">
        <f>E2*G2</f>
        <v/>
      </c>
      <c r="J2">
        <f>H2-I2</f>
        <v/>
      </c>
      <c r="K2" t="n">
        <v>-0.005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GDXU</t>
        </is>
      </c>
      <c r="C3" t="inlineStr">
        <is>
          <t>GDX</t>
        </is>
      </c>
      <c r="D3" t="n">
        <v>29.85069465637207</v>
      </c>
      <c r="E3" t="n">
        <v>-52.40000152587891</v>
      </c>
      <c r="F3" t="n">
        <v>53188</v>
      </c>
      <c r="G3" t="n">
        <v>-10762</v>
      </c>
      <c r="H3">
        <f>D3*F3</f>
        <v/>
      </c>
      <c r="I3">
        <f>E3*G3</f>
        <v/>
      </c>
      <c r="J3">
        <f>H3-I3</f>
        <v/>
      </c>
      <c r="K3" t="n">
        <v>-0.005</v>
      </c>
      <c r="L3" t="n">
        <v>0</v>
      </c>
      <c r="M3" t="n">
        <v>0</v>
      </c>
      <c r="N3" t="n">
        <v>-0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GDXU</t>
        </is>
      </c>
      <c r="C4" t="inlineStr">
        <is>
          <t>GDX</t>
        </is>
      </c>
      <c r="D4" t="n">
        <v>29.59003257751465</v>
      </c>
      <c r="E4" t="n">
        <v>-51.41999816894531</v>
      </c>
      <c r="F4" t="n">
        <v>53188</v>
      </c>
      <c r="G4" t="n">
        <v>-10762</v>
      </c>
      <c r="H4">
        <f>D4*F4</f>
        <v/>
      </c>
      <c r="I4">
        <f>E4*G4</f>
        <v/>
      </c>
      <c r="J4">
        <f>H4-I4</f>
        <v/>
      </c>
      <c r="K4" t="n">
        <v>-0.005</v>
      </c>
      <c r="L4" t="n">
        <v>-13864.67843988382</v>
      </c>
      <c r="M4" t="n">
        <v>9986.117793884427</v>
      </c>
      <c r="N4" t="n">
        <v>-0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GDXU</t>
        </is>
      </c>
      <c r="C5" t="inlineStr">
        <is>
          <t>GDX</t>
        </is>
      </c>
      <c r="D5" t="n">
        <v>30.46856307983398</v>
      </c>
      <c r="E5" t="n">
        <v>-55.40000152587891</v>
      </c>
      <c r="F5" t="n">
        <v>53188</v>
      </c>
      <c r="G5" t="n">
        <v>-10762</v>
      </c>
      <c r="H5">
        <f>D5*F5</f>
        <v/>
      </c>
      <c r="I5">
        <f>E5*G5</f>
        <v/>
      </c>
      <c r="J5">
        <f>H5-I5</f>
        <v/>
      </c>
      <c r="K5" t="n">
        <v>-0.005</v>
      </c>
      <c r="L5" t="n">
        <v>46729.24795075302</v>
      </c>
      <c r="M5" t="n">
        <v>-40555.76142795546</v>
      </c>
      <c r="N5" t="n">
        <v>0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GDXU</t>
        </is>
      </c>
      <c r="C6" t="inlineStr">
        <is>
          <t>GDX</t>
        </is>
      </c>
      <c r="D6" t="n">
        <v>30.1789379119873</v>
      </c>
      <c r="E6" t="n">
        <v>-54.38999938964844</v>
      </c>
      <c r="F6" t="n">
        <v>53188</v>
      </c>
      <c r="G6" t="n">
        <v>-9616</v>
      </c>
      <c r="H6">
        <f>D6*F6</f>
        <v/>
      </c>
      <c r="I6">
        <f>E6*G6</f>
        <v/>
      </c>
      <c r="J6">
        <f>H6-I6</f>
        <v/>
      </c>
      <c r="K6" t="n">
        <v>-0.005</v>
      </c>
      <c r="L6" t="n">
        <v>-15405.2320839812</v>
      </c>
      <c r="M6" t="n">
        <v>9195.871215959241</v>
      </c>
      <c r="N6" t="n">
        <v>0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GDXU</t>
        </is>
      </c>
      <c r="C7" t="inlineStr">
        <is>
          <t>GDX</t>
        </is>
      </c>
      <c r="D7" t="n">
        <v>30.73887825012207</v>
      </c>
      <c r="E7" t="n">
        <v>-57</v>
      </c>
      <c r="F7" t="n">
        <v>53188</v>
      </c>
      <c r="G7" t="n">
        <v>-9616</v>
      </c>
      <c r="H7">
        <f>D7*F7</f>
        <v/>
      </c>
      <c r="I7">
        <f>E7*G7</f>
        <v/>
      </c>
      <c r="J7">
        <f>H7-I7</f>
        <v/>
      </c>
      <c r="K7" t="n">
        <v>-0.005</v>
      </c>
      <c r="L7" t="n">
        <v>29783.36077034358</v>
      </c>
      <c r="M7" t="n">
        <v>-23763.54328907204</v>
      </c>
      <c r="N7" t="n">
        <v>0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GDXU</t>
        </is>
      </c>
      <c r="C8" t="inlineStr">
        <is>
          <t>GDX</t>
        </is>
      </c>
      <c r="D8" t="n">
        <v>30.47821617126465</v>
      </c>
      <c r="E8" t="n">
        <v>-55.5</v>
      </c>
      <c r="F8" t="n">
        <v>53188</v>
      </c>
      <c r="G8" t="n">
        <v>-9616</v>
      </c>
      <c r="H8">
        <f>D8*F8</f>
        <v/>
      </c>
      <c r="I8">
        <f>E8*G8</f>
        <v/>
      </c>
      <c r="J8">
        <f>H8-I8</f>
        <v/>
      </c>
      <c r="K8" t="n">
        <v>-0.005</v>
      </c>
      <c r="L8" t="n">
        <v>-13864.67843988382</v>
      </c>
      <c r="M8" t="n">
        <v>13657.20559306946</v>
      </c>
      <c r="N8" t="n">
        <v>0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GDXU</t>
        </is>
      </c>
      <c r="C9" t="inlineStr">
        <is>
          <t>GDX</t>
        </is>
      </c>
      <c r="D9" t="n">
        <v>31.0671215057373</v>
      </c>
      <c r="E9" t="n">
        <v>-58.45999908447266</v>
      </c>
      <c r="F9" t="n">
        <v>53188</v>
      </c>
      <c r="G9" t="n">
        <v>-9616</v>
      </c>
      <c r="H9">
        <f>D9*F9</f>
        <v/>
      </c>
      <c r="I9">
        <f>E9*G9</f>
        <v/>
      </c>
      <c r="J9">
        <f>H9-I9</f>
        <v/>
      </c>
      <c r="K9" t="n">
        <v>-0.005</v>
      </c>
      <c r="L9" t="n">
        <v>31324.01586677181</v>
      </c>
      <c r="M9" t="n">
        <v>-26950.21070129364</v>
      </c>
      <c r="N9" t="n">
        <v>0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GDXU</t>
        </is>
      </c>
      <c r="C10" t="inlineStr">
        <is>
          <t>GDX</t>
        </is>
      </c>
      <c r="D10" t="n">
        <v>31.5208683013916</v>
      </c>
      <c r="E10" t="n">
        <v>-60.90000152587891</v>
      </c>
      <c r="F10" t="n">
        <v>53188</v>
      </c>
      <c r="G10" t="n">
        <v>-9616</v>
      </c>
      <c r="H10">
        <f>D10*F10</f>
        <v/>
      </c>
      <c r="I10">
        <f>E10*G10</f>
        <v/>
      </c>
      <c r="J10">
        <f>H10-I10</f>
        <v/>
      </c>
      <c r="K10" t="n">
        <v>-0.005</v>
      </c>
      <c r="L10" t="n">
        <v>24134.9007974252</v>
      </c>
      <c r="M10" t="n">
        <v>-22215.74332658438</v>
      </c>
      <c r="N10" t="n">
        <v>0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GDXU</t>
        </is>
      </c>
      <c r="C11" t="inlineStr">
        <is>
          <t>GDX</t>
        </is>
      </c>
      <c r="D11" t="n">
        <v>30.42994499206543</v>
      </c>
      <c r="E11" t="n">
        <v>-54.66999816894531</v>
      </c>
      <c r="F11" t="n">
        <v>52226</v>
      </c>
      <c r="G11" t="n">
        <v>-8886</v>
      </c>
      <c r="H11">
        <f>D11*F11</f>
        <v/>
      </c>
      <c r="I11">
        <f>E11*G11</f>
        <v/>
      </c>
      <c r="J11">
        <f>H11-I11</f>
        <v/>
      </c>
      <c r="K11" t="n">
        <v>-0.005</v>
      </c>
      <c r="L11" t="n">
        <v>-56976.95983897857</v>
      </c>
      <c r="M11" t="n">
        <v>52416.82643078226</v>
      </c>
      <c r="N11" t="n">
        <v>0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GDXU</t>
        </is>
      </c>
      <c r="C12" t="inlineStr">
        <is>
          <t>GDX</t>
        </is>
      </c>
      <c r="D12" t="n">
        <v>30.13066673278809</v>
      </c>
      <c r="E12" t="n">
        <v>-52.88999938964844</v>
      </c>
      <c r="F12" t="n">
        <v>52226</v>
      </c>
      <c r="G12" t="n">
        <v>-8886</v>
      </c>
      <c r="H12">
        <f>D12*F12</f>
        <v/>
      </c>
      <c r="I12">
        <f>E12*G12</f>
        <v/>
      </c>
      <c r="J12">
        <f>H12-I12</f>
        <v/>
      </c>
      <c r="K12" t="n">
        <v>-0.005</v>
      </c>
      <c r="L12" t="n">
        <v>-15630.76452189575</v>
      </c>
      <c r="M12" t="n">
        <v>14976.21778286356</v>
      </c>
      <c r="N12" t="n">
        <v>-0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GDXU</t>
        </is>
      </c>
      <c r="C13" t="inlineStr">
        <is>
          <t>GDX</t>
        </is>
      </c>
      <c r="D13" t="n">
        <v>30.91265296936035</v>
      </c>
      <c r="E13" t="n">
        <v>-56.88999938964844</v>
      </c>
      <c r="F13" t="n">
        <v>52226</v>
      </c>
      <c r="G13" t="n">
        <v>-8886</v>
      </c>
      <c r="H13">
        <f>D13*F13</f>
        <v/>
      </c>
      <c r="I13">
        <f>E13*G13</f>
        <v/>
      </c>
      <c r="J13">
        <f>H13-I13</f>
        <v/>
      </c>
      <c r="K13" t="n">
        <v>-0.005</v>
      </c>
      <c r="L13" t="n">
        <v>40841.73288343457</v>
      </c>
      <c r="M13" t="n">
        <v>-33654.44506378681</v>
      </c>
      <c r="N13" t="n">
        <v>-0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GDXU</t>
        </is>
      </c>
      <c r="C14" t="inlineStr">
        <is>
          <t>GDX</t>
        </is>
      </c>
      <c r="D14" t="n">
        <v>31.29881858825684</v>
      </c>
      <c r="E14" t="n">
        <v>-59.16999816894531</v>
      </c>
      <c r="F14" t="n">
        <v>52226</v>
      </c>
      <c r="G14" t="n">
        <v>-8886</v>
      </c>
      <c r="H14">
        <f>D14*F14</f>
        <v/>
      </c>
      <c r="I14">
        <f>E14*G14</f>
        <v/>
      </c>
      <c r="J14">
        <f>H14-I14</f>
        <v/>
      </c>
      <c r="K14" t="n">
        <v>-0.005</v>
      </c>
      <c r="L14" t="n">
        <v>20168.73484227737</v>
      </c>
      <c r="M14" t="n">
        <v>-19183.02341583692</v>
      </c>
      <c r="N14" t="n">
        <v>0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GDXU</t>
        </is>
      </c>
      <c r="C15" t="inlineStr">
        <is>
          <t>GDX</t>
        </is>
      </c>
      <c r="D15" t="n">
        <v>31.27951431274414</v>
      </c>
      <c r="E15" t="n">
        <v>-58.72999954223633</v>
      </c>
      <c r="F15" t="n">
        <v>52226</v>
      </c>
      <c r="G15" t="n">
        <v>-8886</v>
      </c>
      <c r="H15">
        <f>D15*F15</f>
        <v/>
      </c>
      <c r="I15">
        <f>E15*G15</f>
        <v/>
      </c>
      <c r="J15">
        <f>H15-I15</f>
        <v/>
      </c>
      <c r="K15" t="n">
        <v>-0.005</v>
      </c>
      <c r="L15" t="n">
        <v>-1008.227545607024</v>
      </c>
      <c r="M15" t="n">
        <v>3701.977402679789</v>
      </c>
      <c r="N15" t="n">
        <v>0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GDXU</t>
        </is>
      </c>
      <c r="C16" t="inlineStr">
        <is>
          <t>GDX</t>
        </is>
      </c>
      <c r="D16" t="n">
        <v>31.59809875488281</v>
      </c>
      <c r="E16" t="n">
        <v>-60.59000015258789</v>
      </c>
      <c r="F16" t="n">
        <v>52226</v>
      </c>
      <c r="G16" t="n">
        <v>-8886</v>
      </c>
      <c r="H16">
        <f>D16*F16</f>
        <v/>
      </c>
      <c r="I16">
        <f>E16*G16</f>
        <v/>
      </c>
      <c r="J16">
        <f>H16-I16</f>
        <v/>
      </c>
      <c r="K16" t="n">
        <v>-0.005</v>
      </c>
      <c r="L16" t="n">
        <v>16639.09168488699</v>
      </c>
      <c r="M16" t="n">
        <v>-15649.32208992165</v>
      </c>
      <c r="N16" t="n">
        <v>-0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GDXU</t>
        </is>
      </c>
      <c r="C17" t="inlineStr">
        <is>
          <t>GDX</t>
        </is>
      </c>
      <c r="D17" t="n">
        <v>32.11942291259766</v>
      </c>
      <c r="E17" t="n">
        <v>-63.47000122070312</v>
      </c>
      <c r="F17" t="n">
        <v>52226</v>
      </c>
      <c r="G17" t="n">
        <v>-8886</v>
      </c>
      <c r="H17">
        <f>D17*F17</f>
        <v/>
      </c>
      <c r="I17">
        <f>E17*G17</f>
        <v/>
      </c>
      <c r="J17">
        <f>H17-I17</f>
        <v/>
      </c>
      <c r="K17" t="n">
        <v>-0.005</v>
      </c>
      <c r="L17" t="n">
        <v>27227.82192228971</v>
      </c>
      <c r="M17" t="n">
        <v>-24231.20943263287</v>
      </c>
      <c r="N17" t="n">
        <v>0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GDXU</t>
        </is>
      </c>
      <c r="C18" t="inlineStr">
        <is>
          <t>GDX</t>
        </is>
      </c>
      <c r="D18" t="n">
        <v>31.62706184387207</v>
      </c>
      <c r="E18" t="n">
        <v>-60.43999862670898</v>
      </c>
      <c r="F18" t="n">
        <v>52226</v>
      </c>
      <c r="G18" t="n">
        <v>-8886</v>
      </c>
      <c r="H18">
        <f>D18*F18</f>
        <v/>
      </c>
      <c r="I18">
        <f>E18*G18</f>
        <v/>
      </c>
      <c r="J18">
        <f>H18-I18</f>
        <v/>
      </c>
      <c r="K18" t="n">
        <v>-0.005</v>
      </c>
      <c r="L18" t="n">
        <v>-25715.13194303443</v>
      </c>
      <c r="M18" t="n">
        <v>25493.26396067684</v>
      </c>
      <c r="N18" t="n">
        <v>0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GDXU</t>
        </is>
      </c>
      <c r="C19" t="inlineStr">
        <is>
          <t>GDX</t>
        </is>
      </c>
      <c r="D19" t="n">
        <v>31.19262504577637</v>
      </c>
      <c r="E19" t="n">
        <v>-57.52000045776367</v>
      </c>
      <c r="F19" t="n">
        <v>52226</v>
      </c>
      <c r="G19" t="n">
        <v>-8886</v>
      </c>
      <c r="H19">
        <f>D19*F19</f>
        <v/>
      </c>
      <c r="I19">
        <f>E19*G19</f>
        <v/>
      </c>
      <c r="J19">
        <f>H19-I19</f>
        <v/>
      </c>
      <c r="K19" t="n">
        <v>-0.005</v>
      </c>
      <c r="L19" t="n">
        <v>-22689.85160190809</v>
      </c>
      <c r="M19" t="n">
        <v>24567.72949078203</v>
      </c>
      <c r="N19" t="n">
        <v>0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GDXU</t>
        </is>
      </c>
      <c r="C20" t="inlineStr">
        <is>
          <t>GDX</t>
        </is>
      </c>
      <c r="D20" t="n">
        <v>30.72922515869141</v>
      </c>
      <c r="E20" t="n">
        <v>-54.65000152587891</v>
      </c>
      <c r="F20" t="n">
        <v>55999</v>
      </c>
      <c r="G20" t="n">
        <v>-9983</v>
      </c>
      <c r="H20">
        <f>D20*F20</f>
        <v/>
      </c>
      <c r="I20">
        <f>E20*G20</f>
        <v/>
      </c>
      <c r="J20">
        <f>H20-I20</f>
        <v/>
      </c>
      <c r="K20" t="n">
        <v>-0.005</v>
      </c>
      <c r="L20" t="n">
        <v>-25951.02297712954</v>
      </c>
      <c r="M20" t="n">
        <v>27128.07264514012</v>
      </c>
      <c r="N20" t="n">
        <v>-0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GDXU</t>
        </is>
      </c>
      <c r="C21" t="inlineStr">
        <is>
          <t>GDX</t>
        </is>
      </c>
      <c r="D21" t="n">
        <v>30.91265296936035</v>
      </c>
      <c r="E21" t="n">
        <v>-55.43999862670898</v>
      </c>
      <c r="F21" t="n">
        <v>55999</v>
      </c>
      <c r="G21" t="n">
        <v>-9983</v>
      </c>
      <c r="H21">
        <f>D21*F21</f>
        <v/>
      </c>
      <c r="I21">
        <f>E21*G21</f>
        <v/>
      </c>
      <c r="J21">
        <f>H21-I21</f>
        <v/>
      </c>
      <c r="K21" t="n">
        <v>-0.005</v>
      </c>
      <c r="L21" t="n">
        <v>10272.20649374399</v>
      </c>
      <c r="M21" t="n">
        <v>-7467.284570274862</v>
      </c>
      <c r="N21" t="n">
        <v>0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GDX Price</t>
        </is>
      </c>
      <c r="E1" t="inlineStr">
        <is>
          <t>NUGT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NUGT</t>
        </is>
      </c>
      <c r="C2" t="inlineStr">
        <is>
          <t>GDX</t>
        </is>
      </c>
      <c r="D2" t="n">
        <v>28.63426971435547</v>
      </c>
      <c r="E2" t="n">
        <v>-35.28509140014648</v>
      </c>
      <c r="F2" t="n">
        <v>15820</v>
      </c>
      <c r="G2" t="n">
        <v>-6494</v>
      </c>
      <c r="H2">
        <f>D2*F2</f>
        <v/>
      </c>
      <c r="I2">
        <f>E2*G2</f>
        <v/>
      </c>
      <c r="J2">
        <f>H2-I2</f>
        <v/>
      </c>
      <c r="K2" t="n">
        <v>-0.0175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NUGT</t>
        </is>
      </c>
      <c r="C3" t="inlineStr">
        <is>
          <t>GDX</t>
        </is>
      </c>
      <c r="D3" t="n">
        <v>29.85069465637207</v>
      </c>
      <c r="E3" t="n">
        <v>-38.31035232543945</v>
      </c>
      <c r="F3" t="n">
        <v>15820</v>
      </c>
      <c r="G3" t="n">
        <v>-6494</v>
      </c>
      <c r="H3">
        <f>D3*F3</f>
        <v/>
      </c>
      <c r="I3">
        <f>E3*G3</f>
        <v/>
      </c>
      <c r="J3">
        <f>H3-I3</f>
        <v/>
      </c>
      <c r="K3" t="n">
        <v>-0.0175</v>
      </c>
      <c r="L3" t="n">
        <v>0</v>
      </c>
      <c r="M3" t="n">
        <v>0</v>
      </c>
      <c r="N3" t="n">
        <v>-0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NUGT</t>
        </is>
      </c>
      <c r="C4" t="inlineStr">
        <is>
          <t>GDX</t>
        </is>
      </c>
      <c r="D4" t="n">
        <v>29.59003257751465</v>
      </c>
      <c r="E4" t="n">
        <v>-37.83975982666016</v>
      </c>
      <c r="F4" t="n">
        <v>15820</v>
      </c>
      <c r="G4" t="n">
        <v>-6494</v>
      </c>
      <c r="H4">
        <f>D4*F4</f>
        <v/>
      </c>
      <c r="I4">
        <f>E4*G4</f>
        <v/>
      </c>
      <c r="J4">
        <f>H4-I4</f>
        <v/>
      </c>
      <c r="K4" t="n">
        <v>-0.0175</v>
      </c>
      <c r="L4" t="n">
        <v>-4123.847727287397</v>
      </c>
      <c r="M4" t="n">
        <v>2893.566168917439</v>
      </c>
      <c r="N4" t="n">
        <v>-0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NUGT</t>
        </is>
      </c>
      <c r="C5" t="inlineStr">
        <is>
          <t>GDX</t>
        </is>
      </c>
      <c r="D5" t="n">
        <v>30.46856307983398</v>
      </c>
      <c r="E5" t="n">
        <v>-39.73173522949219</v>
      </c>
      <c r="F5" t="n">
        <v>15820</v>
      </c>
      <c r="G5" t="n">
        <v>-6494</v>
      </c>
      <c r="H5">
        <f>D5*F5</f>
        <v/>
      </c>
      <c r="I5">
        <f>E5*G5</f>
        <v/>
      </c>
      <c r="J5">
        <f>H5-I5</f>
        <v/>
      </c>
      <c r="K5" t="n">
        <v>-0.0175</v>
      </c>
      <c r="L5" t="n">
        <v>13898.93777883945</v>
      </c>
      <c r="M5" t="n">
        <v>-11633.32614153338</v>
      </c>
      <c r="N5" t="n">
        <v>0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NUGT</t>
        </is>
      </c>
      <c r="C6" t="inlineStr">
        <is>
          <t>GDX</t>
        </is>
      </c>
      <c r="D6" t="n">
        <v>30.1789379119873</v>
      </c>
      <c r="E6" t="n">
        <v>-39.24193954467773</v>
      </c>
      <c r="F6" t="n">
        <v>15820</v>
      </c>
      <c r="G6" t="n">
        <v>-6136</v>
      </c>
      <c r="H6">
        <f>D6*F6</f>
        <v/>
      </c>
      <c r="I6">
        <f>E6*G6</f>
        <v/>
      </c>
      <c r="J6">
        <f>H6-I6</f>
        <v/>
      </c>
      <c r="K6" t="n">
        <v>-0.0175</v>
      </c>
      <c r="L6" t="n">
        <v>-4582.06308882798</v>
      </c>
      <c r="M6" t="n">
        <v>2845.616949975476</v>
      </c>
      <c r="N6" t="n">
        <v>0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NUGT</t>
        </is>
      </c>
      <c r="C7" t="inlineStr">
        <is>
          <t>GDX</t>
        </is>
      </c>
      <c r="D7" t="n">
        <v>30.73887825012207</v>
      </c>
      <c r="E7" t="n">
        <v>-40.57689666748047</v>
      </c>
      <c r="F7" t="n">
        <v>15820</v>
      </c>
      <c r="G7" t="n">
        <v>-6136</v>
      </c>
      <c r="H7">
        <f>D7*F7</f>
        <v/>
      </c>
      <c r="I7">
        <f>E7*G7</f>
        <v/>
      </c>
      <c r="J7">
        <f>H7-I7</f>
        <v/>
      </c>
      <c r="K7" t="n">
        <v>-0.0175</v>
      </c>
      <c r="L7" t="n">
        <v>8858.629152944939</v>
      </c>
      <c r="M7" t="n">
        <v>-7755.839289554023</v>
      </c>
      <c r="N7" t="n">
        <v>0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NUGT</t>
        </is>
      </c>
      <c r="C8" t="inlineStr">
        <is>
          <t>GDX</t>
        </is>
      </c>
      <c r="D8" t="n">
        <v>30.47821617126465</v>
      </c>
      <c r="E8" t="n">
        <v>-39.93342590332031</v>
      </c>
      <c r="F8" t="n">
        <v>15820</v>
      </c>
      <c r="G8" t="n">
        <v>-6136</v>
      </c>
      <c r="H8">
        <f>D8*F8</f>
        <v/>
      </c>
      <c r="I8">
        <f>E8*G8</f>
        <v/>
      </c>
      <c r="J8">
        <f>H8-I8</f>
        <v/>
      </c>
      <c r="K8" t="n">
        <v>-0.0175</v>
      </c>
      <c r="L8" t="n">
        <v>-4123.847727287397</v>
      </c>
      <c r="M8" t="n">
        <v>3738.43904729677</v>
      </c>
      <c r="N8" t="n">
        <v>0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NUGT</t>
        </is>
      </c>
      <c r="C9" t="inlineStr">
        <is>
          <t>GDX</t>
        </is>
      </c>
      <c r="D9" t="n">
        <v>31.0671215057373</v>
      </c>
      <c r="E9" t="n">
        <v>-41.39323043823242</v>
      </c>
      <c r="F9" t="n">
        <v>15820</v>
      </c>
      <c r="G9" t="n">
        <v>-6136</v>
      </c>
      <c r="H9">
        <f>D9*F9</f>
        <v/>
      </c>
      <c r="I9">
        <f>E9*G9</f>
        <v/>
      </c>
      <c r="J9">
        <f>H9-I9</f>
        <v/>
      </c>
      <c r="K9" t="n">
        <v>-0.0175</v>
      </c>
      <c r="L9" t="n">
        <v>9316.874690011471</v>
      </c>
      <c r="M9" t="n">
        <v>-8481.17828920976</v>
      </c>
      <c r="N9" t="n">
        <v>0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NUGT</t>
        </is>
      </c>
      <c r="C10" t="inlineStr">
        <is>
          <t>GDX</t>
        </is>
      </c>
      <c r="D10" t="n">
        <v>31.5208683013916</v>
      </c>
      <c r="E10" t="n">
        <v>-42.57452392578125</v>
      </c>
      <c r="F10" t="n">
        <v>15820</v>
      </c>
      <c r="G10" t="n">
        <v>-6136</v>
      </c>
      <c r="H10">
        <f>D10*F10</f>
        <v/>
      </c>
      <c r="I10">
        <f>E10*G10</f>
        <v/>
      </c>
      <c r="J10">
        <f>H10-I10</f>
        <v/>
      </c>
      <c r="K10" t="n">
        <v>-0.0175</v>
      </c>
      <c r="L10" t="n">
        <v>7178.576570190016</v>
      </c>
      <c r="M10" t="n">
        <v>-6863.083680163522</v>
      </c>
      <c r="N10" t="n">
        <v>0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NUGT</t>
        </is>
      </c>
      <c r="C11" t="inlineStr">
        <is>
          <t>GDX</t>
        </is>
      </c>
      <c r="D11" t="n">
        <v>30.42994499206543</v>
      </c>
      <c r="E11" t="n">
        <v>-39.70292282104492</v>
      </c>
      <c r="F11" t="n">
        <v>15534</v>
      </c>
      <c r="G11" t="n">
        <v>-5817</v>
      </c>
      <c r="H11">
        <f>D11*F11</f>
        <v/>
      </c>
      <c r="I11">
        <f>E11*G11</f>
        <v/>
      </c>
      <c r="J11">
        <f>H11-I11</f>
        <v/>
      </c>
      <c r="K11" t="n">
        <v>-0.0175</v>
      </c>
      <c r="L11" t="n">
        <v>-16947.11626658548</v>
      </c>
      <c r="M11" t="n">
        <v>15816.0966078515</v>
      </c>
      <c r="N11" t="n">
        <v>0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NUGT</t>
        </is>
      </c>
      <c r="C12" t="inlineStr">
        <is>
          <t>GDX</t>
        </is>
      </c>
      <c r="D12" t="n">
        <v>30.13066673278809</v>
      </c>
      <c r="E12" t="n">
        <v>-38.93461227416992</v>
      </c>
      <c r="F12" t="n">
        <v>15534</v>
      </c>
      <c r="G12" t="n">
        <v>-5817</v>
      </c>
      <c r="H12">
        <f>D12*F12</f>
        <v/>
      </c>
      <c r="I12">
        <f>E12*G12</f>
        <v/>
      </c>
      <c r="J12">
        <f>H12-I12</f>
        <v/>
      </c>
      <c r="K12" t="n">
        <v>-0.0175</v>
      </c>
      <c r="L12" t="n">
        <v>-4649.184239327702</v>
      </c>
      <c r="M12" t="n">
        <v>4231.671945718238</v>
      </c>
      <c r="N12" t="n">
        <v>-0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NUGT</t>
        </is>
      </c>
      <c r="C13" t="inlineStr">
        <is>
          <t>GDX</t>
        </is>
      </c>
      <c r="D13" t="n">
        <v>30.91265296936035</v>
      </c>
      <c r="E13" t="n">
        <v>-40.80739212036133</v>
      </c>
      <c r="F13" t="n">
        <v>15534</v>
      </c>
      <c r="G13" t="n">
        <v>-5817</v>
      </c>
      <c r="H13">
        <f>D13*F13</f>
        <v/>
      </c>
      <c r="I13">
        <f>E13*G13</f>
        <v/>
      </c>
      <c r="J13">
        <f>H13-I13</f>
        <v/>
      </c>
      <c r="K13" t="n">
        <v>-0.0175</v>
      </c>
      <c r="L13" t="n">
        <v>12147.88570082473</v>
      </c>
      <c r="M13" t="n">
        <v>-10314.82643036533</v>
      </c>
      <c r="N13" t="n">
        <v>-0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NUGT</t>
        </is>
      </c>
      <c r="C14" t="inlineStr">
        <is>
          <t>GDX</t>
        </is>
      </c>
      <c r="D14" t="n">
        <v>31.29881858825684</v>
      </c>
      <c r="E14" t="n">
        <v>-41.76778793334961</v>
      </c>
      <c r="F14" t="n">
        <v>15534</v>
      </c>
      <c r="G14" t="n">
        <v>-5817</v>
      </c>
      <c r="H14">
        <f>D14*F14</f>
        <v/>
      </c>
      <c r="I14">
        <f>E14*G14</f>
        <v/>
      </c>
      <c r="J14">
        <f>H14-I14</f>
        <v/>
      </c>
      <c r="K14" t="n">
        <v>-0.0175</v>
      </c>
      <c r="L14" t="n">
        <v>5998.949317197117</v>
      </c>
      <c r="M14" t="n">
        <v>-5289.631953040172</v>
      </c>
      <c r="N14" t="n">
        <v>0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NUGT</t>
        </is>
      </c>
      <c r="C15" t="inlineStr">
        <is>
          <t>GDX</t>
        </is>
      </c>
      <c r="D15" t="n">
        <v>31.27951431274414</v>
      </c>
      <c r="E15" t="n">
        <v>-41.84462356567383</v>
      </c>
      <c r="F15" t="n">
        <v>15534</v>
      </c>
      <c r="G15" t="n">
        <v>-5817</v>
      </c>
      <c r="H15">
        <f>D15*F15</f>
        <v/>
      </c>
      <c r="I15">
        <f>E15*G15</f>
        <v/>
      </c>
      <c r="J15">
        <f>H15-I15</f>
        <v/>
      </c>
      <c r="K15" t="n">
        <v>-0.0175</v>
      </c>
      <c r="L15" t="n">
        <v>-299.8852428571881</v>
      </c>
      <c r="M15" t="n">
        <v>-423.1924071072487</v>
      </c>
      <c r="N15" t="n">
        <v>0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NUGT</t>
        </is>
      </c>
      <c r="C16" t="inlineStr">
        <is>
          <t>GDX</t>
        </is>
      </c>
      <c r="D16" t="n">
        <v>31.59809875488281</v>
      </c>
      <c r="E16" t="n">
        <v>-42.62254333496094</v>
      </c>
      <c r="F16" t="n">
        <v>15534</v>
      </c>
      <c r="G16" t="n">
        <v>-5817</v>
      </c>
      <c r="H16">
        <f>D16*F16</f>
        <v/>
      </c>
      <c r="I16">
        <f>E16*G16</f>
        <v/>
      </c>
      <c r="J16">
        <f>H16-I16</f>
        <v/>
      </c>
      <c r="K16" t="n">
        <v>-0.0175</v>
      </c>
      <c r="L16" t="n">
        <v>4949.099112186161</v>
      </c>
      <c r="M16" t="n">
        <v>-4284.597259664379</v>
      </c>
      <c r="N16" t="n">
        <v>-0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NUGT</t>
        </is>
      </c>
      <c r="C17" t="inlineStr">
        <is>
          <t>GDX</t>
        </is>
      </c>
      <c r="D17" t="n">
        <v>32.11942291259766</v>
      </c>
      <c r="E17" t="n">
        <v>-43.97671508789062</v>
      </c>
      <c r="F17" t="n">
        <v>15534</v>
      </c>
      <c r="G17" t="n">
        <v>-5817</v>
      </c>
      <c r="H17">
        <f>D17*F17</f>
        <v/>
      </c>
      <c r="I17">
        <f>E17*G17</f>
        <v/>
      </c>
      <c r="J17">
        <f>H17-I17</f>
        <v/>
      </c>
      <c r="K17" t="n">
        <v>-0.0175</v>
      </c>
      <c r="L17" t="n">
        <v>8098.590467216489</v>
      </c>
      <c r="M17" t="n">
        <v>-7458.456271183994</v>
      </c>
      <c r="N17" t="n">
        <v>0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NUGT</t>
        </is>
      </c>
      <c r="C18" t="inlineStr">
        <is>
          <t>GDX</t>
        </is>
      </c>
      <c r="D18" t="n">
        <v>31.62706184387207</v>
      </c>
      <c r="E18" t="n">
        <v>-42.72819137573242</v>
      </c>
      <c r="F18" t="n">
        <v>15534</v>
      </c>
      <c r="G18" t="n">
        <v>-5817</v>
      </c>
      <c r="H18">
        <f>D18*F18</f>
        <v/>
      </c>
      <c r="I18">
        <f>E18*G18</f>
        <v/>
      </c>
      <c r="J18">
        <f>H18-I18</f>
        <v/>
      </c>
      <c r="K18" t="n">
        <v>-0.0175</v>
      </c>
      <c r="L18" t="n">
        <v>-7648.658897926261</v>
      </c>
      <c r="M18" t="n">
        <v>6876.571964023074</v>
      </c>
      <c r="N18" t="n">
        <v>0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NUGT</t>
        </is>
      </c>
      <c r="C19" t="inlineStr">
        <is>
          <t>GDX</t>
        </is>
      </c>
      <c r="D19" t="n">
        <v>31.19262504577637</v>
      </c>
      <c r="E19" t="n">
        <v>-41.56610107421875</v>
      </c>
      <c r="F19" t="n">
        <v>15534</v>
      </c>
      <c r="G19" t="n">
        <v>-5817</v>
      </c>
      <c r="H19">
        <f>D19*F19</f>
        <v/>
      </c>
      <c r="I19">
        <f>E19*G19</f>
        <v/>
      </c>
      <c r="J19">
        <f>H19-I19</f>
        <v/>
      </c>
      <c r="K19" t="n">
        <v>-0.0175</v>
      </c>
      <c r="L19" t="n">
        <v>-6748.825389347074</v>
      </c>
      <c r="M19" t="n">
        <v>6400.517274308247</v>
      </c>
      <c r="N19" t="n">
        <v>0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NUGT</t>
        </is>
      </c>
      <c r="C20" t="inlineStr">
        <is>
          <t>GDX</t>
        </is>
      </c>
      <c r="D20" t="n">
        <v>30.72922515869141</v>
      </c>
      <c r="E20" t="n">
        <v>-40.25996017456055</v>
      </c>
      <c r="F20" t="n">
        <v>16656</v>
      </c>
      <c r="G20" t="n">
        <v>-6322</v>
      </c>
      <c r="H20">
        <f>D20*F20</f>
        <v/>
      </c>
      <c r="I20">
        <f>E20*G20</f>
        <v/>
      </c>
      <c r="J20">
        <f>H20-I20</f>
        <v/>
      </c>
      <c r="K20" t="n">
        <v>-0.0175</v>
      </c>
      <c r="L20" t="n">
        <v>-7718.713525367768</v>
      </c>
      <c r="M20" t="n">
        <v>7818.449834064105</v>
      </c>
      <c r="N20" t="n">
        <v>-0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NUGT</t>
        </is>
      </c>
      <c r="C21" t="inlineStr">
        <is>
          <t>GDX</t>
        </is>
      </c>
      <c r="D21" t="n">
        <v>30.91265296936035</v>
      </c>
      <c r="E21" t="n">
        <v>-40.70174026489258</v>
      </c>
      <c r="F21" t="n">
        <v>16656</v>
      </c>
      <c r="G21" t="n">
        <v>-6322</v>
      </c>
      <c r="H21">
        <f>D21*F21</f>
        <v/>
      </c>
      <c r="I21">
        <f>E21*G21</f>
        <v/>
      </c>
      <c r="J21">
        <f>H21-I21</f>
        <v/>
      </c>
      <c r="K21" t="n">
        <v>-0.0175</v>
      </c>
      <c r="L21" t="n">
        <v>3055.30226182253</v>
      </c>
      <c r="M21" t="n">
        <v>-2644.45855332542</v>
      </c>
      <c r="N21" t="n">
        <v>0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GOOGL Price</t>
        </is>
      </c>
      <c r="E1" t="inlineStr">
        <is>
          <t>GGLL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GGLL</t>
        </is>
      </c>
      <c r="C2" t="inlineStr">
        <is>
          <t>GOOGL</t>
        </is>
      </c>
      <c r="D2" t="n">
        <v>88.38946533203125</v>
      </c>
      <c r="E2" t="n">
        <v>-16.23276901245117</v>
      </c>
      <c r="F2" t="n">
        <v>20098</v>
      </c>
      <c r="G2" t="n">
        <v>-54856</v>
      </c>
      <c r="H2">
        <f>D2*F2</f>
        <v/>
      </c>
      <c r="I2">
        <f>E2*G2</f>
        <v/>
      </c>
      <c r="J2">
        <f>H2-I2</f>
        <v/>
      </c>
      <c r="K2" t="n">
        <v>-0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GGLL</t>
        </is>
      </c>
      <c r="C3" t="inlineStr">
        <is>
          <t>GOOGL</t>
        </is>
      </c>
      <c r="D3" t="n">
        <v>87.35799407958984</v>
      </c>
      <c r="E3" t="n">
        <v>-15.94943714141846</v>
      </c>
      <c r="F3" t="n">
        <v>20098</v>
      </c>
      <c r="G3" t="n">
        <v>-54856</v>
      </c>
      <c r="H3">
        <f>D3*F3</f>
        <v/>
      </c>
      <c r="I3">
        <f>E3*G3</f>
        <v/>
      </c>
      <c r="J3">
        <f>H3-I3</f>
        <v/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GGLL</t>
        </is>
      </c>
      <c r="C4" t="inlineStr">
        <is>
          <t>GOOGL</t>
        </is>
      </c>
      <c r="D4" t="n">
        <v>85.49338531494141</v>
      </c>
      <c r="E4" t="n">
        <v>-15.45850658416748</v>
      </c>
      <c r="F4" t="n">
        <v>20098</v>
      </c>
      <c r="G4" t="n">
        <v>-54856</v>
      </c>
      <c r="H4">
        <f>D4*F4</f>
        <v/>
      </c>
      <c r="I4">
        <f>E4*G4</f>
        <v/>
      </c>
      <c r="J4">
        <f>H4-I4</f>
        <v/>
      </c>
      <c r="K4" t="n">
        <v>-0</v>
      </c>
      <c r="L4" t="n">
        <v>-37476.48494614507</v>
      </c>
      <c r="M4" t="n">
        <v>25498.83478097547</v>
      </c>
      <c r="N4" t="n">
        <v>-0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GGLL</t>
        </is>
      </c>
      <c r="C5" t="inlineStr">
        <is>
          <t>GOOGL</t>
        </is>
      </c>
      <c r="D5" t="n">
        <v>86.62405395507812</v>
      </c>
      <c r="E5" t="n">
        <v>-15.72580051422119</v>
      </c>
      <c r="F5" t="n">
        <v>20098</v>
      </c>
      <c r="G5" t="n">
        <v>-54856</v>
      </c>
      <c r="H5">
        <f>D5*F5</f>
        <v/>
      </c>
      <c r="I5">
        <f>E5*G5</f>
        <v/>
      </c>
      <c r="J5">
        <f>H5-I5</f>
        <v/>
      </c>
      <c r="K5" t="n">
        <v>-0</v>
      </c>
      <c r="L5" t="n">
        <v>22725.13519968966</v>
      </c>
      <c r="M5" t="n">
        <v>-13883.19317209019</v>
      </c>
      <c r="N5" t="n">
        <v>0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GGLL</t>
        </is>
      </c>
      <c r="C6" t="inlineStr">
        <is>
          <t>GOOGL</t>
        </is>
      </c>
      <c r="D6" t="n">
        <v>87.29847717285156</v>
      </c>
      <c r="E6" t="n">
        <v>-15.9396390914917</v>
      </c>
      <c r="F6" t="n">
        <v>20098</v>
      </c>
      <c r="G6" t="n">
        <v>-54856</v>
      </c>
      <c r="H6">
        <f>D6*F6</f>
        <v/>
      </c>
      <c r="I6">
        <f>E6*G6</f>
        <v/>
      </c>
      <c r="J6">
        <f>H6-I6</f>
        <v/>
      </c>
      <c r="K6" t="n">
        <v>-0</v>
      </c>
      <c r="L6" t="n">
        <v>13555.12858644233</v>
      </c>
      <c r="M6" t="n">
        <v>-11106.73285882265</v>
      </c>
      <c r="N6" t="n">
        <v>0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GGLL</t>
        </is>
      </c>
      <c r="C7" t="inlineStr">
        <is>
          <t>GOOGL</t>
        </is>
      </c>
      <c r="D7" t="n">
        <v>87.6951904296875</v>
      </c>
      <c r="E7" t="n">
        <v>-15.99309921264648</v>
      </c>
      <c r="F7" t="n">
        <v>20098</v>
      </c>
      <c r="G7" t="n">
        <v>-54856</v>
      </c>
      <c r="H7">
        <f>D7*F7</f>
        <v/>
      </c>
      <c r="I7">
        <f>E7*G7</f>
        <v/>
      </c>
      <c r="J7">
        <f>H7-I7</f>
        <v/>
      </c>
      <c r="K7" t="n">
        <v>-0</v>
      </c>
      <c r="L7" t="n">
        <v>7973.478769178354</v>
      </c>
      <c r="M7" t="n">
        <v>-2776.70798153212</v>
      </c>
      <c r="N7" t="n">
        <v>0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GGLL</t>
        </is>
      </c>
      <c r="C8" t="inlineStr">
        <is>
          <t>GOOGL</t>
        </is>
      </c>
      <c r="D8" t="n">
        <v>90.76979827880859</v>
      </c>
      <c r="E8" t="n">
        <v>-16.86269187927246</v>
      </c>
      <c r="F8" t="n">
        <v>20098</v>
      </c>
      <c r="G8" t="n">
        <v>-54856</v>
      </c>
      <c r="H8">
        <f>D8*F8</f>
        <v/>
      </c>
      <c r="I8">
        <f>E8*G8</f>
        <v/>
      </c>
      <c r="J8">
        <f>H8-I8</f>
        <v/>
      </c>
      <c r="K8" t="n">
        <v>-0</v>
      </c>
      <c r="L8" t="n">
        <v>61796.07055242568</v>
      </c>
      <c r="M8" t="n">
        <v>-45166.46887333179</v>
      </c>
      <c r="N8" t="n">
        <v>0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GGLL</t>
        </is>
      </c>
      <c r="C9" t="inlineStr">
        <is>
          <t>GOOGL</t>
        </is>
      </c>
      <c r="D9" t="n">
        <v>90.38298034667969</v>
      </c>
      <c r="E9" t="n">
        <v>-16.74775886535645</v>
      </c>
      <c r="F9" t="n">
        <v>20098</v>
      </c>
      <c r="G9" t="n">
        <v>-54856</v>
      </c>
      <c r="H9">
        <f>D9*F9</f>
        <v/>
      </c>
      <c r="I9">
        <f>E9*G9</f>
        <v/>
      </c>
      <c r="J9">
        <f>H9-I9</f>
        <v/>
      </c>
      <c r="K9" t="n">
        <v>-0</v>
      </c>
      <c r="L9" t="n">
        <v>-7774.594158931339</v>
      </c>
      <c r="M9" t="n">
        <v>5969.597714867458</v>
      </c>
      <c r="N9" t="n">
        <v>0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GGLL</t>
        </is>
      </c>
      <c r="C10" t="inlineStr">
        <is>
          <t>GOOGL</t>
        </is>
      </c>
      <c r="D10" t="n">
        <v>91.36487579345703</v>
      </c>
      <c r="E10" t="n">
        <v>-17.00970268249512</v>
      </c>
      <c r="F10" t="n">
        <v>20098</v>
      </c>
      <c r="G10" t="n">
        <v>-54856</v>
      </c>
      <c r="H10">
        <f>D10*F10</f>
        <v/>
      </c>
      <c r="I10">
        <f>E10*G10</f>
        <v/>
      </c>
      <c r="J10">
        <f>H10-I10</f>
        <v/>
      </c>
      <c r="K10" t="n">
        <v>-0</v>
      </c>
      <c r="L10" t="n">
        <v>19734.96565472682</v>
      </c>
      <c r="M10" t="n">
        <v>-13605.30937922944</v>
      </c>
      <c r="N10" t="n">
        <v>0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GGLL</t>
        </is>
      </c>
      <c r="C11" t="inlineStr">
        <is>
          <t>GOOGL</t>
        </is>
      </c>
      <c r="D11" t="n">
        <v>90.54167175292969</v>
      </c>
      <c r="E11" t="n">
        <v>-16.77983283996582</v>
      </c>
      <c r="F11" t="n">
        <v>21017</v>
      </c>
      <c r="G11" t="n">
        <v>-56586</v>
      </c>
      <c r="H11">
        <f>D11*F11</f>
        <v/>
      </c>
      <c r="I11">
        <f>E11*G11</f>
        <v/>
      </c>
      <c r="J11">
        <f>H11-I11</f>
        <v/>
      </c>
      <c r="K11" t="n">
        <v>-0</v>
      </c>
      <c r="L11" t="n">
        <v>-17302.00784242929</v>
      </c>
      <c r="M11" t="n">
        <v>12315.92759647287</v>
      </c>
      <c r="N11" t="n">
        <v>0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GGLL</t>
        </is>
      </c>
      <c r="C12" t="inlineStr">
        <is>
          <t>GOOGL</t>
        </is>
      </c>
      <c r="D12" t="n">
        <v>90.37306976318359</v>
      </c>
      <c r="E12" t="n">
        <v>-16.70499038696289</v>
      </c>
      <c r="F12" t="n">
        <v>21017</v>
      </c>
      <c r="G12" t="n">
        <v>-56586</v>
      </c>
      <c r="H12">
        <f>D12*F12</f>
        <v/>
      </c>
      <c r="I12">
        <f>E12*G12</f>
        <v/>
      </c>
      <c r="J12">
        <f>H12-I12</f>
        <v/>
      </c>
      <c r="K12" t="n">
        <v>-0</v>
      </c>
      <c r="L12" t="n">
        <v>-3543.657228610505</v>
      </c>
      <c r="M12" t="n">
        <v>4009.896305597495</v>
      </c>
      <c r="N12" t="n">
        <v>-0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GGLL</t>
        </is>
      </c>
      <c r="C13" t="inlineStr">
        <is>
          <t>GOOGL</t>
        </is>
      </c>
      <c r="D13" t="n">
        <v>92.28724670410156</v>
      </c>
      <c r="E13" t="n">
        <v>-17.26898002624512</v>
      </c>
      <c r="F13" t="n">
        <v>21017</v>
      </c>
      <c r="G13" t="n">
        <v>-56586</v>
      </c>
      <c r="H13">
        <f>D13*F13</f>
        <v/>
      </c>
      <c r="I13">
        <f>E13*G13</f>
        <v/>
      </c>
      <c r="J13">
        <f>H13-I13</f>
        <v/>
      </c>
      <c r="K13" t="n">
        <v>-0</v>
      </c>
      <c r="L13" t="n">
        <v>40231.95078384689</v>
      </c>
      <c r="M13" t="n">
        <v>-30217.3416318214</v>
      </c>
      <c r="N13" t="n">
        <v>-0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GGLL</t>
        </is>
      </c>
      <c r="C14" t="inlineStr">
        <is>
          <t>GOOGL</t>
        </is>
      </c>
      <c r="D14" t="n">
        <v>97.21650695800781</v>
      </c>
      <c r="E14" t="n">
        <v>-18.63574409484863</v>
      </c>
      <c r="F14" t="n">
        <v>21017</v>
      </c>
      <c r="G14" t="n">
        <v>-56586</v>
      </c>
      <c r="H14">
        <f>D14*F14</f>
        <v/>
      </c>
      <c r="I14">
        <f>E14*G14</f>
        <v/>
      </c>
      <c r="J14">
        <f>H14-I14</f>
        <v/>
      </c>
      <c r="K14" t="n">
        <v>-0</v>
      </c>
      <c r="L14" t="n">
        <v>103602.6250743701</v>
      </c>
      <c r="M14" t="n">
        <v>-73228.25441199933</v>
      </c>
      <c r="N14" t="n">
        <v>0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GGLL</t>
        </is>
      </c>
      <c r="C15" t="inlineStr">
        <is>
          <t>GOOGL</t>
        </is>
      </c>
      <c r="D15" t="n">
        <v>98.97199249267578</v>
      </c>
      <c r="E15" t="n">
        <v>-19.12845420837402</v>
      </c>
      <c r="F15" t="n">
        <v>21017</v>
      </c>
      <c r="G15" t="n">
        <v>-56586</v>
      </c>
      <c r="H15">
        <f>D15*F15</f>
        <v/>
      </c>
      <c r="I15">
        <f>E15*G15</f>
        <v/>
      </c>
      <c r="J15">
        <f>H15-I15</f>
        <v/>
      </c>
      <c r="K15" t="n">
        <v>-0</v>
      </c>
      <c r="L15" t="n">
        <v>36896.59305928477</v>
      </c>
      <c r="M15" t="n">
        <v>-26398.33924041275</v>
      </c>
      <c r="N15" t="n">
        <v>0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GGLL</t>
        </is>
      </c>
      <c r="C16" t="inlineStr">
        <is>
          <t>GOOGL</t>
        </is>
      </c>
      <c r="D16" t="n">
        <v>96.89912414550781</v>
      </c>
      <c r="E16" t="n">
        <v>-18.49674797058105</v>
      </c>
      <c r="F16" t="n">
        <v>21017</v>
      </c>
      <c r="G16" t="n">
        <v>-56586</v>
      </c>
      <c r="H16">
        <f>D16*F16</f>
        <v/>
      </c>
      <c r="I16">
        <f>E16*G16</f>
        <v/>
      </c>
      <c r="J16">
        <f>H16-I16</f>
        <v/>
      </c>
      <c r="K16" t="n">
        <v>-0</v>
      </c>
      <c r="L16" t="n">
        <v>-43567.30850840903</v>
      </c>
      <c r="M16" t="n">
        <v>33845.4501090412</v>
      </c>
      <c r="N16" t="n">
        <v>-0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GGLL</t>
        </is>
      </c>
      <c r="C17" t="inlineStr">
        <is>
          <t>GOOGL</t>
        </is>
      </c>
      <c r="D17" t="n">
        <v>94.43946075439453</v>
      </c>
      <c r="E17" t="n">
        <v>-17.77505683898926</v>
      </c>
      <c r="F17" t="n">
        <v>21017</v>
      </c>
      <c r="G17" t="n">
        <v>-56586</v>
      </c>
      <c r="H17">
        <f>D17*F17</f>
        <v/>
      </c>
      <c r="I17">
        <f>E17*G17</f>
        <v/>
      </c>
      <c r="J17">
        <f>H17-I17</f>
        <v/>
      </c>
      <c r="K17" t="n">
        <v>-0</v>
      </c>
      <c r="L17" t="n">
        <v>-51696.9222545557</v>
      </c>
      <c r="M17" t="n">
        <v>38666.64554994129</v>
      </c>
      <c r="N17" t="n">
        <v>0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GGLL</t>
        </is>
      </c>
      <c r="C18" t="inlineStr">
        <is>
          <t>GOOGL</t>
        </is>
      </c>
      <c r="D18" t="n">
        <v>96.72061157226562</v>
      </c>
      <c r="E18" t="n">
        <v>-18.43527603149414</v>
      </c>
      <c r="F18" t="n">
        <v>21017</v>
      </c>
      <c r="G18" t="n">
        <v>-56586</v>
      </c>
      <c r="H18">
        <f>D18*F18</f>
        <v/>
      </c>
      <c r="I18">
        <f>E18*G18</f>
        <v/>
      </c>
      <c r="J18">
        <f>H18-I18</f>
        <v/>
      </c>
      <c r="K18" t="n">
        <v>-0</v>
      </c>
      <c r="L18" t="n">
        <v>47944.96552189682</v>
      </c>
      <c r="M18" t="n">
        <v>-35373.1123805664</v>
      </c>
      <c r="N18" t="n">
        <v>0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GGLL</t>
        </is>
      </c>
      <c r="C19" t="inlineStr">
        <is>
          <t>GOOGL</t>
        </is>
      </c>
      <c r="D19" t="n">
        <v>98.55544281005859</v>
      </c>
      <c r="E19" t="n">
        <v>-18.97075271606445</v>
      </c>
      <c r="F19" t="n">
        <v>21017</v>
      </c>
      <c r="G19" t="n">
        <v>-56586</v>
      </c>
      <c r="H19">
        <f>D19*F19</f>
        <v/>
      </c>
      <c r="I19">
        <f>E19*G19</f>
        <v/>
      </c>
      <c r="J19">
        <f>H19-I19</f>
        <v/>
      </c>
      <c r="K19" t="n">
        <v>-0</v>
      </c>
      <c r="L19" t="n">
        <v>38564.27192156583</v>
      </c>
      <c r="M19" t="n">
        <v>-28689.67936029621</v>
      </c>
      <c r="N19" t="n">
        <v>0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GGLL</t>
        </is>
      </c>
      <c r="C20" t="inlineStr">
        <is>
          <t>GOOGL</t>
        </is>
      </c>
      <c r="D20" t="n">
        <v>96.14536285400391</v>
      </c>
      <c r="E20" t="n">
        <v>-18.30964660644531</v>
      </c>
      <c r="F20" t="n">
        <v>20673</v>
      </c>
      <c r="G20" t="n">
        <v>-53835</v>
      </c>
      <c r="H20">
        <f>D20*F20</f>
        <v/>
      </c>
      <c r="I20">
        <f>E20*G20</f>
        <v/>
      </c>
      <c r="J20">
        <f>H20-I20</f>
        <v/>
      </c>
      <c r="K20" t="n">
        <v>-0</v>
      </c>
      <c r="L20" t="n">
        <v>-49825.68090409048</v>
      </c>
      <c r="M20" t="n">
        <v>33698.61265163642</v>
      </c>
      <c r="N20" t="n">
        <v>-0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GGLL</t>
        </is>
      </c>
      <c r="C21" t="inlineStr">
        <is>
          <t>GOOGL</t>
        </is>
      </c>
      <c r="D21" t="n">
        <v>98.02978515625</v>
      </c>
      <c r="E21" t="n">
        <v>-18.79612350463867</v>
      </c>
      <c r="F21" t="n">
        <v>20673</v>
      </c>
      <c r="G21" t="n">
        <v>-53835</v>
      </c>
      <c r="H21">
        <f>D21*F21</f>
        <v/>
      </c>
      <c r="I21">
        <f>E21*G21</f>
        <v/>
      </c>
      <c r="J21">
        <f>H21-I21</f>
        <v/>
      </c>
      <c r="K21" t="n">
        <v>-0</v>
      </c>
      <c r="L21" t="n">
        <v>38958.3026423605</v>
      </c>
      <c r="M21" t="n">
        <v>-24797.22440567345</v>
      </c>
      <c r="N21" t="n">
        <v>0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KWEB Price</t>
        </is>
      </c>
      <c r="E1" t="inlineStr">
        <is>
          <t>CWEB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CWEB</t>
        </is>
      </c>
      <c r="C2" t="inlineStr">
        <is>
          <t>KWEB</t>
        </is>
      </c>
      <c r="D2" t="n">
        <v>28.48882865905762</v>
      </c>
      <c r="E2" t="n">
        <v>-50.57511901855469</v>
      </c>
      <c r="F2" t="n">
        <v>14605</v>
      </c>
      <c r="G2" t="n">
        <v>-4138</v>
      </c>
      <c r="H2">
        <f>D2*F2</f>
        <v/>
      </c>
      <c r="I2">
        <f>E2*G2</f>
        <v/>
      </c>
      <c r="J2">
        <f>H2-I2</f>
        <v/>
      </c>
      <c r="K2" t="n">
        <v>-0.02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CWEB</t>
        </is>
      </c>
      <c r="C3" t="inlineStr">
        <is>
          <t>KWEB</t>
        </is>
      </c>
      <c r="D3" t="n">
        <v>30.99728012084961</v>
      </c>
      <c r="E3" t="n">
        <v>-59.48902130126953</v>
      </c>
      <c r="F3" t="n">
        <v>14605</v>
      </c>
      <c r="G3" t="n">
        <v>-4138</v>
      </c>
      <c r="H3">
        <f>D3*F3</f>
        <v/>
      </c>
      <c r="I3">
        <f>E3*G3</f>
        <v/>
      </c>
      <c r="J3">
        <f>H3-I3</f>
        <v/>
      </c>
      <c r="K3" t="n">
        <v>-0.02</v>
      </c>
      <c r="L3" t="n">
        <v>0</v>
      </c>
      <c r="M3" t="n">
        <v>0</v>
      </c>
      <c r="N3" t="n">
        <v>-0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CWEB</t>
        </is>
      </c>
      <c r="C4" t="inlineStr">
        <is>
          <t>KWEB</t>
        </is>
      </c>
      <c r="D4" t="n">
        <v>31.14062118530273</v>
      </c>
      <c r="E4" t="n">
        <v>-60.14630508422852</v>
      </c>
      <c r="F4" t="n">
        <v>14605</v>
      </c>
      <c r="G4" t="n">
        <v>-4138</v>
      </c>
      <c r="H4">
        <f>D4*F4</f>
        <v/>
      </c>
      <c r="I4">
        <f>E4*G4</f>
        <v/>
      </c>
      <c r="J4">
        <f>H4-I4</f>
        <v/>
      </c>
      <c r="K4" t="n">
        <v>-0.02</v>
      </c>
      <c r="L4" t="n">
        <v>2093.58439932581</v>
      </c>
      <c r="M4" t="n">
        <v>-2575.250837069609</v>
      </c>
      <c r="N4" t="n">
        <v>-0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CWEB</t>
        </is>
      </c>
      <c r="C5" t="inlineStr">
        <is>
          <t>KWEB</t>
        </is>
      </c>
      <c r="D5" t="n">
        <v>30.97040176391602</v>
      </c>
      <c r="E5" t="n">
        <v>-59.43499374389648</v>
      </c>
      <c r="F5" t="n">
        <v>14605</v>
      </c>
      <c r="G5" t="n">
        <v>-4138</v>
      </c>
      <c r="H5">
        <f>D5*F5</f>
        <v/>
      </c>
      <c r="I5">
        <f>E5*G5</f>
        <v/>
      </c>
      <c r="J5">
        <f>H5-I5</f>
        <v/>
      </c>
      <c r="K5" t="n">
        <v>-0.02</v>
      </c>
      <c r="L5" t="n">
        <v>-2486.159332199177</v>
      </c>
      <c r="M5" t="n">
        <v>2786.931873414982</v>
      </c>
      <c r="N5" t="n">
        <v>0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CWEB</t>
        </is>
      </c>
      <c r="C6" t="inlineStr">
        <is>
          <t>KWEB</t>
        </is>
      </c>
      <c r="D6" t="n">
        <v>31.00623893737793</v>
      </c>
      <c r="E6" t="n">
        <v>-59.54303741455078</v>
      </c>
      <c r="F6" t="n">
        <v>14605</v>
      </c>
      <c r="G6" t="n">
        <v>-3828</v>
      </c>
      <c r="H6">
        <f>D6*F6</f>
        <v/>
      </c>
      <c r="I6">
        <f>E6*G6</f>
        <v/>
      </c>
      <c r="J6">
        <f>H6-I6</f>
        <v/>
      </c>
      <c r="K6" t="n">
        <v>-0.02</v>
      </c>
      <c r="L6" t="n">
        <v>523.4239578312306</v>
      </c>
      <c r="M6" t="n">
        <v>-391.604246910684</v>
      </c>
      <c r="N6" t="n">
        <v>0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CWEB</t>
        </is>
      </c>
      <c r="C7" t="inlineStr">
        <is>
          <t>KWEB</t>
        </is>
      </c>
      <c r="D7" t="n">
        <v>31.3914680480957</v>
      </c>
      <c r="E7" t="n">
        <v>-61.03770446777344</v>
      </c>
      <c r="F7" t="n">
        <v>14605</v>
      </c>
      <c r="G7" t="n">
        <v>-3828</v>
      </c>
      <c r="H7">
        <f>D7*F7</f>
        <v/>
      </c>
      <c r="I7">
        <f>E7*G7</f>
        <v/>
      </c>
      <c r="J7">
        <f>H7-I7</f>
        <v/>
      </c>
      <c r="K7" t="n">
        <v>-0.02</v>
      </c>
      <c r="L7" t="n">
        <v>5626.508073188113</v>
      </c>
      <c r="M7" t="n">
        <v>-5417.420217351636</v>
      </c>
      <c r="N7" t="n">
        <v>0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CWEB</t>
        </is>
      </c>
      <c r="C8" t="inlineStr">
        <is>
          <t>KWEB</t>
        </is>
      </c>
      <c r="D8" t="n">
        <v>31.23021125793457</v>
      </c>
      <c r="E8" t="n">
        <v>-60.36240005493164</v>
      </c>
      <c r="F8" t="n">
        <v>14605</v>
      </c>
      <c r="G8" t="n">
        <v>-3828</v>
      </c>
      <c r="H8">
        <f>D8*F8</f>
        <v/>
      </c>
      <c r="I8">
        <f>E8*G8</f>
        <v/>
      </c>
      <c r="J8">
        <f>H8-I8</f>
        <v/>
      </c>
      <c r="K8" t="n">
        <v>-0.02</v>
      </c>
      <c r="L8" t="n">
        <v>-2355.254591241758</v>
      </c>
      <c r="M8" t="n">
        <v>2447.640610735362</v>
      </c>
      <c r="N8" t="n">
        <v>0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CWEB</t>
        </is>
      </c>
      <c r="C9" t="inlineStr">
        <is>
          <t>KWEB</t>
        </is>
      </c>
      <c r="D9" t="n">
        <v>30.8001880645752</v>
      </c>
      <c r="E9" t="n">
        <v>-58.57962036132812</v>
      </c>
      <c r="F9" t="n">
        <v>14605</v>
      </c>
      <c r="G9" t="n">
        <v>-3828</v>
      </c>
      <c r="H9">
        <f>D9*F9</f>
        <v/>
      </c>
      <c r="I9">
        <f>E9*G9</f>
        <v/>
      </c>
      <c r="J9">
        <f>H9-I9</f>
        <v/>
      </c>
      <c r="K9" t="n">
        <v>-0.02</v>
      </c>
      <c r="L9" t="n">
        <v>-6280.753197977429</v>
      </c>
      <c r="M9" t="n">
        <v>6461.684382744541</v>
      </c>
      <c r="N9" t="n">
        <v>0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CWEB</t>
        </is>
      </c>
      <c r="C10" t="inlineStr">
        <is>
          <t>KWEB</t>
        </is>
      </c>
      <c r="D10" t="n">
        <v>31.69606399536133</v>
      </c>
      <c r="E10" t="n">
        <v>-61.83904266357422</v>
      </c>
      <c r="F10" t="n">
        <v>14605</v>
      </c>
      <c r="G10" t="n">
        <v>-3828</v>
      </c>
      <c r="H10">
        <f>D10*F10</f>
        <v/>
      </c>
      <c r="I10">
        <f>E10*G10</f>
        <v/>
      </c>
      <c r="J10">
        <f>H10-I10</f>
        <v/>
      </c>
      <c r="K10" t="n">
        <v>-0.02</v>
      </c>
      <c r="L10" t="n">
        <v>13084.81892178698</v>
      </c>
      <c r="M10" t="n">
        <v>-11813.77500695092</v>
      </c>
      <c r="N10" t="n">
        <v>0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CWEB</t>
        </is>
      </c>
      <c r="C11" t="inlineStr">
        <is>
          <t>KWEB</t>
        </is>
      </c>
      <c r="D11" t="n">
        <v>30.62996864318848</v>
      </c>
      <c r="E11" t="n">
        <v>-57.92232894897461</v>
      </c>
      <c r="F11" t="n">
        <v>14190</v>
      </c>
      <c r="G11" t="n">
        <v>-3658</v>
      </c>
      <c r="H11">
        <f>D11*F11</f>
        <v/>
      </c>
      <c r="I11">
        <f>E11*G11</f>
        <v/>
      </c>
      <c r="J11">
        <f>H11-I11</f>
        <v/>
      </c>
      <c r="K11" t="n">
        <v>-0.02</v>
      </c>
      <c r="L11" t="n">
        <v>-15128.5300529999</v>
      </c>
      <c r="M11" t="n">
        <v>13565.68296978674</v>
      </c>
      <c r="N11" t="n">
        <v>0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CWEB</t>
        </is>
      </c>
      <c r="C12" t="inlineStr">
        <is>
          <t>KWEB</t>
        </is>
      </c>
      <c r="D12" t="n">
        <v>29.85056114196777</v>
      </c>
      <c r="E12" t="n">
        <v>-55.0230712890625</v>
      </c>
      <c r="F12" t="n">
        <v>14190</v>
      </c>
      <c r="G12" t="n">
        <v>-3658</v>
      </c>
      <c r="H12">
        <f>D12*F12</f>
        <v/>
      </c>
      <c r="I12">
        <f>E12*G12</f>
        <v/>
      </c>
      <c r="J12">
        <f>H12-I12</f>
        <v/>
      </c>
      <c r="K12" t="n">
        <v>-0.02</v>
      </c>
      <c r="L12" t="n">
        <v>-11060.2581483154</v>
      </c>
      <c r="M12" t="n">
        <v>10041.68625230094</v>
      </c>
      <c r="N12" t="n">
        <v>-0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CWEB</t>
        </is>
      </c>
      <c r="C13" t="inlineStr">
        <is>
          <t>KWEB</t>
        </is>
      </c>
      <c r="D13" t="n">
        <v>30.40600204467773</v>
      </c>
      <c r="E13" t="n">
        <v>-56.82385635375977</v>
      </c>
      <c r="F13" t="n">
        <v>14190</v>
      </c>
      <c r="G13" t="n">
        <v>-3658</v>
      </c>
      <c r="H13">
        <f>D13*F13</f>
        <v/>
      </c>
      <c r="I13">
        <f>E13*G13</f>
        <v/>
      </c>
      <c r="J13">
        <f>H13-I13</f>
        <v/>
      </c>
      <c r="K13" t="n">
        <v>-0.02</v>
      </c>
      <c r="L13" t="n">
        <v>7882.038292528467</v>
      </c>
      <c r="M13" t="n">
        <v>-6237.085747000346</v>
      </c>
      <c r="N13" t="n">
        <v>-0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CWEB</t>
        </is>
      </c>
      <c r="C14" t="inlineStr">
        <is>
          <t>KWEB</t>
        </is>
      </c>
      <c r="D14" t="n">
        <v>31.22124862670898</v>
      </c>
      <c r="E14" t="n">
        <v>-59.9031982421875</v>
      </c>
      <c r="F14" t="n">
        <v>14190</v>
      </c>
      <c r="G14" t="n">
        <v>-3658</v>
      </c>
      <c r="H14">
        <f>D14*F14</f>
        <v/>
      </c>
      <c r="I14">
        <f>E14*G14</f>
        <v/>
      </c>
      <c r="J14">
        <f>H14-I14</f>
        <v/>
      </c>
      <c r="K14" t="n">
        <v>-0.02</v>
      </c>
      <c r="L14" t="n">
        <v>11568.83611932821</v>
      </c>
      <c r="M14" t="n">
        <v>-10665.41464551881</v>
      </c>
      <c r="N14" t="n">
        <v>0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CWEB</t>
        </is>
      </c>
      <c r="C15" t="inlineStr">
        <is>
          <t>KWEB</t>
        </is>
      </c>
      <c r="D15" t="n">
        <v>31.51688575744629</v>
      </c>
      <c r="E15" t="n">
        <v>-61.13674926757812</v>
      </c>
      <c r="F15" t="n">
        <v>14190</v>
      </c>
      <c r="G15" t="n">
        <v>-3658</v>
      </c>
      <c r="H15">
        <f>D15*F15</f>
        <v/>
      </c>
      <c r="I15">
        <f>E15*G15</f>
        <v/>
      </c>
      <c r="J15">
        <f>H15-I15</f>
        <v/>
      </c>
      <c r="K15" t="n">
        <v>-0.02</v>
      </c>
      <c r="L15" t="n">
        <v>4195.267532145488</v>
      </c>
      <c r="M15" t="n">
        <v>-4272.449649594882</v>
      </c>
      <c r="N15" t="n">
        <v>0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CWEB</t>
        </is>
      </c>
      <c r="C16" t="inlineStr">
        <is>
          <t>KWEB</t>
        </is>
      </c>
      <c r="D16" t="n">
        <v>31.37354850769043</v>
      </c>
      <c r="E16" t="n">
        <v>-60.56047821044922</v>
      </c>
      <c r="F16" t="n">
        <v>14190</v>
      </c>
      <c r="G16" t="n">
        <v>-3658</v>
      </c>
      <c r="H16">
        <f>D16*F16</f>
        <v/>
      </c>
      <c r="I16">
        <f>E16*G16</f>
        <v/>
      </c>
      <c r="J16">
        <f>H16-I16</f>
        <v/>
      </c>
      <c r="K16" t="n">
        <v>-0.02</v>
      </c>
      <c r="L16" t="n">
        <v>-2034.04121988357</v>
      </c>
      <c r="M16" t="n">
        <v>1995.936143235263</v>
      </c>
      <c r="N16" t="n">
        <v>-0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CWEB</t>
        </is>
      </c>
      <c r="C17" t="inlineStr">
        <is>
          <t>KWEB</t>
        </is>
      </c>
      <c r="D17" t="n">
        <v>31.49001312255859</v>
      </c>
      <c r="E17" t="n">
        <v>-60.99267578125</v>
      </c>
      <c r="F17" t="n">
        <v>14190</v>
      </c>
      <c r="G17" t="n">
        <v>-3658</v>
      </c>
      <c r="H17">
        <f>D17*F17</f>
        <v/>
      </c>
      <c r="I17">
        <f>E17*G17</f>
        <v/>
      </c>
      <c r="J17">
        <f>H17-I17</f>
        <v/>
      </c>
      <c r="K17" t="n">
        <v>-0.02</v>
      </c>
      <c r="L17" t="n">
        <v>1652.702474082643</v>
      </c>
      <c r="M17" t="n">
        <v>-1496.932288908615</v>
      </c>
      <c r="N17" t="n">
        <v>0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CWEB</t>
        </is>
      </c>
      <c r="C18" t="inlineStr">
        <is>
          <t>KWEB</t>
        </is>
      </c>
      <c r="D18" t="n">
        <v>32.38588714599609</v>
      </c>
      <c r="E18" t="n">
        <v>-64.50421905517578</v>
      </c>
      <c r="F18" t="n">
        <v>14190</v>
      </c>
      <c r="G18" t="n">
        <v>-3658</v>
      </c>
      <c r="H18">
        <f>D18*F18</f>
        <v/>
      </c>
      <c r="I18">
        <f>E18*G18</f>
        <v/>
      </c>
      <c r="J18">
        <f>H18-I18</f>
        <v/>
      </c>
      <c r="K18" t="n">
        <v>-0.02</v>
      </c>
      <c r="L18" t="n">
        <v>12712.98768881481</v>
      </c>
      <c r="M18" t="n">
        <v>-12162.36014677264</v>
      </c>
      <c r="N18" t="n">
        <v>0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CWEB</t>
        </is>
      </c>
      <c r="C19" t="inlineStr">
        <is>
          <t>KWEB</t>
        </is>
      </c>
      <c r="D19" t="n">
        <v>32.09920883178711</v>
      </c>
      <c r="E19" t="n">
        <v>-63.31568145751953</v>
      </c>
      <c r="F19" t="n">
        <v>14190</v>
      </c>
      <c r="G19" t="n">
        <v>-3658</v>
      </c>
      <c r="H19">
        <f>D19*F19</f>
        <v/>
      </c>
      <c r="I19">
        <f>E19*G19</f>
        <v/>
      </c>
      <c r="J19">
        <f>H19-I19</f>
        <v/>
      </c>
      <c r="K19" t="n">
        <v>-0.02</v>
      </c>
      <c r="L19" t="n">
        <v>-4068.13657260067</v>
      </c>
      <c r="M19" t="n">
        <v>4116.543975980858</v>
      </c>
      <c r="N19" t="n">
        <v>0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CWEB</t>
        </is>
      </c>
      <c r="C20" t="inlineStr">
        <is>
          <t>KWEB</t>
        </is>
      </c>
      <c r="D20" t="n">
        <v>30.55830192565918</v>
      </c>
      <c r="E20" t="n">
        <v>-57.18400573730469</v>
      </c>
      <c r="F20" t="n">
        <v>14867</v>
      </c>
      <c r="G20" t="n">
        <v>-3791</v>
      </c>
      <c r="H20">
        <f>D20*F20</f>
        <v/>
      </c>
      <c r="I20">
        <f>E20*G20</f>
        <v/>
      </c>
      <c r="J20">
        <f>H20-I20</f>
        <v/>
      </c>
      <c r="K20" t="n">
        <v>-0.02</v>
      </c>
      <c r="L20" t="n">
        <v>-22909.62761190943</v>
      </c>
      <c r="M20" t="n">
        <v>22009.44526985269</v>
      </c>
      <c r="N20" t="n">
        <v>-0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CWEB</t>
        </is>
      </c>
      <c r="C21" t="inlineStr">
        <is>
          <t>KWEB</t>
        </is>
      </c>
      <c r="D21" t="n">
        <v>30.34329032897949</v>
      </c>
      <c r="E21" t="n">
        <v>-56.42768478393555</v>
      </c>
      <c r="F21" t="n">
        <v>14867</v>
      </c>
      <c r="G21" t="n">
        <v>-3791</v>
      </c>
      <c r="H21">
        <f>D21*F21</f>
        <v/>
      </c>
      <c r="I21">
        <f>E21*G21</f>
        <v/>
      </c>
      <c r="J21">
        <f>H21-I21</f>
        <v/>
      </c>
      <c r="K21" t="n">
        <v>-0.02</v>
      </c>
      <c r="L21" t="n">
        <v>-3196.712009391662</v>
      </c>
      <c r="M21" t="n">
        <v>2714.788809646583</v>
      </c>
      <c r="N21" t="n">
        <v>0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META Price</t>
        </is>
      </c>
      <c r="E1" t="inlineStr">
        <is>
          <t>FBL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FBL</t>
        </is>
      </c>
      <c r="C2" t="inlineStr">
        <is>
          <t>META</t>
        </is>
      </c>
      <c r="D2" t="n">
        <v>123.7687301635742</v>
      </c>
      <c r="E2" t="n">
        <v>-3.64219331741333</v>
      </c>
      <c r="F2" t="n">
        <v>25964</v>
      </c>
      <c r="G2" t="n">
        <v>-441819</v>
      </c>
      <c r="H2">
        <f>D2*F2</f>
        <v/>
      </c>
      <c r="I2">
        <f>E2*G2</f>
        <v/>
      </c>
      <c r="J2">
        <f>H2-I2</f>
        <v/>
      </c>
      <c r="K2" t="n">
        <v>-0.01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FBL</t>
        </is>
      </c>
      <c r="C3" t="inlineStr">
        <is>
          <t>META</t>
        </is>
      </c>
      <c r="D3" t="n">
        <v>126.3782501220703</v>
      </c>
      <c r="E3" t="n">
        <v>-3.754470348358154</v>
      </c>
      <c r="F3" t="n">
        <v>25964</v>
      </c>
      <c r="G3" t="n">
        <v>-441819</v>
      </c>
      <c r="H3">
        <f>D3*F3</f>
        <v/>
      </c>
      <c r="I3">
        <f>E3*G3</f>
        <v/>
      </c>
      <c r="J3">
        <f>H3-I3</f>
        <v/>
      </c>
      <c r="K3" t="n">
        <v>-0.01</v>
      </c>
      <c r="L3" t="n">
        <v>0</v>
      </c>
      <c r="M3" t="n">
        <v>0</v>
      </c>
      <c r="N3" t="n">
        <v>-0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FBL</t>
        </is>
      </c>
      <c r="C4" t="inlineStr">
        <is>
          <t>META</t>
        </is>
      </c>
      <c r="D4" t="n">
        <v>125.9516067504883</v>
      </c>
      <c r="E4" t="n">
        <v>-3.737596273422241</v>
      </c>
      <c r="F4" t="n">
        <v>25964</v>
      </c>
      <c r="G4" t="n">
        <v>-441819</v>
      </c>
      <c r="H4">
        <f>D4*F4</f>
        <v/>
      </c>
      <c r="I4">
        <f>E4*G4</f>
        <v/>
      </c>
      <c r="J4">
        <f>H4-I4</f>
        <v/>
      </c>
      <c r="K4" t="n">
        <v>-0.01</v>
      </c>
      <c r="L4" t="n">
        <v>-11077.83494584252</v>
      </c>
      <c r="M4" t="n">
        <v>7058.95633259312</v>
      </c>
      <c r="N4" t="n">
        <v>-0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FBL</t>
        </is>
      </c>
      <c r="C5" t="inlineStr">
        <is>
          <t>META</t>
        </is>
      </c>
      <c r="D5" t="n">
        <v>129.0076141357422</v>
      </c>
      <c r="E5" t="n">
        <v>-3.868824481964111</v>
      </c>
      <c r="F5" t="n">
        <v>25964</v>
      </c>
      <c r="G5" t="n">
        <v>-441819</v>
      </c>
      <c r="H5">
        <f>D5*F5</f>
        <v/>
      </c>
      <c r="I5">
        <f>E5*G5</f>
        <v/>
      </c>
      <c r="J5">
        <f>H5-I5</f>
        <v/>
      </c>
      <c r="K5" t="n">
        <v>-0.01</v>
      </c>
      <c r="L5" t="n">
        <v>79349.51686131938</v>
      </c>
      <c r="M5" t="n">
        <v>-54896.88751648056</v>
      </c>
      <c r="N5" t="n">
        <v>0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FBL</t>
        </is>
      </c>
      <c r="C6" t="inlineStr">
        <is>
          <t>META</t>
        </is>
      </c>
      <c r="D6" t="n">
        <v>128.4618988037109</v>
      </c>
      <c r="E6" t="n">
        <v>-3.844032287597656</v>
      </c>
      <c r="F6" t="n">
        <v>25964</v>
      </c>
      <c r="G6" t="n">
        <v>-441819</v>
      </c>
      <c r="H6">
        <f>D6*F6</f>
        <v/>
      </c>
      <c r="I6">
        <f>E6*G6</f>
        <v/>
      </c>
      <c r="J6">
        <f>H6-I6</f>
        <v/>
      </c>
      <c r="K6" t="n">
        <v>-0.01</v>
      </c>
      <c r="L6" t="n">
        <v>-14169.549507452</v>
      </c>
      <c r="M6" t="n">
        <v>10371.35476087641</v>
      </c>
      <c r="N6" t="n">
        <v>0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FBL</t>
        </is>
      </c>
      <c r="C7" t="inlineStr">
        <is>
          <t>META</t>
        </is>
      </c>
      <c r="D7" t="n">
        <v>131.9544830322266</v>
      </c>
      <c r="E7" t="n">
        <v>-3.990317106246948</v>
      </c>
      <c r="F7" t="n">
        <v>25964</v>
      </c>
      <c r="G7" t="n">
        <v>-441819</v>
      </c>
      <c r="H7">
        <f>D7*F7</f>
        <v/>
      </c>
      <c r="I7">
        <f>E7*G7</f>
        <v/>
      </c>
      <c r="J7">
        <f>H7-I7</f>
        <v/>
      </c>
      <c r="K7" t="n">
        <v>-0.01</v>
      </c>
      <c r="L7" t="n">
        <v>90685.27532604543</v>
      </c>
      <c r="M7" t="n">
        <v>-61195.54114157304</v>
      </c>
      <c r="N7" t="n">
        <v>0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FBL</t>
        </is>
      </c>
      <c r="C8" t="inlineStr">
        <is>
          <t>META</t>
        </is>
      </c>
      <c r="D8" t="n">
        <v>131.8552703857422</v>
      </c>
      <c r="E8" t="n">
        <v>-3.994081497192383</v>
      </c>
      <c r="F8" t="n">
        <v>25964</v>
      </c>
      <c r="G8" t="n">
        <v>-441819</v>
      </c>
      <c r="H8">
        <f>D8*F8</f>
        <v/>
      </c>
      <c r="I8">
        <f>E8*G8</f>
        <v/>
      </c>
      <c r="J8">
        <f>H8-I8</f>
        <v/>
      </c>
      <c r="K8" t="n">
        <v>-0.01</v>
      </c>
      <c r="L8" t="n">
        <v>-2576.06562178316</v>
      </c>
      <c r="M8" t="n">
        <v>-1574.763144264398</v>
      </c>
      <c r="N8" t="n">
        <v>0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FBL</t>
        </is>
      </c>
      <c r="C9" t="inlineStr">
        <is>
          <t>META</t>
        </is>
      </c>
      <c r="D9" t="n">
        <v>135.6455383300781</v>
      </c>
      <c r="E9" t="n">
        <v>-4.174374103546143</v>
      </c>
      <c r="F9" t="n">
        <v>25964</v>
      </c>
      <c r="G9" t="n">
        <v>-441819</v>
      </c>
      <c r="H9">
        <f>D9*F9</f>
        <v/>
      </c>
      <c r="I9">
        <f>E9*G9</f>
        <v/>
      </c>
      <c r="J9">
        <f>H9-I9</f>
        <v/>
      </c>
      <c r="K9" t="n">
        <v>-0.01</v>
      </c>
      <c r="L9" t="n">
        <v>98414.66077903955</v>
      </c>
      <c r="M9" t="n">
        <v>-75422.0684792594</v>
      </c>
      <c r="N9" t="n">
        <v>0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FBL</t>
        </is>
      </c>
      <c r="C10" t="inlineStr">
        <is>
          <t>META</t>
        </is>
      </c>
      <c r="D10" t="n">
        <v>135.9134063720703</v>
      </c>
      <c r="E10" t="n">
        <v>-4.179436206817627</v>
      </c>
      <c r="F10" t="n">
        <v>25964</v>
      </c>
      <c r="G10" t="n">
        <v>-441819</v>
      </c>
      <c r="H10">
        <f>D10*F10</f>
        <v/>
      </c>
      <c r="I10">
        <f>E10*G10</f>
        <v/>
      </c>
      <c r="J10">
        <f>H10-I10</f>
        <v/>
      </c>
      <c r="K10" t="n">
        <v>-0.01</v>
      </c>
      <c r="L10" t="n">
        <v>6955.218700461915</v>
      </c>
      <c r="M10" t="n">
        <v>-2117.637030782298</v>
      </c>
      <c r="N10" t="n">
        <v>0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FBL</t>
        </is>
      </c>
      <c r="C11" t="inlineStr">
        <is>
          <t>META</t>
        </is>
      </c>
      <c r="D11" t="n">
        <v>134.3060302734375</v>
      </c>
      <c r="E11" t="n">
        <v>-4.103632926940918</v>
      </c>
      <c r="F11" t="n">
        <v>25557</v>
      </c>
      <c r="G11" t="n">
        <v>-416175</v>
      </c>
      <c r="H11">
        <f>D11*F11</f>
        <v/>
      </c>
      <c r="I11">
        <f>E11*G11</f>
        <v/>
      </c>
      <c r="J11">
        <f>H11-I11</f>
        <v/>
      </c>
      <c r="K11" t="n">
        <v>-0.01</v>
      </c>
      <c r="L11" t="n">
        <v>-41081.44073816905</v>
      </c>
      <c r="M11" t="n">
        <v>29870.33676370608</v>
      </c>
      <c r="N11" t="n">
        <v>0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FBL</t>
        </is>
      </c>
      <c r="C12" t="inlineStr">
        <is>
          <t>META</t>
        </is>
      </c>
      <c r="D12" t="n">
        <v>131.9842529296875</v>
      </c>
      <c r="E12" t="n">
        <v>-4.000571250915527</v>
      </c>
      <c r="F12" t="n">
        <v>25557</v>
      </c>
      <c r="G12" t="n">
        <v>-416175</v>
      </c>
      <c r="H12">
        <f>D12*F12</f>
        <v/>
      </c>
      <c r="I12">
        <f>E12*G12</f>
        <v/>
      </c>
      <c r="J12">
        <f>H12-I12</f>
        <v/>
      </c>
      <c r="K12" t="n">
        <v>-0.01</v>
      </c>
      <c r="L12" t="n">
        <v>-59340.16216591642</v>
      </c>
      <c r="M12" t="n">
        <v>40611.52730221472</v>
      </c>
      <c r="N12" t="n">
        <v>-0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FBL</t>
        </is>
      </c>
      <c r="C13" t="inlineStr">
        <is>
          <t>META</t>
        </is>
      </c>
      <c r="D13" t="n">
        <v>135.0898895263672</v>
      </c>
      <c r="E13" t="n">
        <v>-4.13958740234375</v>
      </c>
      <c r="F13" t="n">
        <v>25557</v>
      </c>
      <c r="G13" t="n">
        <v>-416175</v>
      </c>
      <c r="H13">
        <f>D13*F13</f>
        <v/>
      </c>
      <c r="I13">
        <f>E13*G13</f>
        <v/>
      </c>
      <c r="J13">
        <f>H13-I13</f>
        <v/>
      </c>
      <c r="K13" t="n">
        <v>-0.01</v>
      </c>
      <c r="L13" t="n">
        <v>79374.09664689231</v>
      </c>
      <c r="M13" t="n">
        <v>-54779.41410331031</v>
      </c>
      <c r="N13" t="n">
        <v>-0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FBL</t>
        </is>
      </c>
      <c r="C14" t="inlineStr">
        <is>
          <t>META</t>
        </is>
      </c>
      <c r="D14" t="n">
        <v>138.2848052978516</v>
      </c>
      <c r="E14" t="n">
        <v>-4.278473854064941</v>
      </c>
      <c r="F14" t="n">
        <v>25557</v>
      </c>
      <c r="G14" t="n">
        <v>-416175</v>
      </c>
      <c r="H14">
        <f>D14*F14</f>
        <v/>
      </c>
      <c r="I14">
        <f>E14*G14</f>
        <v/>
      </c>
      <c r="J14">
        <f>H14-I14</f>
        <v/>
      </c>
      <c r="K14" t="n">
        <v>-0.01</v>
      </c>
      <c r="L14" t="n">
        <v>81655.90059558302</v>
      </c>
      <c r="M14" t="n">
        <v>-54728.30584079873</v>
      </c>
      <c r="N14" t="n">
        <v>0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FBL</t>
        </is>
      </c>
      <c r="C15" t="inlineStr">
        <is>
          <t>META</t>
        </is>
      </c>
      <c r="D15" t="n">
        <v>142.1544494628906</v>
      </c>
      <c r="E15" t="n">
        <v>-4.461361885070801</v>
      </c>
      <c r="F15" t="n">
        <v>25557</v>
      </c>
      <c r="G15" t="n">
        <v>-416175</v>
      </c>
      <c r="H15">
        <f>D15*F15</f>
        <v/>
      </c>
      <c r="I15">
        <f>E15*G15</f>
        <v/>
      </c>
      <c r="J15">
        <f>H15-I15</f>
        <v/>
      </c>
      <c r="K15" t="n">
        <v>-0.01</v>
      </c>
      <c r="L15" t="n">
        <v>98900.66026182026</v>
      </c>
      <c r="M15" t="n">
        <v>-72067.15969389942</v>
      </c>
      <c r="N15" t="n">
        <v>0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FBL</t>
        </is>
      </c>
      <c r="C16" t="inlineStr">
        <is>
          <t>META</t>
        </is>
      </c>
      <c r="D16" t="n">
        <v>142.0254669189453</v>
      </c>
      <c r="E16" t="n">
        <v>-4.448641777038574</v>
      </c>
      <c r="F16" t="n">
        <v>25557</v>
      </c>
      <c r="G16" t="n">
        <v>-416175</v>
      </c>
      <c r="H16">
        <f>D16*F16</f>
        <v/>
      </c>
      <c r="I16">
        <f>E16*G16</f>
        <v/>
      </c>
      <c r="J16">
        <f>H16-I16</f>
        <v/>
      </c>
      <c r="K16" t="n">
        <v>-0.01</v>
      </c>
      <c r="L16" t="n">
        <v>-3296.545680786616</v>
      </c>
      <c r="M16" t="n">
        <v>5012.367686613428</v>
      </c>
      <c r="N16" t="n">
        <v>-0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FBL</t>
        </is>
      </c>
      <c r="C17" t="inlineStr">
        <is>
          <t>META</t>
        </is>
      </c>
      <c r="D17" t="n">
        <v>140.3982086181641</v>
      </c>
      <c r="E17" t="n">
        <v>-4.376472473144531</v>
      </c>
      <c r="F17" t="n">
        <v>25557</v>
      </c>
      <c r="G17" t="n">
        <v>-416175</v>
      </c>
      <c r="H17">
        <f>D17*F17</f>
        <v/>
      </c>
      <c r="I17">
        <f>E17*G17</f>
        <v/>
      </c>
      <c r="J17">
        <f>H17-I17</f>
        <v/>
      </c>
      <c r="K17" t="n">
        <v>-0.01</v>
      </c>
      <c r="L17" t="n">
        <v>-41589.59157480278</v>
      </c>
      <c r="M17" t="n">
        <v>28438.3659232622</v>
      </c>
      <c r="N17" t="n">
        <v>0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FBL</t>
        </is>
      </c>
      <c r="C18" t="inlineStr">
        <is>
          <t>META</t>
        </is>
      </c>
      <c r="D18" t="n">
        <v>146.153076171875</v>
      </c>
      <c r="E18" t="n">
        <v>-4.637890815734863</v>
      </c>
      <c r="F18" t="n">
        <v>25557</v>
      </c>
      <c r="G18" t="n">
        <v>-416175</v>
      </c>
      <c r="H18">
        <f>D18*F18</f>
        <v/>
      </c>
      <c r="I18">
        <f>E18*G18</f>
        <v/>
      </c>
      <c r="J18">
        <f>H18-I18</f>
        <v/>
      </c>
      <c r="K18" t="n">
        <v>-0.01</v>
      </c>
      <c r="L18" t="n">
        <v>147083.3431981963</v>
      </c>
      <c r="M18" t="n">
        <v>-103012.0852565162</v>
      </c>
      <c r="N18" t="n">
        <v>0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FBL</t>
        </is>
      </c>
      <c r="C19" t="inlineStr">
        <is>
          <t>META</t>
        </is>
      </c>
      <c r="D19" t="n">
        <v>150.5585021972656</v>
      </c>
      <c r="E19" t="n">
        <v>-4.847777843475342</v>
      </c>
      <c r="F19" t="n">
        <v>25557</v>
      </c>
      <c r="G19" t="n">
        <v>-416175</v>
      </c>
      <c r="H19">
        <f>D19*F19</f>
        <v/>
      </c>
      <c r="I19">
        <f>E19*G19</f>
        <v/>
      </c>
      <c r="J19">
        <f>H19-I19</f>
        <v/>
      </c>
      <c r="K19" t="n">
        <v>-0.01</v>
      </c>
      <c r="L19" t="n">
        <v>112594.2138510147</v>
      </c>
      <c r="M19" t="n">
        <v>-82706.13370738491</v>
      </c>
      <c r="N19" t="n">
        <v>0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FBL</t>
        </is>
      </c>
      <c r="C20" t="inlineStr">
        <is>
          <t>META</t>
        </is>
      </c>
      <c r="D20" t="n">
        <v>145.9149169921875</v>
      </c>
      <c r="E20" t="n">
        <v>-4.622833728790283</v>
      </c>
      <c r="F20" t="n">
        <v>24480</v>
      </c>
      <c r="G20" t="n">
        <v>-380713</v>
      </c>
      <c r="H20">
        <f>D20*F20</f>
        <v/>
      </c>
      <c r="I20">
        <f>E20*G20</f>
        <v/>
      </c>
      <c r="J20">
        <f>H20-I20</f>
        <v/>
      </c>
      <c r="K20" t="n">
        <v>-0.01</v>
      </c>
      <c r="L20" t="n">
        <v>-113679.7524483785</v>
      </c>
      <c r="M20" t="n">
        <v>81086.48509962275</v>
      </c>
      <c r="N20" t="n">
        <v>-0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FBL</t>
        </is>
      </c>
      <c r="C21" t="inlineStr">
        <is>
          <t>META</t>
        </is>
      </c>
      <c r="D21" t="n">
        <v>147.81005859375</v>
      </c>
      <c r="E21" t="n">
        <v>-4.703568935394287</v>
      </c>
      <c r="F21" t="n">
        <v>24480</v>
      </c>
      <c r="G21" t="n">
        <v>-380713</v>
      </c>
      <c r="H21">
        <f>D21*F21</f>
        <v/>
      </c>
      <c r="I21">
        <f>E21*G21</f>
        <v/>
      </c>
      <c r="J21">
        <f>H21-I21</f>
        <v/>
      </c>
      <c r="K21" t="n">
        <v>-0.01</v>
      </c>
      <c r="L21" t="n">
        <v>46395.01992655346</v>
      </c>
      <c r="M21" t="n">
        <v>-29102.93579574751</v>
      </c>
      <c r="N21" t="n">
        <v>0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MSFT Price</t>
        </is>
      </c>
      <c r="E1" t="inlineStr">
        <is>
          <t>MSFU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MSFU</t>
        </is>
      </c>
      <c r="C2" t="inlineStr">
        <is>
          <t>MSFT</t>
        </is>
      </c>
      <c r="D2" t="n">
        <v>233.4528198242188</v>
      </c>
      <c r="E2" t="n">
        <v>-18.77336311340332</v>
      </c>
      <c r="F2" t="n">
        <v>8314</v>
      </c>
      <c r="G2" t="n">
        <v>-51898</v>
      </c>
      <c r="H2">
        <f>D2*F2</f>
        <v/>
      </c>
      <c r="I2">
        <f>E2*G2</f>
        <v/>
      </c>
      <c r="J2">
        <f>H2-I2</f>
        <v/>
      </c>
      <c r="K2" t="n">
        <v>-0.005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MSFU</t>
        </is>
      </c>
      <c r="C3" t="inlineStr">
        <is>
          <t>MSFT</t>
        </is>
      </c>
      <c r="D3" t="n">
        <v>223.2408447265625</v>
      </c>
      <c r="E3" t="n">
        <v>-17.5234432220459</v>
      </c>
      <c r="F3" t="n">
        <v>8314</v>
      </c>
      <c r="G3" t="n">
        <v>-51898</v>
      </c>
      <c r="H3">
        <f>D3*F3</f>
        <v/>
      </c>
      <c r="I3">
        <f>E3*G3</f>
        <v/>
      </c>
      <c r="J3">
        <f>H3-I3</f>
        <v/>
      </c>
      <c r="K3" t="n">
        <v>-0.005</v>
      </c>
      <c r="L3" t="n">
        <v>0</v>
      </c>
      <c r="M3" t="n">
        <v>0</v>
      </c>
      <c r="N3" t="n">
        <v>-0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MSFU</t>
        </is>
      </c>
      <c r="C4" t="inlineStr">
        <is>
          <t>MSFT</t>
        </is>
      </c>
      <c r="D4" t="n">
        <v>216.6244659423828</v>
      </c>
      <c r="E4" t="n">
        <v>-16.76129722595215</v>
      </c>
      <c r="F4" t="n">
        <v>8314</v>
      </c>
      <c r="G4" t="n">
        <v>-51898</v>
      </c>
      <c r="H4">
        <f>D4*F4</f>
        <v/>
      </c>
      <c r="I4">
        <f>E4*G4</f>
        <v/>
      </c>
      <c r="J4">
        <f>H4-I4</f>
        <v/>
      </c>
      <c r="K4" t="n">
        <v>-0.005</v>
      </c>
      <c r="L4" t="n">
        <v>-55010.8895139314</v>
      </c>
      <c r="M4" t="n">
        <v>37451.13013902851</v>
      </c>
      <c r="N4" t="n">
        <v>-0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MSFU</t>
        </is>
      </c>
      <c r="C5" t="inlineStr">
        <is>
          <t>MSFT</t>
        </is>
      </c>
      <c r="D5" t="n">
        <v>219.1774597167969</v>
      </c>
      <c r="E5" t="n">
        <v>-17.01280212402344</v>
      </c>
      <c r="F5" t="n">
        <v>8314</v>
      </c>
      <c r="G5" t="n">
        <v>-51898</v>
      </c>
      <c r="H5">
        <f>D5*F5</f>
        <v/>
      </c>
      <c r="I5">
        <f>E5*G5</f>
        <v/>
      </c>
      <c r="J5">
        <f>H5-I5</f>
        <v/>
      </c>
      <c r="K5" t="n">
        <v>-0.005</v>
      </c>
      <c r="L5" t="n">
        <v>21226.4840081188</v>
      </c>
      <c r="M5" t="n">
        <v>-12358.71173836399</v>
      </c>
      <c r="N5" t="n">
        <v>0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MSFU</t>
        </is>
      </c>
      <c r="C6" t="inlineStr">
        <is>
          <t>MSFT</t>
        </is>
      </c>
      <c r="D6" t="n">
        <v>221.3114471435547</v>
      </c>
      <c r="E6" t="n">
        <v>-17.30919456481934</v>
      </c>
      <c r="F6" t="n">
        <v>8314</v>
      </c>
      <c r="G6" t="n">
        <v>-53770</v>
      </c>
      <c r="H6">
        <f>D6*F6</f>
        <v/>
      </c>
      <c r="I6">
        <f>E6*G6</f>
        <v/>
      </c>
      <c r="J6">
        <f>H6-I6</f>
        <v/>
      </c>
      <c r="K6" t="n">
        <v>-0.005</v>
      </c>
      <c r="L6" t="n">
        <v>17742.71854540555</v>
      </c>
      <c r="M6" t="n">
        <v>-15089.79338149931</v>
      </c>
      <c r="N6" t="n">
        <v>0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MSFU</t>
        </is>
      </c>
      <c r="C7" t="inlineStr">
        <is>
          <t>MSFT</t>
        </is>
      </c>
      <c r="D7" t="n">
        <v>222.9972381591797</v>
      </c>
      <c r="E7" t="n">
        <v>-17.46247100830078</v>
      </c>
      <c r="F7" t="n">
        <v>8314</v>
      </c>
      <c r="G7" t="n">
        <v>-53770</v>
      </c>
      <c r="H7">
        <f>D7*F7</f>
        <v/>
      </c>
      <c r="I7">
        <f>E7*G7</f>
        <v/>
      </c>
      <c r="J7">
        <f>H7-I7</f>
        <v/>
      </c>
      <c r="K7" t="n">
        <v>-0.005</v>
      </c>
      <c r="L7" t="n">
        <v>14016.25667591261</v>
      </c>
      <c r="M7" t="n">
        <v>-7803.538633357995</v>
      </c>
      <c r="N7" t="n">
        <v>0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MSFU</t>
        </is>
      </c>
      <c r="C8" t="inlineStr">
        <is>
          <t>MSFT</t>
        </is>
      </c>
      <c r="D8" t="n">
        <v>229.740234375</v>
      </c>
      <c r="E8" t="n">
        <v>-18.25510215759277</v>
      </c>
      <c r="F8" t="n">
        <v>8314</v>
      </c>
      <c r="G8" t="n">
        <v>-53770</v>
      </c>
      <c r="H8">
        <f>D8*F8</f>
        <v/>
      </c>
      <c r="I8">
        <f>E8*G8</f>
        <v/>
      </c>
      <c r="J8">
        <f>H8-I8</f>
        <v/>
      </c>
      <c r="K8" t="n">
        <v>-0.005</v>
      </c>
      <c r="L8" t="n">
        <v>56063.63116759471</v>
      </c>
      <c r="M8" t="n">
        <v>-40354.06651545753</v>
      </c>
      <c r="N8" t="n">
        <v>0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MSFU</t>
        </is>
      </c>
      <c r="C9" t="inlineStr">
        <is>
          <t>MSFT</t>
        </is>
      </c>
      <c r="D9" t="n">
        <v>232.4101715087891</v>
      </c>
      <c r="E9" t="n">
        <v>-18.59044647216797</v>
      </c>
      <c r="F9" t="n">
        <v>8314</v>
      </c>
      <c r="G9" t="n">
        <v>-53770</v>
      </c>
      <c r="H9">
        <f>D9*F9</f>
        <v/>
      </c>
      <c r="I9">
        <f>E9*G9</f>
        <v/>
      </c>
      <c r="J9">
        <f>H9-I9</f>
        <v/>
      </c>
      <c r="K9" t="n">
        <v>-0.005</v>
      </c>
      <c r="L9" t="n">
        <v>22198.79203820746</v>
      </c>
      <c r="M9" t="n">
        <v>-17072.89296924009</v>
      </c>
      <c r="N9" t="n">
        <v>0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MSFU</t>
        </is>
      </c>
      <c r="C10" t="inlineStr">
        <is>
          <t>MSFT</t>
        </is>
      </c>
      <c r="D10" t="n">
        <v>233.1117706298828</v>
      </c>
      <c r="E10" t="n">
        <v>-18.65141677856445</v>
      </c>
      <c r="F10" t="n">
        <v>8314</v>
      </c>
      <c r="G10" t="n">
        <v>-53770</v>
      </c>
      <c r="H10">
        <f>D10*F10</f>
        <v/>
      </c>
      <c r="I10">
        <f>E10*G10</f>
        <v/>
      </c>
      <c r="J10">
        <f>H10-I10</f>
        <v/>
      </c>
      <c r="K10" t="n">
        <v>-0.005</v>
      </c>
      <c r="L10" t="n">
        <v>5833.340712875286</v>
      </c>
      <c r="M10" t="n">
        <v>-3104.091735467723</v>
      </c>
      <c r="N10" t="n">
        <v>0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MSFU</t>
        </is>
      </c>
      <c r="C11" t="inlineStr">
        <is>
          <t>MSFT</t>
        </is>
      </c>
      <c r="D11" t="n">
        <v>234.2030944824219</v>
      </c>
      <c r="E11" t="n">
        <v>-18.77251625061035</v>
      </c>
      <c r="F11" t="n">
        <v>8999</v>
      </c>
      <c r="G11" t="n">
        <v>-56464</v>
      </c>
      <c r="H11">
        <f>D11*F11</f>
        <v/>
      </c>
      <c r="I11">
        <f>E11*G11</f>
        <v/>
      </c>
      <c r="J11">
        <f>H11-I11</f>
        <v/>
      </c>
      <c r="K11" t="n">
        <v>-0.005</v>
      </c>
      <c r="L11" t="n">
        <v>9821.236884453674</v>
      </c>
      <c r="M11" t="n">
        <v>-6474.258331139054</v>
      </c>
      <c r="N11" t="n">
        <v>0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MSFU</t>
        </is>
      </c>
      <c r="C12" t="inlineStr">
        <is>
          <t>MSFT</t>
        </is>
      </c>
      <c r="D12" t="n">
        <v>229.7792205810547</v>
      </c>
      <c r="E12" t="n">
        <v>-18.24917411804199</v>
      </c>
      <c r="F12" t="n">
        <v>8999</v>
      </c>
      <c r="G12" t="n">
        <v>-56464</v>
      </c>
      <c r="H12">
        <f>D12*F12</f>
        <v/>
      </c>
      <c r="I12">
        <f>E12*G12</f>
        <v/>
      </c>
      <c r="J12">
        <f>H12-I12</f>
        <v/>
      </c>
      <c r="K12" t="n">
        <v>-0.005</v>
      </c>
      <c r="L12" t="n">
        <v>-39812.11757737536</v>
      </c>
      <c r="M12" t="n">
        <v>27979.08285291768</v>
      </c>
      <c r="N12" t="n">
        <v>-0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MSFU</t>
        </is>
      </c>
      <c r="C13" t="inlineStr">
        <is>
          <t>MSFT</t>
        </is>
      </c>
      <c r="D13" t="n">
        <v>225.9984436035156</v>
      </c>
      <c r="E13" t="n">
        <v>-17.7935791015625</v>
      </c>
      <c r="F13" t="n">
        <v>8999</v>
      </c>
      <c r="G13" t="n">
        <v>-56464</v>
      </c>
      <c r="H13">
        <f>D13*F13</f>
        <v/>
      </c>
      <c r="I13">
        <f>E13*G13</f>
        <v/>
      </c>
      <c r="J13">
        <f>H13-I13</f>
        <v/>
      </c>
      <c r="K13" t="n">
        <v>-0.005</v>
      </c>
      <c r="L13" t="n">
        <v>-34024.64467106554</v>
      </c>
      <c r="M13" t="n">
        <v>24357.16507459117</v>
      </c>
      <c r="N13" t="n">
        <v>-0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MSFU</t>
        </is>
      </c>
      <c r="C14" t="inlineStr">
        <is>
          <t>MSFT</t>
        </is>
      </c>
      <c r="D14" t="n">
        <v>234.0764312744141</v>
      </c>
      <c r="E14" t="n">
        <v>-18.71154403686523</v>
      </c>
      <c r="F14" t="n">
        <v>8999</v>
      </c>
      <c r="G14" t="n">
        <v>-56464</v>
      </c>
      <c r="H14">
        <f>D14*F14</f>
        <v/>
      </c>
      <c r="I14">
        <f>E14*G14</f>
        <v/>
      </c>
      <c r="J14">
        <f>H14-I14</f>
        <v/>
      </c>
      <c r="K14" t="n">
        <v>-0.005</v>
      </c>
      <c r="L14" t="n">
        <v>72696.87204307673</v>
      </c>
      <c r="M14" t="n">
        <v>-49076.53212414266</v>
      </c>
      <c r="N14" t="n">
        <v>0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MSFU</t>
        </is>
      </c>
      <c r="C15" t="inlineStr">
        <is>
          <t>MSFT</t>
        </is>
      </c>
      <c r="D15" t="n">
        <v>236.3760833740234</v>
      </c>
      <c r="E15" t="n">
        <v>-19.00285339355469</v>
      </c>
      <c r="F15" t="n">
        <v>8999</v>
      </c>
      <c r="G15" t="n">
        <v>-56464</v>
      </c>
      <c r="H15">
        <f>D15*F15</f>
        <v/>
      </c>
      <c r="I15">
        <f>E15*G15</f>
        <v/>
      </c>
      <c r="J15">
        <f>H15-I15</f>
        <v/>
      </c>
      <c r="K15" t="n">
        <v>-0.005</v>
      </c>
      <c r="L15" t="n">
        <v>20695.44065178078</v>
      </c>
      <c r="M15" t="n">
        <v>-15574.07309563352</v>
      </c>
      <c r="N15" t="n">
        <v>0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MSFU</t>
        </is>
      </c>
      <c r="C16" t="inlineStr">
        <is>
          <t>MSFT</t>
        </is>
      </c>
      <c r="D16" t="n">
        <v>235.8498840332031</v>
      </c>
      <c r="E16" t="n">
        <v>-18.93341255187988</v>
      </c>
      <c r="F16" t="n">
        <v>8999</v>
      </c>
      <c r="G16" t="n">
        <v>-56464</v>
      </c>
      <c r="H16">
        <f>D16*F16</f>
        <v/>
      </c>
      <c r="I16">
        <f>E16*G16</f>
        <v/>
      </c>
      <c r="J16">
        <f>H16-I16</f>
        <v/>
      </c>
      <c r="K16" t="n">
        <v>-0.005</v>
      </c>
      <c r="L16" t="n">
        <v>-4735.467260809902</v>
      </c>
      <c r="M16" t="n">
        <v>3712.468272066585</v>
      </c>
      <c r="N16" t="n">
        <v>-0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MSFU</t>
        </is>
      </c>
      <c r="C17" t="inlineStr">
        <is>
          <t>MSFT</t>
        </is>
      </c>
      <c r="D17" t="n">
        <v>234.4564514160156</v>
      </c>
      <c r="E17" t="n">
        <v>-18.73186874389648</v>
      </c>
      <c r="F17" t="n">
        <v>8999</v>
      </c>
      <c r="G17" t="n">
        <v>-56464</v>
      </c>
      <c r="H17">
        <f>D17*F17</f>
        <v/>
      </c>
      <c r="I17">
        <f>E17*G17</f>
        <v/>
      </c>
      <c r="J17">
        <f>H17-I17</f>
        <v/>
      </c>
      <c r="K17" t="n">
        <v>-0.005</v>
      </c>
      <c r="L17" t="n">
        <v>-12540.02813562883</v>
      </c>
      <c r="M17" t="n">
        <v>10774.99889868596</v>
      </c>
      <c r="N17" t="n">
        <v>0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MSFU</t>
        </is>
      </c>
      <c r="C18" t="inlineStr">
        <is>
          <t>MSFT</t>
        </is>
      </c>
      <c r="D18" t="n">
        <v>241.657470703125</v>
      </c>
      <c r="E18" t="n">
        <v>-19.63797760009766</v>
      </c>
      <c r="F18" t="n">
        <v>8999</v>
      </c>
      <c r="G18" t="n">
        <v>-56464</v>
      </c>
      <c r="H18">
        <f>D18*F18</f>
        <v/>
      </c>
      <c r="I18">
        <f>E18*G18</f>
        <v/>
      </c>
      <c r="J18">
        <f>H18-I18</f>
        <v/>
      </c>
      <c r="K18" t="n">
        <v>-0.005</v>
      </c>
      <c r="L18" t="n">
        <v>64804.70124764314</v>
      </c>
      <c r="M18" t="n">
        <v>-48442.6786679621</v>
      </c>
      <c r="N18" t="n">
        <v>0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MSFU</t>
        </is>
      </c>
      <c r="C19" t="inlineStr">
        <is>
          <t>MSFT</t>
        </is>
      </c>
      <c r="D19" t="n">
        <v>241.8133850097656</v>
      </c>
      <c r="E19" t="n">
        <v>-19.63712501525879</v>
      </c>
      <c r="F19" t="n">
        <v>8999</v>
      </c>
      <c r="G19" t="n">
        <v>-56464</v>
      </c>
      <c r="H19">
        <f>D19*F19</f>
        <v/>
      </c>
      <c r="I19">
        <f>E19*G19</f>
        <v/>
      </c>
      <c r="J19">
        <f>H19-I19</f>
        <v/>
      </c>
      <c r="K19" t="n">
        <v>-0.005</v>
      </c>
      <c r="L19" t="n">
        <v>1403.131926082516</v>
      </c>
      <c r="M19" t="n">
        <v>45.58116070024346</v>
      </c>
      <c r="N19" t="n">
        <v>0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MSFU</t>
        </is>
      </c>
      <c r="C20" t="inlineStr">
        <is>
          <t>MSFT</t>
        </is>
      </c>
      <c r="D20" t="n">
        <v>236.5027465820312</v>
      </c>
      <c r="E20" t="n">
        <v>-19.01131820678711</v>
      </c>
      <c r="F20" t="n">
        <v>9205</v>
      </c>
      <c r="G20" t="n">
        <v>-56905</v>
      </c>
      <c r="H20">
        <f>D20*F20</f>
        <v/>
      </c>
      <c r="I20">
        <f>E20*G20</f>
        <v/>
      </c>
      <c r="J20">
        <f>H20-I20</f>
        <v/>
      </c>
      <c r="K20" t="n">
        <v>-0.005</v>
      </c>
      <c r="L20" t="n">
        <v>-48886.48515385588</v>
      </c>
      <c r="M20" t="n">
        <v>33718.39119472001</v>
      </c>
      <c r="N20" t="n">
        <v>-0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MSFU</t>
        </is>
      </c>
      <c r="C21" t="inlineStr">
        <is>
          <t>MSFT</t>
        </is>
      </c>
      <c r="D21" t="n">
        <v>241.4723358154297</v>
      </c>
      <c r="E21" t="n">
        <v>-19.60409927368164</v>
      </c>
      <c r="F21" t="n">
        <v>9205</v>
      </c>
      <c r="G21" t="n">
        <v>-56905</v>
      </c>
      <c r="H21">
        <f>D21*F21</f>
        <v/>
      </c>
      <c r="I21">
        <f>E21*G21</f>
        <v/>
      </c>
      <c r="J21">
        <f>H21-I21</f>
        <v/>
      </c>
      <c r="K21" t="n">
        <v>-0.005</v>
      </c>
      <c r="L21" t="n">
        <v>45746.99512784196</v>
      </c>
      <c r="M21" t="n">
        <v>-31938.96844169252</v>
      </c>
      <c r="N21" t="n">
        <v>0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NVDA Price</t>
        </is>
      </c>
      <c r="E1" t="inlineStr">
        <is>
          <t>NVDL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NVDL</t>
        </is>
      </c>
      <c r="C2" t="inlineStr">
        <is>
          <t>NVDA</t>
        </is>
      </c>
      <c r="D2" t="n">
        <v>14.2999095916748</v>
      </c>
      <c r="E2" t="n">
        <v>-2.885448932647705</v>
      </c>
      <c r="F2" t="n">
        <v>307781</v>
      </c>
      <c r="G2" t="n">
        <v>-767265</v>
      </c>
      <c r="H2">
        <f>D2*F2</f>
        <v/>
      </c>
      <c r="I2">
        <f>E2*G2</f>
        <v/>
      </c>
      <c r="J2">
        <f>H2-I2</f>
        <v/>
      </c>
      <c r="K2" t="n">
        <v>-0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NVDL</t>
        </is>
      </c>
      <c r="C3" t="inlineStr">
        <is>
          <t>NVDA</t>
        </is>
      </c>
      <c r="D3" t="n">
        <v>14.7334508895874</v>
      </c>
      <c r="E3" t="n">
        <v>-2.842646837234497</v>
      </c>
      <c r="F3" t="n">
        <v>307781</v>
      </c>
      <c r="G3" t="n">
        <v>-767265</v>
      </c>
      <c r="H3">
        <f>D3*F3</f>
        <v/>
      </c>
      <c r="I3">
        <f>E3*G3</f>
        <v/>
      </c>
      <c r="J3">
        <f>H3-I3</f>
        <v/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NVDL</t>
        </is>
      </c>
      <c r="C4" t="inlineStr">
        <is>
          <t>NVDA</t>
        </is>
      </c>
      <c r="D4" t="n">
        <v>14.24996280670166</v>
      </c>
      <c r="E4" t="n">
        <v>-2.711843490600586</v>
      </c>
      <c r="F4" t="n">
        <v>307781</v>
      </c>
      <c r="G4" t="n">
        <v>-767265</v>
      </c>
      <c r="H4">
        <f>D4*F4</f>
        <v/>
      </c>
      <c r="I4">
        <f>E4*G4</f>
        <v/>
      </c>
      <c r="J4">
        <f>H4-I4</f>
        <v/>
      </c>
      <c r="K4" t="n">
        <v>-0</v>
      </c>
      <c r="L4" t="n">
        <v>-148814.7116680959</v>
      </c>
      <c r="M4" t="n">
        <v>95025.54668996148</v>
      </c>
      <c r="N4" t="n">
        <v>-0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NVDL</t>
        </is>
      </c>
      <c r="C5" t="inlineStr">
        <is>
          <t>NVDA</t>
        </is>
      </c>
      <c r="D5" t="n">
        <v>14.84333610534668</v>
      </c>
      <c r="E5" t="n">
        <v>-2.874823570251465</v>
      </c>
      <c r="F5" t="n">
        <v>307781</v>
      </c>
      <c r="G5" t="n">
        <v>-767265</v>
      </c>
      <c r="H5">
        <f>D5*F5</f>
        <v/>
      </c>
      <c r="I5">
        <f>E5*G5</f>
        <v/>
      </c>
      <c r="J5">
        <f>H5-I5</f>
        <v/>
      </c>
      <c r="K5" t="n">
        <v>-0</v>
      </c>
      <c r="L5" t="n">
        <v>182636.7173775268</v>
      </c>
      <c r="M5" t="n">
        <v>-118401.1844264474</v>
      </c>
      <c r="N5" t="n">
        <v>0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NVDL</t>
        </is>
      </c>
      <c r="C6" t="inlineStr">
        <is>
          <t>NVDA</t>
        </is>
      </c>
      <c r="D6" t="n">
        <v>15.61152362823486</v>
      </c>
      <c r="E6" t="n">
        <v>-3.111436367034912</v>
      </c>
      <c r="F6" t="n">
        <v>307781</v>
      </c>
      <c r="G6" t="n">
        <v>-799366</v>
      </c>
      <c r="H6">
        <f>D6*F6</f>
        <v/>
      </c>
      <c r="I6">
        <f>E6*G6</f>
        <v/>
      </c>
      <c r="J6">
        <f>H6-I6</f>
        <v/>
      </c>
      <c r="K6" t="n">
        <v>-0</v>
      </c>
      <c r="L6" t="n">
        <v>236443.4797302944</v>
      </c>
      <c r="M6" t="n">
        <v>-179085.3395427339</v>
      </c>
      <c r="N6" t="n">
        <v>0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NVDL</t>
        </is>
      </c>
      <c r="C7" t="inlineStr">
        <is>
          <t>NVDA</t>
        </is>
      </c>
      <c r="D7" t="n">
        <v>15.89223098754883</v>
      </c>
      <c r="E7" t="n">
        <v>-3.185817241668701</v>
      </c>
      <c r="F7" t="n">
        <v>307781</v>
      </c>
      <c r="G7" t="n">
        <v>-799366</v>
      </c>
      <c r="H7">
        <f>D7*F7</f>
        <v/>
      </c>
      <c r="I7">
        <f>E7*G7</f>
        <v/>
      </c>
      <c r="J7">
        <f>H7-I7</f>
        <v/>
      </c>
      <c r="K7" t="n">
        <v>-0</v>
      </c>
      <c r="L7" t="n">
        <v>86400.02973825553</v>
      </c>
      <c r="M7" t="n">
        <v>-56296.71924071312</v>
      </c>
      <c r="N7" t="n">
        <v>0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NVDL</t>
        </is>
      </c>
      <c r="C8" t="inlineStr">
        <is>
          <t>NVDA</t>
        </is>
      </c>
      <c r="D8" t="n">
        <v>15.984130859375</v>
      </c>
      <c r="E8" t="n">
        <v>-3.231164216995239</v>
      </c>
      <c r="F8" t="n">
        <v>307781</v>
      </c>
      <c r="G8" t="n">
        <v>-799366</v>
      </c>
      <c r="H8">
        <f>D8*F8</f>
        <v/>
      </c>
      <c r="I8">
        <f>E8*G8</f>
        <v/>
      </c>
      <c r="J8">
        <f>H8-I8</f>
        <v/>
      </c>
      <c r="K8" t="n">
        <v>-0</v>
      </c>
      <c r="L8" t="n">
        <v>28286.22547740988</v>
      </c>
      <c r="M8" t="n">
        <v>-34321.80585322074</v>
      </c>
      <c r="N8" t="n">
        <v>0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NVDL</t>
        </is>
      </c>
      <c r="C9" t="inlineStr">
        <is>
          <t>NVDA</t>
        </is>
      </c>
      <c r="D9" t="n">
        <v>16.49359512329102</v>
      </c>
      <c r="E9" t="n">
        <v>-3.365260601043701</v>
      </c>
      <c r="F9" t="n">
        <v>307781</v>
      </c>
      <c r="G9" t="n">
        <v>-799366</v>
      </c>
      <c r="H9">
        <f>D9*F9</f>
        <v/>
      </c>
      <c r="I9">
        <f>E9*G9</f>
        <v/>
      </c>
      <c r="J9">
        <f>H9-I9</f>
        <v/>
      </c>
      <c r="K9" t="n">
        <v>-0</v>
      </c>
      <c r="L9" t="n">
        <v>156810.0232943639</v>
      </c>
      <c r="M9" t="n">
        <v>-101493.6503656241</v>
      </c>
      <c r="N9" t="n">
        <v>0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NVDL</t>
        </is>
      </c>
      <c r="C10" t="inlineStr">
        <is>
          <t>NVDA</t>
        </is>
      </c>
      <c r="D10" t="n">
        <v>16.88118362426758</v>
      </c>
      <c r="E10" t="n">
        <v>-3.478552579879761</v>
      </c>
      <c r="F10" t="n">
        <v>307781</v>
      </c>
      <c r="G10" t="n">
        <v>-799366</v>
      </c>
      <c r="H10">
        <f>D10*F10</f>
        <v/>
      </c>
      <c r="I10">
        <f>E10*G10</f>
        <v/>
      </c>
      <c r="J10">
        <f>H10-I10</f>
        <v/>
      </c>
      <c r="K10" t="n">
        <v>-0</v>
      </c>
      <c r="L10" t="n">
        <v>119297.3995851876</v>
      </c>
      <c r="M10" t="n">
        <v>-85747.40154858482</v>
      </c>
      <c r="N10" t="n">
        <v>0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NVDL</t>
        </is>
      </c>
      <c r="C11" t="inlineStr">
        <is>
          <t>NVDA</t>
        </is>
      </c>
      <c r="D11" t="n">
        <v>17.68334007263184</v>
      </c>
      <c r="E11" t="n">
        <v>-3.711573839187622</v>
      </c>
      <c r="F11" t="n">
        <v>281811</v>
      </c>
      <c r="G11" t="n">
        <v>-687933</v>
      </c>
      <c r="H11">
        <f>D11*F11</f>
        <v/>
      </c>
      <c r="I11">
        <f>E11*G11</f>
        <v/>
      </c>
      <c r="J11">
        <f>H11-I11</f>
        <v/>
      </c>
      <c r="K11" t="n">
        <v>-0</v>
      </c>
      <c r="L11" t="n">
        <v>226066.0296627203</v>
      </c>
      <c r="M11" t="n">
        <v>-151781.143864797</v>
      </c>
      <c r="N11" t="n">
        <v>0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NVDL</t>
        </is>
      </c>
      <c r="C12" t="inlineStr">
        <is>
          <t>NVDA</t>
        </is>
      </c>
      <c r="D12" t="n">
        <v>17.35868263244629</v>
      </c>
      <c r="E12" t="n">
        <v>-3.623124361038208</v>
      </c>
      <c r="F12" t="n">
        <v>281811</v>
      </c>
      <c r="G12" t="n">
        <v>-687933</v>
      </c>
      <c r="H12">
        <f>D12*F12</f>
        <v/>
      </c>
      <c r="I12">
        <f>E12*G12</f>
        <v/>
      </c>
      <c r="J12">
        <f>H12-I12</f>
        <v/>
      </c>
      <c r="K12" t="n">
        <v>-0</v>
      </c>
      <c r="L12" t="n">
        <v>-91495.89042495683</v>
      </c>
      <c r="M12" t="n">
        <v>57612.61014397719</v>
      </c>
      <c r="N12" t="n">
        <v>-0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NVDL</t>
        </is>
      </c>
      <c r="C13" t="inlineStr">
        <is>
          <t>NVDA</t>
        </is>
      </c>
      <c r="D13" t="n">
        <v>16.74732780456543</v>
      </c>
      <c r="E13" t="n">
        <v>-3.432158470153809</v>
      </c>
      <c r="F13" t="n">
        <v>281811</v>
      </c>
      <c r="G13" t="n">
        <v>-687933</v>
      </c>
      <c r="H13">
        <f>D13*F13</f>
        <v/>
      </c>
      <c r="I13">
        <f>E13*G13</f>
        <v/>
      </c>
      <c r="J13">
        <f>H13-I13</f>
        <v/>
      </c>
      <c r="K13" t="n">
        <v>-0</v>
      </c>
      <c r="L13" t="n">
        <v>-172293.7700444717</v>
      </c>
      <c r="M13" t="n">
        <v>124387.8839368039</v>
      </c>
      <c r="N13" t="n">
        <v>-0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NVDL</t>
        </is>
      </c>
      <c r="C14" t="inlineStr">
        <is>
          <t>NVDA</t>
        </is>
      </c>
      <c r="D14" t="n">
        <v>17.8201961517334</v>
      </c>
      <c r="E14" t="n">
        <v>-3.752580642700195</v>
      </c>
      <c r="F14" t="n">
        <v>281811</v>
      </c>
      <c r="G14" t="n">
        <v>-687933</v>
      </c>
      <c r="H14">
        <f>D14*F14</f>
        <v/>
      </c>
      <c r="I14">
        <f>E14*G14</f>
        <v/>
      </c>
      <c r="J14">
        <f>H14-I14</f>
        <v/>
      </c>
      <c r="K14" t="n">
        <v>-0</v>
      </c>
      <c r="L14" t="n">
        <v>302358.8329803355</v>
      </c>
      <c r="M14" t="n">
        <v>-208710.7588946635</v>
      </c>
      <c r="N14" t="n">
        <v>0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NVDL</t>
        </is>
      </c>
      <c r="C15" t="inlineStr">
        <is>
          <t>NVDA</t>
        </is>
      </c>
      <c r="D15" t="n">
        <v>19.17276954650879</v>
      </c>
      <c r="E15" t="n">
        <v>-4.136609554290771</v>
      </c>
      <c r="F15" t="n">
        <v>281811</v>
      </c>
      <c r="G15" t="n">
        <v>-687933</v>
      </c>
      <c r="H15">
        <f>D15*F15</f>
        <v/>
      </c>
      <c r="I15">
        <f>E15*G15</f>
        <v/>
      </c>
      <c r="J15">
        <f>H15-I15</f>
        <v/>
      </c>
      <c r="K15" t="n">
        <v>-0</v>
      </c>
      <c r="L15" t="n">
        <v>381186.1112727099</v>
      </c>
      <c r="M15" t="n">
        <v>-250141.7581018291</v>
      </c>
      <c r="N15" t="n">
        <v>0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NVDL</t>
        </is>
      </c>
      <c r="C16" t="inlineStr">
        <is>
          <t>NVDA</t>
        </is>
      </c>
      <c r="D16" t="n">
        <v>19.24469375610352</v>
      </c>
      <c r="E16" t="n">
        <v>-4.206799507141113</v>
      </c>
      <c r="F16" t="n">
        <v>281811</v>
      </c>
      <c r="G16" t="n">
        <v>-687933</v>
      </c>
      <c r="H16">
        <f>D16*F16</f>
        <v/>
      </c>
      <c r="I16">
        <f>E16*G16</f>
        <v/>
      </c>
      <c r="J16">
        <f>H16-I16</f>
        <v/>
      </c>
      <c r="K16" t="n">
        <v>-0</v>
      </c>
      <c r="L16" t="n">
        <v>20269.88691902368</v>
      </c>
      <c r="M16" t="n">
        <v>-45719.05311594731</v>
      </c>
      <c r="N16" t="n">
        <v>-0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NVDL</t>
        </is>
      </c>
      <c r="C17" t="inlineStr">
        <is>
          <t>NVDA</t>
        </is>
      </c>
      <c r="D17" t="n">
        <v>19.30263137817383</v>
      </c>
      <c r="E17" t="n">
        <v>-4.230895519256592</v>
      </c>
      <c r="F17" t="n">
        <v>281811</v>
      </c>
      <c r="G17" t="n">
        <v>-687933</v>
      </c>
      <c r="H17">
        <f>D17*F17</f>
        <v/>
      </c>
      <c r="I17">
        <f>E17*G17</f>
        <v/>
      </c>
      <c r="J17">
        <f>H17-I17</f>
        <v/>
      </c>
      <c r="K17" t="n">
        <v>-0</v>
      </c>
      <c r="L17" t="n">
        <v>16328.14673028358</v>
      </c>
      <c r="M17" t="n">
        <v>-15695.22151039182</v>
      </c>
      <c r="N17" t="n">
        <v>0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NVDL</t>
        </is>
      </c>
      <c r="C18" t="inlineStr">
        <is>
          <t>NVDA</t>
        </is>
      </c>
      <c r="D18" t="n">
        <v>19.78112411499023</v>
      </c>
      <c r="E18" t="n">
        <v>-4.367085456848145</v>
      </c>
      <c r="F18" t="n">
        <v>281811</v>
      </c>
      <c r="G18" t="n">
        <v>-687933</v>
      </c>
      <c r="H18">
        <f>D18*F18</f>
        <v/>
      </c>
      <c r="I18">
        <f>E18*G18</f>
        <v/>
      </c>
      <c r="J18">
        <f>H18-I18</f>
        <v/>
      </c>
      <c r="K18" t="n">
        <v>-0</v>
      </c>
      <c r="L18" t="n">
        <v>134850.1946909659</v>
      </c>
      <c r="M18" t="n">
        <v>-88708.92111698331</v>
      </c>
      <c r="N18" t="n">
        <v>0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NVDL</t>
        </is>
      </c>
      <c r="C19" t="inlineStr">
        <is>
          <t>NVDA</t>
        </is>
      </c>
      <c r="D19" t="n">
        <v>20.34353065490723</v>
      </c>
      <c r="E19" t="n">
        <v>-4.571970462799072</v>
      </c>
      <c r="F19" t="n">
        <v>281811</v>
      </c>
      <c r="G19" t="n">
        <v>-687933</v>
      </c>
      <c r="H19">
        <f>D19*F19</f>
        <v/>
      </c>
      <c r="I19">
        <f>E19*G19</f>
        <v/>
      </c>
      <c r="J19">
        <f>H19-I19</f>
        <v/>
      </c>
      <c r="K19" t="n">
        <v>-0</v>
      </c>
      <c r="L19" t="n">
        <v>158499.0232200292</v>
      </c>
      <c r="M19" t="n">
        <v>-133454.2635995806</v>
      </c>
      <c r="N19" t="n">
        <v>0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NVDL</t>
        </is>
      </c>
      <c r="C20" t="inlineStr">
        <is>
          <t>NVDA</t>
        </is>
      </c>
      <c r="D20" t="n">
        <v>19.14180183410645</v>
      </c>
      <c r="E20" t="n">
        <v>-4.194976806640625</v>
      </c>
      <c r="F20" t="n">
        <v>248131</v>
      </c>
      <c r="G20" t="n">
        <v>-555377</v>
      </c>
      <c r="H20">
        <f>D20*F20</f>
        <v/>
      </c>
      <c r="I20">
        <f>E20*G20</f>
        <v/>
      </c>
      <c r="J20">
        <f>H20-I20</f>
        <v/>
      </c>
      <c r="K20" t="n">
        <v>-0</v>
      </c>
      <c r="L20" t="n">
        <v>-298198.7300643686</v>
      </c>
      <c r="M20" t="n">
        <v>198243.0934449072</v>
      </c>
      <c r="N20" t="n">
        <v>-0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NVDL</t>
        </is>
      </c>
      <c r="C21" t="inlineStr">
        <is>
          <t>NVDA</t>
        </is>
      </c>
      <c r="D21" t="n">
        <v>19.51640892028809</v>
      </c>
      <c r="E21" t="n">
        <v>-4.271303653717041</v>
      </c>
      <c r="F21" t="n">
        <v>248131</v>
      </c>
      <c r="G21" t="n">
        <v>-555377</v>
      </c>
      <c r="H21">
        <f>D21*F21</f>
        <v/>
      </c>
      <c r="I21">
        <f>E21*G21</f>
        <v/>
      </c>
      <c r="J21">
        <f>H21-I21</f>
        <v/>
      </c>
      <c r="K21" t="n">
        <v>-0</v>
      </c>
      <c r="L21" t="n">
        <v>92955.54491074091</v>
      </c>
      <c r="M21" t="n">
        <v>-40136.67081698991</v>
      </c>
      <c r="N21" t="n">
        <v>0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SOXX Price</t>
        </is>
      </c>
      <c r="E1" t="inlineStr">
        <is>
          <t>SOXL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SOXL</t>
        </is>
      </c>
      <c r="C2" t="inlineStr">
        <is>
          <t>SOXX</t>
        </is>
      </c>
      <c r="D2" t="n">
        <v>112.2133102416992</v>
      </c>
      <c r="E2" t="n">
        <v>-9.158904075622559</v>
      </c>
      <c r="F2" t="n">
        <v>8941</v>
      </c>
      <c r="G2" t="n">
        <v>-36957</v>
      </c>
      <c r="H2">
        <f>D2*F2</f>
        <v/>
      </c>
      <c r="I2">
        <f>E2*G2</f>
        <v/>
      </c>
      <c r="J2">
        <f>H2-I2</f>
        <v/>
      </c>
      <c r="K2" t="n">
        <v>-0.0175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SOXL</t>
        </is>
      </c>
      <c r="C3" t="inlineStr">
        <is>
          <t>SOXX</t>
        </is>
      </c>
      <c r="D3" t="n">
        <v>115.1017684936523</v>
      </c>
      <c r="E3" t="n">
        <v>-9.853649139404297</v>
      </c>
      <c r="F3" t="n">
        <v>8941</v>
      </c>
      <c r="G3" t="n">
        <v>-36957</v>
      </c>
      <c r="H3">
        <f>D3*F3</f>
        <v/>
      </c>
      <c r="I3">
        <f>E3*G3</f>
        <v/>
      </c>
      <c r="J3">
        <f>H3-I3</f>
        <v/>
      </c>
      <c r="K3" t="n">
        <v>-0.0175</v>
      </c>
      <c r="L3" t="n">
        <v>0</v>
      </c>
      <c r="M3" t="n">
        <v>0</v>
      </c>
      <c r="N3" t="n">
        <v>-0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SOXL</t>
        </is>
      </c>
      <c r="C4" t="inlineStr">
        <is>
          <t>SOXX</t>
        </is>
      </c>
      <c r="D4" t="n">
        <v>113.1609268188477</v>
      </c>
      <c r="E4" t="n">
        <v>-9.364391326904297</v>
      </c>
      <c r="F4" t="n">
        <v>8941</v>
      </c>
      <c r="G4" t="n">
        <v>-36957</v>
      </c>
      <c r="H4">
        <f>D4*F4</f>
        <v/>
      </c>
      <c r="I4">
        <f>E4*G4</f>
        <v/>
      </c>
      <c r="J4">
        <f>H4-I4</f>
        <v/>
      </c>
      <c r="K4" t="n">
        <v>-0.0175</v>
      </c>
      <c r="L4" t="n">
        <v>-17353.79611770487</v>
      </c>
      <c r="M4" t="n">
        <v>17120.27012397395</v>
      </c>
      <c r="N4" t="n">
        <v>-0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SOXL</t>
        </is>
      </c>
      <c r="C5" t="inlineStr">
        <is>
          <t>SOXX</t>
        </is>
      </c>
      <c r="D5" t="n">
        <v>118.4265823364258</v>
      </c>
      <c r="E5" t="n">
        <v>-10.63646030426025</v>
      </c>
      <c r="F5" t="n">
        <v>8941</v>
      </c>
      <c r="G5" t="n">
        <v>-36957</v>
      </c>
      <c r="H5">
        <f>D5*F5</f>
        <v/>
      </c>
      <c r="I5">
        <f>E5*G5</f>
        <v/>
      </c>
      <c r="J5">
        <f>H5-I5</f>
        <v/>
      </c>
      <c r="K5" t="n">
        <v>-0.0175</v>
      </c>
      <c r="L5" t="n">
        <v>47082.20843790067</v>
      </c>
      <c r="M5" t="n">
        <v>-44512.65560253326</v>
      </c>
      <c r="N5" t="n">
        <v>0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SOXL</t>
        </is>
      </c>
      <c r="C6" t="inlineStr">
        <is>
          <t>SOXX</t>
        </is>
      </c>
      <c r="D6" t="n">
        <v>120.6083908081055</v>
      </c>
      <c r="E6" t="n">
        <v>-11.28228092193604</v>
      </c>
      <c r="F6" t="n">
        <v>8941</v>
      </c>
      <c r="G6" t="n">
        <v>-33586</v>
      </c>
      <c r="H6">
        <f>D6*F6</f>
        <v/>
      </c>
      <c r="I6">
        <f>E6*G6</f>
        <v/>
      </c>
      <c r="J6">
        <f>H6-I6</f>
        <v/>
      </c>
      <c r="K6" t="n">
        <v>-0.0175</v>
      </c>
      <c r="L6" t="n">
        <v>19508.37096963141</v>
      </c>
      <c r="M6" t="n">
        <v>-20537.4407177302</v>
      </c>
      <c r="N6" t="n">
        <v>0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SOXL</t>
        </is>
      </c>
      <c r="C7" t="inlineStr">
        <is>
          <t>SOXX</t>
        </is>
      </c>
      <c r="D7" t="n">
        <v>122.168212890625</v>
      </c>
      <c r="E7" t="n">
        <v>-11.71282577514648</v>
      </c>
      <c r="F7" t="n">
        <v>8941</v>
      </c>
      <c r="G7" t="n">
        <v>-33586</v>
      </c>
      <c r="H7">
        <f>D7*F7</f>
        <v/>
      </c>
      <c r="I7">
        <f>E7*G7</f>
        <v/>
      </c>
      <c r="J7">
        <f>H7-I7</f>
        <v/>
      </c>
      <c r="K7" t="n">
        <v>-0.0175</v>
      </c>
      <c r="L7" t="n">
        <v>13946.9564938427</v>
      </c>
      <c r="M7" t="n">
        <v>-13691.55638133019</v>
      </c>
      <c r="N7" t="n">
        <v>0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SOXL</t>
        </is>
      </c>
      <c r="C8" t="inlineStr">
        <is>
          <t>SOXX</t>
        </is>
      </c>
      <c r="D8" t="n">
        <v>123.7443161010742</v>
      </c>
      <c r="E8" t="n">
        <v>-12.13358783721924</v>
      </c>
      <c r="F8" t="n">
        <v>8941</v>
      </c>
      <c r="G8" t="n">
        <v>-33586</v>
      </c>
      <c r="H8">
        <f>D8*F8</f>
        <v/>
      </c>
      <c r="I8">
        <f>E8*G8</f>
        <v/>
      </c>
      <c r="J8">
        <f>H8-I8</f>
        <v/>
      </c>
      <c r="K8" t="n">
        <v>-0.0175</v>
      </c>
      <c r="L8" t="n">
        <v>14092.53218830861</v>
      </c>
      <c r="M8" t="n">
        <v>-13380.45839599889</v>
      </c>
      <c r="N8" t="n">
        <v>0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SOXL</t>
        </is>
      </c>
      <c r="C9" t="inlineStr">
        <is>
          <t>SOXX</t>
        </is>
      </c>
      <c r="D9" t="n">
        <v>125.2487945556641</v>
      </c>
      <c r="E9" t="n">
        <v>-12.54456520080566</v>
      </c>
      <c r="F9" t="n">
        <v>8941</v>
      </c>
      <c r="G9" t="n">
        <v>-33586</v>
      </c>
      <c r="H9">
        <f>D9*F9</f>
        <v/>
      </c>
      <c r="I9">
        <f>E9*G9</f>
        <v/>
      </c>
      <c r="J9">
        <f>H9-I9</f>
        <v/>
      </c>
      <c r="K9" t="n">
        <v>-0.0175</v>
      </c>
      <c r="L9" t="n">
        <v>13452.10828032082</v>
      </c>
      <c r="M9" t="n">
        <v>-13069.29975596193</v>
      </c>
      <c r="N9" t="n">
        <v>0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SOXL</t>
        </is>
      </c>
      <c r="C10" t="inlineStr">
        <is>
          <t>SOXX</t>
        </is>
      </c>
      <c r="D10" t="n">
        <v>125.7665634155273</v>
      </c>
      <c r="E10" t="n">
        <v>-12.67177200317383</v>
      </c>
      <c r="F10" t="n">
        <v>8941</v>
      </c>
      <c r="G10" t="n">
        <v>-33586</v>
      </c>
      <c r="H10">
        <f>D10*F10</f>
        <v/>
      </c>
      <c r="I10">
        <f>E10*G10</f>
        <v/>
      </c>
      <c r="J10">
        <f>H10-I10</f>
        <v/>
      </c>
      <c r="K10" t="n">
        <v>-0.0175</v>
      </c>
      <c r="L10" t="n">
        <v>4629.566309713595</v>
      </c>
      <c r="M10" t="n">
        <v>-4045.244284597514</v>
      </c>
      <c r="N10" t="n">
        <v>0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SOXL</t>
        </is>
      </c>
      <c r="C11" t="inlineStr">
        <is>
          <t>SOXX</t>
        </is>
      </c>
      <c r="D11" t="n">
        <v>125.9098587036133</v>
      </c>
      <c r="E11" t="n">
        <v>-12.77940940856934</v>
      </c>
      <c r="F11" t="n">
        <v>8623</v>
      </c>
      <c r="G11" t="n">
        <v>-28873</v>
      </c>
      <c r="H11">
        <f>D11*F11</f>
        <v/>
      </c>
      <c r="I11">
        <f>E11*G11</f>
        <v/>
      </c>
      <c r="J11">
        <f>H11-I11</f>
        <v/>
      </c>
      <c r="K11" t="n">
        <v>-0.0175</v>
      </c>
      <c r="L11" t="n">
        <v>1235.687299323271</v>
      </c>
      <c r="M11" t="n">
        <v>-2942.600232287546</v>
      </c>
      <c r="N11" t="n">
        <v>0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SOXL</t>
        </is>
      </c>
      <c r="C12" t="inlineStr">
        <is>
          <t>SOXX</t>
        </is>
      </c>
      <c r="D12" t="n">
        <v>125.2487945556641</v>
      </c>
      <c r="E12" t="n">
        <v>-12.54456520080566</v>
      </c>
      <c r="F12" t="n">
        <v>8623</v>
      </c>
      <c r="G12" t="n">
        <v>-28873</v>
      </c>
      <c r="H12">
        <f>D12*F12</f>
        <v/>
      </c>
      <c r="I12">
        <f>E12*G12</f>
        <v/>
      </c>
      <c r="J12">
        <f>H12-I12</f>
        <v/>
      </c>
      <c r="K12" t="n">
        <v>-0.0175</v>
      </c>
      <c r="L12" t="n">
        <v>-5700.596178493423</v>
      </c>
      <c r="M12" t="n">
        <v>6420.190246852663</v>
      </c>
      <c r="N12" t="n">
        <v>-0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SOXL</t>
        </is>
      </c>
      <c r="C13" t="inlineStr">
        <is>
          <t>SOXX</t>
        </is>
      </c>
      <c r="D13" t="n">
        <v>121.7351150512695</v>
      </c>
      <c r="E13" t="n">
        <v>-11.51712417602539</v>
      </c>
      <c r="F13" t="n">
        <v>8623</v>
      </c>
      <c r="G13" t="n">
        <v>-28873</v>
      </c>
      <c r="H13">
        <f>D13*F13</f>
        <v/>
      </c>
      <c r="I13">
        <f>E13*G13</f>
        <v/>
      </c>
      <c r="J13">
        <f>H13-I13</f>
        <v/>
      </c>
      <c r="K13" t="n">
        <v>-0.0175</v>
      </c>
      <c r="L13" t="n">
        <v>-30299.73417457331</v>
      </c>
      <c r="M13" t="n">
        <v>28088.26715091336</v>
      </c>
      <c r="N13" t="n">
        <v>-0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SOXL</t>
        </is>
      </c>
      <c r="C14" t="inlineStr">
        <is>
          <t>SOXX</t>
        </is>
      </c>
      <c r="D14" t="n">
        <v>125.5451202392578</v>
      </c>
      <c r="E14" t="n">
        <v>-12.51521015167236</v>
      </c>
      <c r="F14" t="n">
        <v>8623</v>
      </c>
      <c r="G14" t="n">
        <v>-28873</v>
      </c>
      <c r="H14">
        <f>D14*F14</f>
        <v/>
      </c>
      <c r="I14">
        <f>E14*G14</f>
        <v/>
      </c>
      <c r="J14">
        <f>H14-I14</f>
        <v/>
      </c>
      <c r="K14" t="n">
        <v>-0.0175</v>
      </c>
      <c r="L14" t="n">
        <v>32855.05813931167</v>
      </c>
      <c r="M14" t="n">
        <v>-27285.75640587019</v>
      </c>
      <c r="N14" t="n">
        <v>0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SOXL</t>
        </is>
      </c>
      <c r="C15" t="inlineStr">
        <is>
          <t>SOXX</t>
        </is>
      </c>
      <c r="D15" t="n">
        <v>131.8495788574219</v>
      </c>
      <c r="E15" t="n">
        <v>-14.42331314086914</v>
      </c>
      <c r="F15" t="n">
        <v>8623</v>
      </c>
      <c r="G15" t="n">
        <v>-28873</v>
      </c>
      <c r="H15">
        <f>D15*F15</f>
        <v/>
      </c>
      <c r="I15">
        <f>E15*G15</f>
        <v/>
      </c>
      <c r="J15">
        <f>H15-I15</f>
        <v/>
      </c>
      <c r="K15" t="n">
        <v>-0.0175</v>
      </c>
      <c r="L15" t="n">
        <v>54365.63579747594</v>
      </c>
      <c r="M15" t="n">
        <v>-52163.87629010358</v>
      </c>
      <c r="N15" t="n">
        <v>0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SOXL</t>
        </is>
      </c>
      <c r="C16" t="inlineStr">
        <is>
          <t>SOXX</t>
        </is>
      </c>
      <c r="D16" t="n">
        <v>130.8531036376953</v>
      </c>
      <c r="E16" t="n">
        <v>-14.1297607421875</v>
      </c>
      <c r="F16" t="n">
        <v>8623</v>
      </c>
      <c r="G16" t="n">
        <v>-28873</v>
      </c>
      <c r="H16">
        <f>D16*F16</f>
        <v/>
      </c>
      <c r="I16">
        <f>E16*G16</f>
        <v/>
      </c>
      <c r="J16">
        <f>H16-I16</f>
        <v/>
      </c>
      <c r="K16" t="n">
        <v>-0.0175</v>
      </c>
      <c r="L16" t="n">
        <v>-8592.967637344927</v>
      </c>
      <c r="M16" t="n">
        <v>8025.159593685379</v>
      </c>
      <c r="N16" t="n">
        <v>-0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SOXL</t>
        </is>
      </c>
      <c r="C17" t="inlineStr">
        <is>
          <t>SOXX</t>
        </is>
      </c>
      <c r="D17" t="n">
        <v>131.2080841064453</v>
      </c>
      <c r="E17" t="n">
        <v>-14.21782779693604</v>
      </c>
      <c r="F17" t="n">
        <v>8623</v>
      </c>
      <c r="G17" t="n">
        <v>-28873</v>
      </c>
      <c r="H17">
        <f>D17*F17</f>
        <v/>
      </c>
      <c r="I17">
        <f>E17*G17</f>
        <v/>
      </c>
      <c r="J17">
        <f>H17-I17</f>
        <v/>
      </c>
      <c r="K17" t="n">
        <v>-0.0175</v>
      </c>
      <c r="L17" t="n">
        <v>3061.125474545478</v>
      </c>
      <c r="M17" t="n">
        <v>-2407.584378383157</v>
      </c>
      <c r="N17" t="n">
        <v>0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SOXL</t>
        </is>
      </c>
      <c r="C18" t="inlineStr">
        <is>
          <t>SOXX</t>
        </is>
      </c>
      <c r="D18" t="n">
        <v>133.4192047119141</v>
      </c>
      <c r="E18" t="n">
        <v>-14.91257286071777</v>
      </c>
      <c r="F18" t="n">
        <v>8623</v>
      </c>
      <c r="G18" t="n">
        <v>-28873</v>
      </c>
      <c r="H18">
        <f>D18*F18</f>
        <v/>
      </c>
      <c r="I18">
        <f>E18*G18</f>
        <v/>
      </c>
      <c r="J18">
        <f>H18-I18</f>
        <v/>
      </c>
      <c r="K18" t="n">
        <v>-0.0175</v>
      </c>
      <c r="L18" t="n">
        <v>19067.29583328044</v>
      </c>
      <c r="M18" t="n">
        <v>-18992.99763453875</v>
      </c>
      <c r="N18" t="n">
        <v>0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SOXL</t>
        </is>
      </c>
      <c r="C19" t="inlineStr">
        <is>
          <t>SOXX</t>
        </is>
      </c>
      <c r="D19" t="n">
        <v>132.5692596435547</v>
      </c>
      <c r="E19" t="n">
        <v>-14.65815830230713</v>
      </c>
      <c r="F19" t="n">
        <v>8623</v>
      </c>
      <c r="G19" t="n">
        <v>-28873</v>
      </c>
      <c r="H19">
        <f>D19*F19</f>
        <v/>
      </c>
      <c r="I19">
        <f>E19*G19</f>
        <v/>
      </c>
      <c r="J19">
        <f>H19-I19</f>
        <v/>
      </c>
      <c r="K19" t="n">
        <v>-0.0175</v>
      </c>
      <c r="L19" t="n">
        <v>-7329.384937376728</v>
      </c>
      <c r="M19" t="n">
        <v>6955.206100757052</v>
      </c>
      <c r="N19" t="n">
        <v>0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SOXL</t>
        </is>
      </c>
      <c r="C20" t="inlineStr">
        <is>
          <t>SOXX</t>
        </is>
      </c>
      <c r="D20" t="n">
        <v>129.0490417480469</v>
      </c>
      <c r="E20" t="n">
        <v>-13.50351142883301</v>
      </c>
      <c r="F20" t="n">
        <v>8680</v>
      </c>
      <c r="G20" t="n">
        <v>-26485</v>
      </c>
      <c r="H20">
        <f>D20*F20</f>
        <v/>
      </c>
      <c r="I20">
        <f>E20*G20</f>
        <v/>
      </c>
      <c r="J20">
        <f>H20-I20</f>
        <v/>
      </c>
      <c r="K20" t="n">
        <v>-0.0175</v>
      </c>
      <c r="L20" t="n">
        <v>-30556.77796433713</v>
      </c>
      <c r="M20" t="n">
        <v>28955.11503898664</v>
      </c>
      <c r="N20" t="n">
        <v>-0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SOXL</t>
        </is>
      </c>
      <c r="C21" t="inlineStr">
        <is>
          <t>SOXX</t>
        </is>
      </c>
      <c r="D21" t="n">
        <v>131.4555206298828</v>
      </c>
      <c r="E21" t="n">
        <v>-14.20804119110107</v>
      </c>
      <c r="F21" t="n">
        <v>8680</v>
      </c>
      <c r="G21" t="n">
        <v>-26485</v>
      </c>
      <c r="H21">
        <f>D21*F21</f>
        <v/>
      </c>
      <c r="I21">
        <f>E21*G21</f>
        <v/>
      </c>
      <c r="J21">
        <f>H21-I21</f>
        <v/>
      </c>
      <c r="K21" t="n">
        <v>-0.0175</v>
      </c>
      <c r="L21" t="n">
        <v>20889.11625668537</v>
      </c>
      <c r="M21" t="n">
        <v>-17667.51444403316</v>
      </c>
      <c r="N21" t="n">
        <v>0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SOXX Price</t>
        </is>
      </c>
      <c r="E1" t="inlineStr">
        <is>
          <t>SOXS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SOXS</t>
        </is>
      </c>
      <c r="C2" t="inlineStr">
        <is>
          <t>SOXX</t>
        </is>
      </c>
      <c r="D2" t="n">
        <v>-0</v>
      </c>
      <c r="E2" t="n">
        <v>-28335.56643326218</v>
      </c>
      <c r="F2" t="n">
        <v>-6997</v>
      </c>
      <c r="G2" t="n">
        <v>-37</v>
      </c>
      <c r="H2">
        <f>D2*F2</f>
        <v/>
      </c>
      <c r="I2">
        <f>E2*G2</f>
        <v/>
      </c>
      <c r="J2">
        <f>H2-I2</f>
        <v/>
      </c>
      <c r="K2" t="n">
        <v>0.07000000000000001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SOXS</t>
        </is>
      </c>
      <c r="C3" t="inlineStr">
        <is>
          <t>SOXX</t>
        </is>
      </c>
      <c r="D3" t="n">
        <v>-0</v>
      </c>
      <c r="E3" t="n">
        <v>-28302.35639066954</v>
      </c>
      <c r="F3" t="n">
        <v>-6997</v>
      </c>
      <c r="G3" t="n">
        <v>-37</v>
      </c>
      <c r="H3">
        <f>D3*F3</f>
        <v/>
      </c>
      <c r="I3">
        <f>E3*G3</f>
        <v/>
      </c>
      <c r="J3">
        <f>H3-I3</f>
        <v/>
      </c>
      <c r="K3" t="n">
        <v>0.07000000000000001</v>
      </c>
      <c r="L3" t="n">
        <v>0</v>
      </c>
      <c r="M3" t="n">
        <v>0</v>
      </c>
      <c r="N3" t="n">
        <v>-2635.052394077266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SOXS</t>
        </is>
      </c>
      <c r="C4" t="inlineStr">
        <is>
          <t>SOXX</t>
        </is>
      </c>
      <c r="D4" t="n">
        <v>-0</v>
      </c>
      <c r="E4" t="n">
        <v>-28295.5203645036</v>
      </c>
      <c r="F4" t="n">
        <v>-6997</v>
      </c>
      <c r="G4" t="n">
        <v>-37</v>
      </c>
      <c r="H4">
        <f>D4*F4</f>
        <v/>
      </c>
      <c r="I4">
        <f>E4*G4</f>
        <v/>
      </c>
      <c r="J4">
        <f>H4-I4</f>
        <v/>
      </c>
      <c r="K4" t="n">
        <v>0.07000000000000001</v>
      </c>
      <c r="L4" t="n">
        <v>13580.64102847344</v>
      </c>
      <c r="M4" t="n">
        <v>-12618.65220925932</v>
      </c>
      <c r="N4" t="n">
        <v>-368.7722897852092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SOXS</t>
        </is>
      </c>
      <c r="C5" t="inlineStr">
        <is>
          <t>SOXX</t>
        </is>
      </c>
      <c r="D5" t="n">
        <v>-0</v>
      </c>
      <c r="E5" t="n">
        <v>-28327.30291191307</v>
      </c>
      <c r="F5" t="n">
        <v>-6997</v>
      </c>
      <c r="G5" t="n">
        <v>-37</v>
      </c>
      <c r="H5">
        <f>D5*F5</f>
        <v/>
      </c>
      <c r="I5">
        <f>E5*G5</f>
        <v/>
      </c>
      <c r="J5">
        <f>H5-I5</f>
        <v/>
      </c>
      <c r="K5" t="n">
        <v>0.07000000000000001</v>
      </c>
      <c r="L5" t="n">
        <v>-36845.34307571759</v>
      </c>
      <c r="M5" t="n">
        <v>33771.69914475743</v>
      </c>
      <c r="N5" t="n">
        <v>307.3515765997801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SOXS</t>
        </is>
      </c>
      <c r="C6" t="inlineStr">
        <is>
          <t>SOXX</t>
        </is>
      </c>
      <c r="D6" t="n">
        <v>-0</v>
      </c>
      <c r="E6" t="n">
        <v>-28395.36933424666</v>
      </c>
      <c r="F6" t="n">
        <v>-6997</v>
      </c>
      <c r="G6" t="n">
        <v>-37</v>
      </c>
      <c r="H6">
        <f>D6*F6</f>
        <v/>
      </c>
      <c r="I6">
        <f>E6*G6</f>
        <v/>
      </c>
      <c r="J6">
        <f>H6-I6</f>
        <v/>
      </c>
      <c r="K6" t="n">
        <v>0.07000000000000001</v>
      </c>
      <c r="L6" t="n">
        <v>-15266.75670221574</v>
      </c>
      <c r="M6" t="n">
        <v>12069.97796977447</v>
      </c>
      <c r="N6" t="n">
        <v>378.3085789449789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SOXS</t>
        </is>
      </c>
      <c r="C7" t="inlineStr">
        <is>
          <t>SOXX</t>
        </is>
      </c>
      <c r="D7" t="n">
        <v>-0</v>
      </c>
      <c r="E7" t="n">
        <v>-28474.57578256968</v>
      </c>
      <c r="F7" t="n">
        <v>-6997</v>
      </c>
      <c r="G7" t="n">
        <v>-37</v>
      </c>
      <c r="H7">
        <f>D7*F7</f>
        <v/>
      </c>
      <c r="I7">
        <f>E7*G7</f>
        <v/>
      </c>
      <c r="J7">
        <f>H7-I7</f>
        <v/>
      </c>
      <c r="K7" t="n">
        <v>0.07000000000000001</v>
      </c>
      <c r="L7" t="n">
        <v>-10914.53468151408</v>
      </c>
      <c r="M7" t="n">
        <v>7559.028975305438</v>
      </c>
      <c r="N7" t="n">
        <v>310.2287871339392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SOXS</t>
        </is>
      </c>
      <c r="C8" t="inlineStr">
        <is>
          <t>SOXX</t>
        </is>
      </c>
      <c r="D8" t="n">
        <v>-0</v>
      </c>
      <c r="E8" t="n">
        <v>-28570.78299919335</v>
      </c>
      <c r="F8" t="n">
        <v>-6997</v>
      </c>
      <c r="G8" t="n">
        <v>-37</v>
      </c>
      <c r="H8">
        <f>D8*F8</f>
        <v/>
      </c>
      <c r="I8">
        <f>E8*G8</f>
        <v/>
      </c>
      <c r="J8">
        <f>H8-I8</f>
        <v/>
      </c>
      <c r="K8" t="n">
        <v>0.07000000000000001</v>
      </c>
      <c r="L8" t="n">
        <v>-11028.45853054416</v>
      </c>
      <c r="M8" t="n">
        <v>7071.303334894144</v>
      </c>
      <c r="N8" t="n">
        <v>179.6242874895382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SOXS</t>
        </is>
      </c>
      <c r="C9" t="inlineStr">
        <is>
          <t>SOXX</t>
        </is>
      </c>
      <c r="D9" t="n">
        <v>-0</v>
      </c>
      <c r="E9" t="n">
        <v>-28686.50447577399</v>
      </c>
      <c r="F9" t="n">
        <v>-6997</v>
      </c>
      <c r="G9" t="n">
        <v>-37</v>
      </c>
      <c r="H9">
        <f>D9*F9</f>
        <v/>
      </c>
      <c r="I9">
        <f>E9*G9</f>
        <v/>
      </c>
      <c r="J9">
        <f>H9-I9</f>
        <v/>
      </c>
      <c r="K9" t="n">
        <v>0.07000000000000001</v>
      </c>
      <c r="L9" t="n">
        <v>-10527.27901100601</v>
      </c>
      <c r="M9" t="n">
        <v>5913.143104673651</v>
      </c>
      <c r="N9" t="n">
        <v>241.2676749184325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SOXS</t>
        </is>
      </c>
      <c r="C10" t="inlineStr">
        <is>
          <t>SOXX</t>
        </is>
      </c>
      <c r="D10" t="n">
        <v>-0</v>
      </c>
      <c r="E10" t="n">
        <v>-28733.95831608128</v>
      </c>
      <c r="F10" t="n">
        <v>-6997</v>
      </c>
      <c r="G10" t="n">
        <v>-37</v>
      </c>
      <c r="H10">
        <f>D10*F10</f>
        <v/>
      </c>
      <c r="I10">
        <f>E10*G10</f>
        <v/>
      </c>
      <c r="J10">
        <f>H10-I10</f>
        <v/>
      </c>
      <c r="K10" t="n">
        <v>0.07000000000000001</v>
      </c>
      <c r="L10" t="n">
        <v>-3622.98126261783</v>
      </c>
      <c r="M10" t="n">
        <v>1767.783068778915</v>
      </c>
      <c r="N10" t="n">
        <v>226.4973964609561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SOXS</t>
        </is>
      </c>
      <c r="C11" t="inlineStr">
        <is>
          <t>SOXX</t>
        </is>
      </c>
      <c r="D11" t="n">
        <v>-0</v>
      </c>
      <c r="E11" t="n">
        <v>-19811.19937240868</v>
      </c>
      <c r="F11" t="n">
        <v>-6748</v>
      </c>
      <c r="G11" t="n">
        <v>-57</v>
      </c>
      <c r="H11">
        <f>D11*F11</f>
        <v/>
      </c>
      <c r="I11">
        <f>E11*G11</f>
        <v/>
      </c>
      <c r="J11">
        <f>H11-I11</f>
        <v/>
      </c>
      <c r="K11" t="n">
        <v>0.07000000000000001</v>
      </c>
      <c r="L11" t="n">
        <v>-966.9973206347482</v>
      </c>
      <c r="M11" t="n">
        <v>2441.712825953879</v>
      </c>
      <c r="N11" t="n">
        <v>211.4280347761142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SOXS</t>
        </is>
      </c>
      <c r="C12" t="inlineStr">
        <is>
          <t>SOXX</t>
        </is>
      </c>
      <c r="D12" t="n">
        <v>-0</v>
      </c>
      <c r="E12" t="n">
        <v>-19823.42254210355</v>
      </c>
      <c r="F12" t="n">
        <v>-6748</v>
      </c>
      <c r="G12" t="n">
        <v>-57</v>
      </c>
      <c r="H12">
        <f>D12*F12</f>
        <v/>
      </c>
      <c r="I12">
        <f>E12*G12</f>
        <v/>
      </c>
      <c r="J12">
        <f>H12-I12</f>
        <v/>
      </c>
      <c r="K12" t="n">
        <v>0.07000000000000001</v>
      </c>
      <c r="L12" t="n">
        <v>4461.04870839309</v>
      </c>
      <c r="M12" t="n">
        <v>-4883.399299455396</v>
      </c>
      <c r="N12" t="n">
        <v>-299.3205215601624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SOXS</t>
        </is>
      </c>
      <c r="C13" t="inlineStr">
        <is>
          <t>SOXX</t>
        </is>
      </c>
      <c r="D13" t="n">
        <v>-0</v>
      </c>
      <c r="E13" t="n">
        <v>-19832.02691061455</v>
      </c>
      <c r="F13" t="n">
        <v>-6748</v>
      </c>
      <c r="G13" t="n">
        <v>-57</v>
      </c>
      <c r="H13">
        <f>D13*F13</f>
        <v/>
      </c>
      <c r="I13">
        <f>E13*G13</f>
        <v/>
      </c>
      <c r="J13">
        <f>H13-I13</f>
        <v/>
      </c>
      <c r="K13" t="n">
        <v>0.07000000000000001</v>
      </c>
      <c r="L13" t="n">
        <v>23711.30768990151</v>
      </c>
      <c r="M13" t="n">
        <v>-22914.22154894287</v>
      </c>
      <c r="N13" t="n">
        <v>-12.828523402717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SOXS</t>
        </is>
      </c>
      <c r="C14" t="inlineStr">
        <is>
          <t>SOXX</t>
        </is>
      </c>
      <c r="D14" t="n">
        <v>-0</v>
      </c>
      <c r="E14" t="n">
        <v>-19783.67961361534</v>
      </c>
      <c r="F14" t="n">
        <v>-6748</v>
      </c>
      <c r="G14" t="n">
        <v>-57</v>
      </c>
      <c r="H14">
        <f>D14*F14</f>
        <v/>
      </c>
      <c r="I14">
        <f>E14*G14</f>
        <v/>
      </c>
      <c r="J14">
        <f>H14-I14</f>
        <v/>
      </c>
      <c r="K14" t="n">
        <v>0.07000000000000001</v>
      </c>
      <c r="L14" t="n">
        <v>-25710.99760223532</v>
      </c>
      <c r="M14" t="n">
        <v>26952.44499627867</v>
      </c>
      <c r="N14" t="n">
        <v>652.1593897753158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SOXS</t>
        </is>
      </c>
      <c r="C15" t="inlineStr">
        <is>
          <t>SOXX</t>
        </is>
      </c>
      <c r="D15" t="n">
        <v>-0</v>
      </c>
      <c r="E15" t="n">
        <v>-19793.99362021998</v>
      </c>
      <c r="F15" t="n">
        <v>-6748</v>
      </c>
      <c r="G15" t="n">
        <v>-57</v>
      </c>
      <c r="H15">
        <f>D15*F15</f>
        <v/>
      </c>
      <c r="I15">
        <f>E15*G15</f>
        <v/>
      </c>
      <c r="J15">
        <f>H15-I15</f>
        <v/>
      </c>
      <c r="K15" t="n">
        <v>0.07000000000000001</v>
      </c>
      <c r="L15" t="n">
        <v>-42544.27813537837</v>
      </c>
      <c r="M15" t="n">
        <v>39724.24009035811</v>
      </c>
      <c r="N15" t="n">
        <v>365.5544854378829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SOXS</t>
        </is>
      </c>
      <c r="C16" t="inlineStr">
        <is>
          <t>SOXX</t>
        </is>
      </c>
      <c r="D16" t="n">
        <v>-0</v>
      </c>
      <c r="E16" t="n">
        <v>-19750.84622888398</v>
      </c>
      <c r="F16" t="n">
        <v>-6748</v>
      </c>
      <c r="G16" t="n">
        <v>-57</v>
      </c>
      <c r="H16">
        <f>D16*F16</f>
        <v/>
      </c>
      <c r="I16">
        <f>E16*G16</f>
        <v/>
      </c>
      <c r="J16">
        <f>H16-I16</f>
        <v/>
      </c>
      <c r="K16" t="n">
        <v>0.07000000000000001</v>
      </c>
      <c r="L16" t="n">
        <v>6724.497926105018</v>
      </c>
      <c r="M16" t="n">
        <v>-4038.091685074001</v>
      </c>
      <c r="N16" t="n">
        <v>-30.16733219260927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SOXS</t>
        </is>
      </c>
      <c r="C17" t="inlineStr">
        <is>
          <t>SOXX</t>
        </is>
      </c>
      <c r="D17" t="n">
        <v>-0</v>
      </c>
      <c r="E17" t="n">
        <v>-19761.55013342071</v>
      </c>
      <c r="F17" t="n">
        <v>-6748</v>
      </c>
      <c r="G17" t="n">
        <v>-57</v>
      </c>
      <c r="H17">
        <f>D17*F17</f>
        <v/>
      </c>
      <c r="I17">
        <f>E17*G17</f>
        <v/>
      </c>
      <c r="J17">
        <f>H17-I17</f>
        <v/>
      </c>
      <c r="K17" t="n">
        <v>0.07000000000000001</v>
      </c>
      <c r="L17" t="n">
        <v>-2395.509069028515</v>
      </c>
      <c r="M17" t="n">
        <v>1690.378056691542</v>
      </c>
      <c r="N17" t="n">
        <v>9.420672808282593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SOXS</t>
        </is>
      </c>
      <c r="C18" t="inlineStr">
        <is>
          <t>SOXX</t>
        </is>
      </c>
      <c r="D18" t="n">
        <v>-0</v>
      </c>
      <c r="E18" t="n">
        <v>-19826.68907085218</v>
      </c>
      <c r="F18" t="n">
        <v>-6748</v>
      </c>
      <c r="G18" t="n">
        <v>-57</v>
      </c>
      <c r="H18">
        <f>D18*F18</f>
        <v/>
      </c>
      <c r="I18">
        <f>E18*G18</f>
        <v/>
      </c>
      <c r="J18">
        <f>H18-I18</f>
        <v/>
      </c>
      <c r="K18" t="n">
        <v>0.07000000000000001</v>
      </c>
      <c r="L18" t="n">
        <v>-14921.27012443191</v>
      </c>
      <c r="M18" t="n">
        <v>10611.90856989948</v>
      </c>
      <c r="N18" t="n">
        <v>320.3854310339088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SOXS</t>
        </is>
      </c>
      <c r="C19" t="inlineStr">
        <is>
          <t>SOXX</t>
        </is>
      </c>
      <c r="D19" t="n">
        <v>-0</v>
      </c>
      <c r="E19" t="n">
        <v>-19804.36950576515</v>
      </c>
      <c r="F19" t="n">
        <v>-6748</v>
      </c>
      <c r="G19" t="n">
        <v>-57</v>
      </c>
      <c r="H19">
        <f>D19*F19</f>
        <v/>
      </c>
      <c r="I19">
        <f>E19*G19</f>
        <v/>
      </c>
      <c r="J19">
        <f>H19-I19</f>
        <v/>
      </c>
      <c r="K19" t="n">
        <v>0.07000000000000001</v>
      </c>
      <c r="L19" t="n">
        <v>5735.670828878367</v>
      </c>
      <c r="M19" t="n">
        <v>-4225.945141728856</v>
      </c>
      <c r="N19" t="n">
        <v>516.8948302089346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SOXS</t>
        </is>
      </c>
      <c r="C20" t="inlineStr">
        <is>
          <t>SOXX</t>
        </is>
      </c>
      <c r="D20" t="n">
        <v>-0</v>
      </c>
      <c r="E20" t="n">
        <v>-16426.62598659568</v>
      </c>
      <c r="F20" t="n">
        <v>-6792</v>
      </c>
      <c r="G20" t="n">
        <v>-73</v>
      </c>
      <c r="H20">
        <f>D20*F20</f>
        <v/>
      </c>
      <c r="I20">
        <f>E20*G20</f>
        <v/>
      </c>
      <c r="J20">
        <f>H20-I20</f>
        <v/>
      </c>
      <c r="K20" t="n">
        <v>0.07000000000000001</v>
      </c>
      <c r="L20" t="n">
        <v>23910.32672048131</v>
      </c>
      <c r="M20" t="n">
        <v>-21408.43779780235</v>
      </c>
      <c r="N20" t="n">
        <v>-685.8436619108666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SOXS</t>
        </is>
      </c>
      <c r="C21" t="inlineStr">
        <is>
          <t>SOXX</t>
        </is>
      </c>
      <c r="D21" t="n">
        <v>-0</v>
      </c>
      <c r="E21" t="n">
        <v>-16419.09919634257</v>
      </c>
      <c r="F21" t="n">
        <v>-6792</v>
      </c>
      <c r="G21" t="n">
        <v>-73</v>
      </c>
      <c r="H21">
        <f>D21*F21</f>
        <v/>
      </c>
      <c r="I21">
        <f>E21*G21</f>
        <v/>
      </c>
      <c r="J21">
        <f>H21-I21</f>
        <v/>
      </c>
      <c r="K21" t="n">
        <v>0.07000000000000001</v>
      </c>
      <c r="L21" t="n">
        <v>-16345.49281283492</v>
      </c>
      <c r="M21" t="n">
        <v>15996.14431713946</v>
      </c>
      <c r="N21" t="n">
        <v>298.8225019702106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SPHB Price</t>
        </is>
      </c>
      <c r="E1" t="inlineStr">
        <is>
          <t>HIBL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HIBL</t>
        </is>
      </c>
      <c r="C2" t="inlineStr">
        <is>
          <t>SPHB</t>
        </is>
      </c>
      <c r="D2" t="n">
        <v>60.59738159179688</v>
      </c>
      <c r="E2" t="n">
        <v>-22.45187759399414</v>
      </c>
      <c r="F2" t="n">
        <v>6521</v>
      </c>
      <c r="G2" t="n">
        <v>-5851</v>
      </c>
      <c r="H2">
        <f>D2*F2</f>
        <v/>
      </c>
      <c r="I2">
        <f>E2*G2</f>
        <v/>
      </c>
      <c r="J2">
        <f>H2-I2</f>
        <v/>
      </c>
      <c r="K2" t="n">
        <v>0.12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HIBL</t>
        </is>
      </c>
      <c r="C3" t="inlineStr">
        <is>
          <t>SPHB</t>
        </is>
      </c>
      <c r="D3" t="n">
        <v>62.31313323974609</v>
      </c>
      <c r="E3" t="n">
        <v>-24.35962104797363</v>
      </c>
      <c r="F3" t="n">
        <v>6521</v>
      </c>
      <c r="G3" t="n">
        <v>-5851</v>
      </c>
      <c r="H3">
        <f>D3*F3</f>
        <v/>
      </c>
      <c r="I3">
        <f>E3*G3</f>
        <v/>
      </c>
      <c r="J3">
        <f>H3-I3</f>
        <v/>
      </c>
      <c r="K3" t="n">
        <v>0.12</v>
      </c>
      <c r="L3" t="n">
        <v>0</v>
      </c>
      <c r="M3" t="n">
        <v>0</v>
      </c>
      <c r="N3" t="n">
        <v>-2662.445143577485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HIBL</t>
        </is>
      </c>
      <c r="C4" t="inlineStr">
        <is>
          <t>SPHB</t>
        </is>
      </c>
      <c r="D4" t="n">
        <v>61.43576049804688</v>
      </c>
      <c r="E4" t="n">
        <v>-23.39136695861816</v>
      </c>
      <c r="F4" t="n">
        <v>6521</v>
      </c>
      <c r="G4" t="n">
        <v>-5851</v>
      </c>
      <c r="H4">
        <f>D4*F4</f>
        <v/>
      </c>
      <c r="I4">
        <f>E4*G4</f>
        <v/>
      </c>
      <c r="J4">
        <f>H4-I4</f>
        <v/>
      </c>
      <c r="K4" t="n">
        <v>0.12</v>
      </c>
      <c r="L4" t="n">
        <v>-5721.588563258514</v>
      </c>
      <c r="M4" t="n">
        <v>5364.084016806246</v>
      </c>
      <c r="N4" t="n">
        <v>-339.1066424478013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HIBL</t>
        </is>
      </c>
      <c r="C5" t="inlineStr">
        <is>
          <t>SPHB</t>
        </is>
      </c>
      <c r="D5" t="n">
        <v>63.11251068115234</v>
      </c>
      <c r="E5" t="n">
        <v>-25.28951835632324</v>
      </c>
      <c r="F5" t="n">
        <v>6521</v>
      </c>
      <c r="G5" t="n">
        <v>-5851</v>
      </c>
      <c r="H5">
        <f>D5*F5</f>
        <v/>
      </c>
      <c r="I5">
        <f>E5*G5</f>
        <v/>
      </c>
      <c r="J5">
        <f>H5-I5</f>
        <v/>
      </c>
      <c r="K5" t="n">
        <v>0.12</v>
      </c>
      <c r="L5" t="n">
        <v>10934.54835685649</v>
      </c>
      <c r="M5" t="n">
        <v>-10515.67319554098</v>
      </c>
      <c r="N5" t="n">
        <v>355.2184552199437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HIBL</t>
        </is>
      </c>
      <c r="C6" t="inlineStr">
        <is>
          <t>SPHB</t>
        </is>
      </c>
      <c r="D6" t="n">
        <v>63.97040176391602</v>
      </c>
      <c r="E6" t="n">
        <v>-26.30570220947266</v>
      </c>
      <c r="F6" t="n">
        <v>6521</v>
      </c>
      <c r="G6" t="n">
        <v>-5410</v>
      </c>
      <c r="H6">
        <f>D6*F6</f>
        <v/>
      </c>
      <c r="I6">
        <f>E6*G6</f>
        <v/>
      </c>
      <c r="J6">
        <f>H6-I6</f>
        <v/>
      </c>
      <c r="K6" t="n">
        <v>0.12</v>
      </c>
      <c r="L6" t="n">
        <v>5594.54331594088</v>
      </c>
      <c r="M6" t="n">
        <v>-5205.299088550408</v>
      </c>
      <c r="N6" t="n">
        <v>446.4464451990281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HIBL</t>
        </is>
      </c>
      <c r="C7" t="inlineStr">
        <is>
          <t>SPHB</t>
        </is>
      </c>
      <c r="D7" t="n">
        <v>64.85751342773438</v>
      </c>
      <c r="E7" t="n">
        <v>-27.33147239685059</v>
      </c>
      <c r="F7" t="n">
        <v>6521</v>
      </c>
      <c r="G7" t="n">
        <v>-5410</v>
      </c>
      <c r="H7">
        <f>D7*F7</f>
        <v/>
      </c>
      <c r="I7">
        <f>E7*G7</f>
        <v/>
      </c>
      <c r="J7">
        <f>H7-I7</f>
        <v/>
      </c>
      <c r="K7" t="n">
        <v>0.12</v>
      </c>
      <c r="L7" t="n">
        <v>5785.098748573165</v>
      </c>
      <c r="M7" t="n">
        <v>-5254.404116806446</v>
      </c>
      <c r="N7" t="n">
        <v>395.659986587349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HIBL</t>
        </is>
      </c>
      <c r="C8" t="inlineStr">
        <is>
          <t>SPHB</t>
        </is>
      </c>
      <c r="D8" t="n">
        <v>65.94935607910156</v>
      </c>
      <c r="E8" t="n">
        <v>-28.65442657470703</v>
      </c>
      <c r="F8" t="n">
        <v>6521</v>
      </c>
      <c r="G8" t="n">
        <v>-5410</v>
      </c>
      <c r="H8">
        <f>D8*F8</f>
        <v/>
      </c>
      <c r="I8">
        <f>E8*G8</f>
        <v/>
      </c>
      <c r="J8">
        <f>H8-I8</f>
        <v/>
      </c>
      <c r="K8" t="n">
        <v>0.12</v>
      </c>
      <c r="L8" t="n">
        <v>7120.205734727485</v>
      </c>
      <c r="M8" t="n">
        <v>-6776.699073546069</v>
      </c>
      <c r="N8" t="n">
        <v>249.555823232716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HIBL</t>
        </is>
      </c>
      <c r="C9" t="inlineStr">
        <is>
          <t>SPHB</t>
        </is>
      </c>
      <c r="D9" t="n">
        <v>66.57328033447266</v>
      </c>
      <c r="E9" t="n">
        <v>-29.56515884399414</v>
      </c>
      <c r="F9" t="n">
        <v>6521</v>
      </c>
      <c r="G9" t="n">
        <v>-5410</v>
      </c>
      <c r="H9">
        <f>D9*F9</f>
        <v/>
      </c>
      <c r="I9">
        <f>E9*G9</f>
        <v/>
      </c>
      <c r="J9">
        <f>H9-I9</f>
        <v/>
      </c>
      <c r="K9" t="n">
        <v>0.12</v>
      </c>
      <c r="L9" t="n">
        <v>4068.781390400943</v>
      </c>
      <c r="M9" t="n">
        <v>-4665.134007533378</v>
      </c>
      <c r="N9" t="n">
        <v>357.5249002494598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HIBL</t>
        </is>
      </c>
      <c r="C10" t="inlineStr">
        <is>
          <t>SPHB</t>
        </is>
      </c>
      <c r="D10" t="n">
        <v>66.87548065185547</v>
      </c>
      <c r="E10" t="n">
        <v>-29.91027450561523</v>
      </c>
      <c r="F10" t="n">
        <v>6521</v>
      </c>
      <c r="G10" t="n">
        <v>-5410</v>
      </c>
      <c r="H10">
        <f>D10*F10</f>
        <v/>
      </c>
      <c r="I10">
        <f>E10*G10</f>
        <v/>
      </c>
      <c r="J10">
        <f>H10-I10</f>
        <v/>
      </c>
      <c r="K10" t="n">
        <v>0.12</v>
      </c>
      <c r="L10" t="n">
        <v>1970.731249755822</v>
      </c>
      <c r="M10" t="n">
        <v>-1767.820098019815</v>
      </c>
      <c r="N10" t="n">
        <v>343.0164303590327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HIBL</t>
        </is>
      </c>
      <c r="C11" t="inlineStr">
        <is>
          <t>SPHB</t>
        </is>
      </c>
      <c r="D11" t="n">
        <v>67.20693206787109</v>
      </c>
      <c r="E11" t="n">
        <v>-30.37043380737305</v>
      </c>
      <c r="F11" t="n">
        <v>6387</v>
      </c>
      <c r="G11" t="n">
        <v>-4747</v>
      </c>
      <c r="H11">
        <f>D11*F11</f>
        <v/>
      </c>
      <c r="I11">
        <f>E11*G11</f>
        <v/>
      </c>
      <c r="J11">
        <f>H11-I11</f>
        <v/>
      </c>
      <c r="K11" t="n">
        <v>0.12</v>
      </c>
      <c r="L11" t="n">
        <v>2117.069335942326</v>
      </c>
      <c r="M11" t="n">
        <v>-2068.252560341253</v>
      </c>
      <c r="N11" t="n">
        <v>186.8878014980139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HIBL</t>
        </is>
      </c>
      <c r="C12" t="inlineStr">
        <is>
          <t>SPHB</t>
        </is>
      </c>
      <c r="D12" t="n">
        <v>66.45630645751953</v>
      </c>
      <c r="E12" t="n">
        <v>-29.30631828308105</v>
      </c>
      <c r="F12" t="n">
        <v>6387</v>
      </c>
      <c r="G12" t="n">
        <v>-4747</v>
      </c>
      <c r="H12">
        <f>D12*F12</f>
        <v/>
      </c>
      <c r="I12">
        <f>E12*G12</f>
        <v/>
      </c>
      <c r="J12">
        <f>H12-I12</f>
        <v/>
      </c>
      <c r="K12" t="n">
        <v>0.12</v>
      </c>
      <c r="L12" t="n">
        <v>-4794.447649526326</v>
      </c>
      <c r="M12" t="n">
        <v>4782.821186507553</v>
      </c>
      <c r="N12" t="n">
        <v>-250.6842072829408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HIBL</t>
        </is>
      </c>
      <c r="C13" t="inlineStr">
        <is>
          <t>SPHB</t>
        </is>
      </c>
      <c r="D13" t="n">
        <v>65.15971374511719</v>
      </c>
      <c r="E13" t="n">
        <v>-27.49444198608398</v>
      </c>
      <c r="F13" t="n">
        <v>6387</v>
      </c>
      <c r="G13" t="n">
        <v>-4747</v>
      </c>
      <c r="H13">
        <f>D13*F13</f>
        <v/>
      </c>
      <c r="I13">
        <f>E13*G13</f>
        <v/>
      </c>
      <c r="J13">
        <f>H13-I13</f>
        <v/>
      </c>
      <c r="K13" t="n">
        <v>0.12</v>
      </c>
      <c r="L13" t="n">
        <v>-8281.6863648695</v>
      </c>
      <c r="M13" t="n">
        <v>8143.740169916485</v>
      </c>
      <c r="N13" t="n">
        <v>-9.290220257067094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HIBL</t>
        </is>
      </c>
      <c r="C14" t="inlineStr">
        <is>
          <t>SPHB</t>
        </is>
      </c>
      <c r="D14" t="n">
        <v>67.28492736816406</v>
      </c>
      <c r="E14" t="n">
        <v>-30.28415107727051</v>
      </c>
      <c r="F14" t="n">
        <v>6387</v>
      </c>
      <c r="G14" t="n">
        <v>-4747</v>
      </c>
      <c r="H14">
        <f>D14*F14</f>
        <v/>
      </c>
      <c r="I14">
        <f>E14*G14</f>
        <v/>
      </c>
      <c r="J14">
        <f>H14-I14</f>
        <v/>
      </c>
      <c r="K14" t="n">
        <v>0.12</v>
      </c>
      <c r="L14" t="n">
        <v>13574.31097373056</v>
      </c>
      <c r="M14" t="n">
        <v>-12538.75114207846</v>
      </c>
      <c r="N14" t="n">
        <v>572.996870297945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HIBL</t>
        </is>
      </c>
      <c r="C15" t="inlineStr">
        <is>
          <t>SPHB</t>
        </is>
      </c>
      <c r="D15" t="n">
        <v>69.26390075683594</v>
      </c>
      <c r="E15" t="n">
        <v>-32.9492301940918</v>
      </c>
      <c r="F15" t="n">
        <v>6387</v>
      </c>
      <c r="G15" t="n">
        <v>-4747</v>
      </c>
      <c r="H15">
        <f>D15*F15</f>
        <v/>
      </c>
      <c r="I15">
        <f>E15*G15</f>
        <v/>
      </c>
      <c r="J15">
        <f>H15-I15</f>
        <v/>
      </c>
      <c r="K15" t="n">
        <v>0.12</v>
      </c>
      <c r="L15" t="n">
        <v>12640.23526635227</v>
      </c>
      <c r="M15" t="n">
        <v>-11978.58369008631</v>
      </c>
      <c r="N15" t="n">
        <v>410.90806016277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HIBL</t>
        </is>
      </c>
      <c r="C16" t="inlineStr">
        <is>
          <t>SPHB</t>
        </is>
      </c>
      <c r="D16" t="n">
        <v>68.88370513916016</v>
      </c>
      <c r="E16" t="n">
        <v>-32.30693054199219</v>
      </c>
      <c r="F16" t="n">
        <v>6387</v>
      </c>
      <c r="G16" t="n">
        <v>-4747</v>
      </c>
      <c r="H16">
        <f>D16*F16</f>
        <v/>
      </c>
      <c r="I16">
        <f>E16*G16</f>
        <v/>
      </c>
      <c r="J16">
        <f>H16-I16</f>
        <v/>
      </c>
      <c r="K16" t="n">
        <v>0.12</v>
      </c>
      <c r="L16" t="n">
        <v>-2428.411661403507</v>
      </c>
      <c r="M16" t="n">
        <v>2886.908718104076</v>
      </c>
      <c r="N16" t="n">
        <v>-32.6650773380665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HIBL</t>
        </is>
      </c>
      <c r="C17" t="inlineStr">
        <is>
          <t>SPHB</t>
        </is>
      </c>
      <c r="D17" t="n">
        <v>69.00068664550781</v>
      </c>
      <c r="E17" t="n">
        <v>-32.57535552978516</v>
      </c>
      <c r="F17" t="n">
        <v>6387</v>
      </c>
      <c r="G17" t="n">
        <v>-4747</v>
      </c>
      <c r="H17">
        <f>D17*F17</f>
        <v/>
      </c>
      <c r="I17">
        <f>E17*G17</f>
        <v/>
      </c>
      <c r="J17">
        <f>H17-I17</f>
        <v/>
      </c>
      <c r="K17" t="n">
        <v>0.12</v>
      </c>
      <c r="L17" t="n">
        <v>747.1923425099827</v>
      </c>
      <c r="M17" t="n">
        <v>-1206.4749449628</v>
      </c>
      <c r="N17" t="n">
        <v>10.36161083342945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HIBL</t>
        </is>
      </c>
      <c r="C18" t="inlineStr">
        <is>
          <t>SPHB</t>
        </is>
      </c>
      <c r="D18" t="n">
        <v>70.10227203369141</v>
      </c>
      <c r="E18" t="n">
        <v>-34.13797378540039</v>
      </c>
      <c r="F18" t="n">
        <v>6387</v>
      </c>
      <c r="G18" t="n">
        <v>-4747</v>
      </c>
      <c r="H18">
        <f>D18*F18</f>
        <v/>
      </c>
      <c r="I18">
        <f>E18*G18</f>
        <v/>
      </c>
      <c r="J18">
        <f>H18-I18</f>
        <v/>
      </c>
      <c r="K18" t="n">
        <v>0.12</v>
      </c>
      <c r="L18" t="n">
        <v>7036.122139045775</v>
      </c>
      <c r="M18" t="n">
        <v>-7023.413838786581</v>
      </c>
      <c r="N18" t="n">
        <v>387.2994500206538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HIBL</t>
        </is>
      </c>
      <c r="C19" t="inlineStr">
        <is>
          <t>SPHB</t>
        </is>
      </c>
      <c r="D19" t="n">
        <v>70.49222564697266</v>
      </c>
      <c r="E19" t="n">
        <v>-34.62689590454102</v>
      </c>
      <c r="F19" t="n">
        <v>6387</v>
      </c>
      <c r="G19" t="n">
        <v>-4747</v>
      </c>
      <c r="H19">
        <f>D19*F19</f>
        <v/>
      </c>
      <c r="I19">
        <f>E19*G19</f>
        <v/>
      </c>
      <c r="J19">
        <f>H19-I19</f>
        <v/>
      </c>
      <c r="K19" t="n">
        <v>0.12</v>
      </c>
      <c r="L19" t="n">
        <v>2490.738603689444</v>
      </c>
      <c r="M19" t="n">
        <v>-2197.531204644176</v>
      </c>
      <c r="N19" t="n">
        <v>621.725045508275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HIBL</t>
        </is>
      </c>
      <c r="C20" t="inlineStr">
        <is>
          <t>SPHB</t>
        </is>
      </c>
      <c r="D20" t="n">
        <v>68.99092864990234</v>
      </c>
      <c r="E20" t="n">
        <v>-32.3740348815918</v>
      </c>
      <c r="F20" t="n">
        <v>6429</v>
      </c>
      <c r="G20" t="n">
        <v>-4351</v>
      </c>
      <c r="H20">
        <f>D20*F20</f>
        <v/>
      </c>
      <c r="I20">
        <f>E20*G20</f>
        <v/>
      </c>
      <c r="J20">
        <f>H20-I20</f>
        <v/>
      </c>
      <c r="K20" t="n">
        <v>0.12</v>
      </c>
      <c r="L20" t="n">
        <v>-9652.24481399734</v>
      </c>
      <c r="M20" t="n">
        <v>9281.10354931674</v>
      </c>
      <c r="N20" t="n">
        <v>-513.3014996273558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HIBL</t>
        </is>
      </c>
      <c r="C21" t="inlineStr">
        <is>
          <t>SPHB</t>
        </is>
      </c>
      <c r="D21" t="n">
        <v>70.5799560546875</v>
      </c>
      <c r="E21" t="n">
        <v>-34.60771942138672</v>
      </c>
      <c r="F21" t="n">
        <v>6429</v>
      </c>
      <c r="G21" t="n">
        <v>-4351</v>
      </c>
      <c r="H21">
        <f>D21*F21</f>
        <v/>
      </c>
      <c r="I21">
        <f>E21*G21</f>
        <v/>
      </c>
      <c r="J21">
        <f>H21-I21</f>
        <v/>
      </c>
      <c r="K21" t="n">
        <v>0.12</v>
      </c>
      <c r="L21" t="n">
        <v>10216.28735491226</v>
      </c>
      <c r="M21" t="n">
        <v>-9202.102259821409</v>
      </c>
      <c r="N21" t="n">
        <v>252.2867562510766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TSLA Price</t>
        </is>
      </c>
      <c r="E1" t="inlineStr">
        <is>
          <t>TSLL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TSLL</t>
        </is>
      </c>
      <c r="C2" t="inlineStr">
        <is>
          <t>TSLA</t>
        </is>
      </c>
      <c r="D2" t="n">
        <v>108.0999984741211</v>
      </c>
      <c r="E2" t="n">
        <v>-4.40693187713623</v>
      </c>
      <c r="F2" t="n">
        <v>16893</v>
      </c>
      <c r="G2" t="n">
        <v>-207812</v>
      </c>
      <c r="H2">
        <f>D2*F2</f>
        <v/>
      </c>
      <c r="I2">
        <f>E2*G2</f>
        <v/>
      </c>
      <c r="J2">
        <f>H2-I2</f>
        <v/>
      </c>
      <c r="K2" t="n">
        <v>0.01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TSLL</t>
        </is>
      </c>
      <c r="C3" t="inlineStr">
        <is>
          <t>TSLA</t>
        </is>
      </c>
      <c r="D3" t="n">
        <v>113.6399993896484</v>
      </c>
      <c r="E3" t="n">
        <v>-4.744596481323242</v>
      </c>
      <c r="F3" t="n">
        <v>16893</v>
      </c>
      <c r="G3" t="n">
        <v>-207812</v>
      </c>
      <c r="H3">
        <f>D3*F3</f>
        <v/>
      </c>
      <c r="I3">
        <f>E3*G3</f>
        <v/>
      </c>
      <c r="J3">
        <f>H3-I3</f>
        <v/>
      </c>
      <c r="K3" t="n">
        <v>0.01</v>
      </c>
      <c r="L3" t="n">
        <v>0</v>
      </c>
      <c r="M3" t="n">
        <v>0</v>
      </c>
      <c r="N3" t="n">
        <v>-1534.859762516028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TSLL</t>
        </is>
      </c>
      <c r="C4" t="inlineStr">
        <is>
          <t>TSLA</t>
        </is>
      </c>
      <c r="D4" t="n">
        <v>110.3399963378906</v>
      </c>
      <c r="E4" t="n">
        <v>-4.545461177825928</v>
      </c>
      <c r="F4" t="n">
        <v>16893</v>
      </c>
      <c r="G4" t="n">
        <v>-207812</v>
      </c>
      <c r="H4">
        <f>D4*F4</f>
        <v/>
      </c>
      <c r="I4">
        <f>E4*G4</f>
        <v/>
      </c>
      <c r="J4">
        <f>H4-I4</f>
        <v/>
      </c>
      <c r="K4" t="n">
        <v>0.01</v>
      </c>
      <c r="L4" t="n">
        <v>-55749.29894725834</v>
      </c>
      <c r="M4" t="n">
        <v>39182.75926310723</v>
      </c>
      <c r="N4" t="n">
        <v>-195.0374119845481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TSLL</t>
        </is>
      </c>
      <c r="C5" t="inlineStr">
        <is>
          <t>TSLA</t>
        </is>
      </c>
      <c r="D5" t="n">
        <v>113.0599975585938</v>
      </c>
      <c r="E5" t="n">
        <v>-4.709963321685791</v>
      </c>
      <c r="F5" t="n">
        <v>16893</v>
      </c>
      <c r="G5" t="n">
        <v>-207812</v>
      </c>
      <c r="H5">
        <f>D5*F5</f>
        <v/>
      </c>
      <c r="I5">
        <f>E5*G5</f>
        <v/>
      </c>
      <c r="J5">
        <f>H5-I5</f>
        <v/>
      </c>
      <c r="K5" t="n">
        <v>0.01</v>
      </c>
      <c r="L5" t="n">
        <v>45950.91544206694</v>
      </c>
      <c r="M5" t="n">
        <v>-32368.1827778618</v>
      </c>
      <c r="N5" t="n">
        <v>195.8086017162367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TSLL</t>
        </is>
      </c>
      <c r="C6" t="inlineStr">
        <is>
          <t>TSLA</t>
        </is>
      </c>
      <c r="D6" t="n">
        <v>119.7699966430664</v>
      </c>
      <c r="E6" t="n">
        <v>-5.125549793243408</v>
      </c>
      <c r="F6" t="n">
        <v>16893</v>
      </c>
      <c r="G6" t="n">
        <v>-207812</v>
      </c>
      <c r="H6">
        <f>D6*F6</f>
        <v/>
      </c>
      <c r="I6">
        <f>E6*G6</f>
        <v/>
      </c>
      <c r="J6">
        <f>H6-I6</f>
        <v/>
      </c>
      <c r="K6" t="n">
        <v>0.01</v>
      </c>
      <c r="L6" t="n">
        <v>113356.7875632224</v>
      </c>
      <c r="M6" t="n">
        <v>-81772.66603189663</v>
      </c>
      <c r="N6" t="n">
        <v>278.4530874650175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TSLL</t>
        </is>
      </c>
      <c r="C7" t="inlineStr">
        <is>
          <t>TSLA</t>
        </is>
      </c>
      <c r="D7" t="n">
        <v>118.8499984741211</v>
      </c>
      <c r="E7" t="n">
        <v>-5.073600769042969</v>
      </c>
      <c r="F7" t="n">
        <v>16893</v>
      </c>
      <c r="G7" t="n">
        <v>-207812</v>
      </c>
      <c r="H7">
        <f>D7*F7</f>
        <v/>
      </c>
      <c r="I7">
        <f>E7*G7</f>
        <v/>
      </c>
      <c r="J7">
        <f>H7-I7</f>
        <v/>
      </c>
      <c r="K7" t="n">
        <v>0.01</v>
      </c>
      <c r="L7" t="n">
        <v>-15542.18349105534</v>
      </c>
      <c r="M7" t="n">
        <v>10221.72399092761</v>
      </c>
      <c r="N7" t="n">
        <v>235.108052896741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TSLL</t>
        </is>
      </c>
      <c r="C8" t="inlineStr">
        <is>
          <t>TSLA</t>
        </is>
      </c>
      <c r="D8" t="n">
        <v>123.2200012207031</v>
      </c>
      <c r="E8" t="n">
        <v>-5.341999530792236</v>
      </c>
      <c r="F8" t="n">
        <v>16893</v>
      </c>
      <c r="G8" t="n">
        <v>-207812</v>
      </c>
      <c r="H8">
        <f>D8*F8</f>
        <v/>
      </c>
      <c r="I8">
        <f>E8*G8</f>
        <v/>
      </c>
      <c r="J8">
        <f>H8-I8</f>
        <v/>
      </c>
      <c r="K8" t="n">
        <v>0.01</v>
      </c>
      <c r="L8" t="n">
        <v>73825.56491569612</v>
      </c>
      <c r="M8" t="n">
        <v>-52811.34928583595</v>
      </c>
      <c r="N8" t="n">
        <v>148.9264862269151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TSLL</t>
        </is>
      </c>
      <c r="C9" t="inlineStr">
        <is>
          <t>TSLA</t>
        </is>
      </c>
      <c r="D9" t="n">
        <v>123.5599975585938</v>
      </c>
      <c r="E9" t="n">
        <v>-5.359314918518066</v>
      </c>
      <c r="F9" t="n">
        <v>16893</v>
      </c>
      <c r="G9" t="n">
        <v>-207812</v>
      </c>
      <c r="H9">
        <f>D9*F9</f>
        <v/>
      </c>
      <c r="I9">
        <f>E9*G9</f>
        <v/>
      </c>
      <c r="J9">
        <f>H9-I9</f>
        <v/>
      </c>
      <c r="K9" t="n">
        <v>0.01</v>
      </c>
      <c r="L9" t="n">
        <v>5743.799985863948</v>
      </c>
      <c r="M9" t="n">
        <v>-3407.05368105516</v>
      </c>
      <c r="N9" t="n">
        <v>207.4567002048887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TSLL</t>
        </is>
      </c>
      <c r="C10" t="inlineStr">
        <is>
          <t>TSLA</t>
        </is>
      </c>
      <c r="D10" t="n">
        <v>122.4000015258789</v>
      </c>
      <c r="E10" t="n">
        <v>-5.281392574310303</v>
      </c>
      <c r="F10" t="n">
        <v>16893</v>
      </c>
      <c r="G10" t="n">
        <v>-207812</v>
      </c>
      <c r="H10">
        <f>D10*F10</f>
        <v/>
      </c>
      <c r="I10">
        <f>E10*G10</f>
        <v/>
      </c>
      <c r="J10">
        <f>H10-I10</f>
        <v/>
      </c>
      <c r="K10" t="n">
        <v>0.01</v>
      </c>
      <c r="L10" t="n">
        <v>-19596.63812159394</v>
      </c>
      <c r="M10" t="n">
        <v>15332.35142482386</v>
      </c>
      <c r="N10" t="n">
        <v>193.8809261488868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TSLL</t>
        </is>
      </c>
      <c r="C11" t="inlineStr">
        <is>
          <t>TSLA</t>
        </is>
      </c>
      <c r="D11" t="n">
        <v>131.4900054931641</v>
      </c>
      <c r="E11" t="n">
        <v>-5.870138645172119</v>
      </c>
      <c r="F11" t="n">
        <v>16126</v>
      </c>
      <c r="G11" t="n">
        <v>-187432</v>
      </c>
      <c r="H11">
        <f>D11*F11</f>
        <v/>
      </c>
      <c r="I11">
        <f>E11*G11</f>
        <v/>
      </c>
      <c r="J11">
        <f>H11-I11</f>
        <v/>
      </c>
      <c r="K11" t="n">
        <v>0.01</v>
      </c>
      <c r="L11" t="n">
        <v>146591.5763979905</v>
      </c>
      <c r="M11" t="n">
        <v>-104483.5438955193</v>
      </c>
      <c r="N11" t="n">
        <v>118.8561285879889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TSLL</t>
        </is>
      </c>
      <c r="C12" t="inlineStr">
        <is>
          <t>TSLA</t>
        </is>
      </c>
      <c r="D12" t="n">
        <v>128.7799987792969</v>
      </c>
      <c r="E12" t="n">
        <v>-5.696978569030762</v>
      </c>
      <c r="F12" t="n">
        <v>16126</v>
      </c>
      <c r="G12" t="n">
        <v>-187432</v>
      </c>
      <c r="H12">
        <f>D12*F12</f>
        <v/>
      </c>
      <c r="I12">
        <f>E12*G12</f>
        <v/>
      </c>
      <c r="J12">
        <f>H12-I12</f>
        <v/>
      </c>
      <c r="K12" t="n">
        <v>0.01</v>
      </c>
      <c r="L12" t="n">
        <v>-43703.40845446043</v>
      </c>
      <c r="M12" t="n">
        <v>30730.35950793363</v>
      </c>
      <c r="N12" t="n">
        <v>-160.3443126498926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TSLL</t>
        </is>
      </c>
      <c r="C13" t="inlineStr">
        <is>
          <t>TSLA</t>
        </is>
      </c>
      <c r="D13" t="n">
        <v>127.1699981689453</v>
      </c>
      <c r="E13" t="n">
        <v>-5.575766086578369</v>
      </c>
      <c r="F13" t="n">
        <v>16126</v>
      </c>
      <c r="G13" t="n">
        <v>-187432</v>
      </c>
      <c r="H13">
        <f>D13*F13</f>
        <v/>
      </c>
      <c r="I13">
        <f>E13*G13</f>
        <v/>
      </c>
      <c r="J13">
        <f>H13-I13</f>
        <v/>
      </c>
      <c r="K13" t="n">
        <v>0.01</v>
      </c>
      <c r="L13" t="n">
        <v>-25963.96308764764</v>
      </c>
      <c r="M13" t="n">
        <v>21511.32781652472</v>
      </c>
      <c r="N13" t="n">
        <v>-6.199103799225692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TSLL</t>
        </is>
      </c>
      <c r="C14" t="inlineStr">
        <is>
          <t>TSLA</t>
        </is>
      </c>
      <c r="D14" t="n">
        <v>133.4199981689453</v>
      </c>
      <c r="E14" t="n">
        <v>-5.99135160446167</v>
      </c>
      <c r="F14" t="n">
        <v>16126</v>
      </c>
      <c r="G14" t="n">
        <v>-187432</v>
      </c>
      <c r="H14">
        <f>D14*F14</f>
        <v/>
      </c>
      <c r="I14">
        <f>E14*G14</f>
        <v/>
      </c>
      <c r="J14">
        <f>H14-I14</f>
        <v/>
      </c>
      <c r="K14" t="n">
        <v>0.01</v>
      </c>
      <c r="L14" t="n">
        <v>100791.7439623598</v>
      </c>
      <c r="M14" t="n">
        <v>-73753.09976428437</v>
      </c>
      <c r="N14" t="n">
        <v>372.9966355365101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TSLL</t>
        </is>
      </c>
      <c r="C15" t="inlineStr">
        <is>
          <t>TSLA</t>
        </is>
      </c>
      <c r="D15" t="n">
        <v>143.75</v>
      </c>
      <c r="E15" t="n">
        <v>-6.683992385864258</v>
      </c>
      <c r="F15" t="n">
        <v>16126</v>
      </c>
      <c r="G15" t="n">
        <v>-180093</v>
      </c>
      <c r="H15">
        <f>D15*F15</f>
        <v/>
      </c>
      <c r="I15">
        <f>E15*G15</f>
        <v/>
      </c>
      <c r="J15">
        <f>H15-I15</f>
        <v/>
      </c>
      <c r="K15" t="n">
        <v>0.01</v>
      </c>
      <c r="L15" t="n">
        <v>166588.6239498196</v>
      </c>
      <c r="M15" t="n">
        <v>-118108.4648273153</v>
      </c>
      <c r="N15" t="n">
        <v>263.5309873433326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TSLL</t>
        </is>
      </c>
      <c r="C16" t="inlineStr">
        <is>
          <t>TSLA</t>
        </is>
      </c>
      <c r="D16" t="n">
        <v>143.8899993896484</v>
      </c>
      <c r="E16" t="n">
        <v>-6.701308727264404</v>
      </c>
      <c r="F16" t="n">
        <v>16126</v>
      </c>
      <c r="G16" t="n">
        <v>-180093</v>
      </c>
      <c r="H16">
        <f>D16*F16</f>
        <v/>
      </c>
      <c r="I16">
        <f>E16*G16</f>
        <v/>
      </c>
      <c r="J16">
        <f>H16-I16</f>
        <v/>
      </c>
      <c r="K16" t="n">
        <v>0.01</v>
      </c>
      <c r="L16" t="n">
        <v>2257.725221813114</v>
      </c>
      <c r="M16" t="n">
        <v>-2952.76650481866</v>
      </c>
      <c r="N16" t="n">
        <v>-21.4212087717774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TSLL</t>
        </is>
      </c>
      <c r="C17" t="inlineStr">
        <is>
          <t>TSLA</t>
        </is>
      </c>
      <c r="D17" t="n">
        <v>144.4299926757812</v>
      </c>
      <c r="E17" t="n">
        <v>-6.735939979553223</v>
      </c>
      <c r="F17" t="n">
        <v>16126</v>
      </c>
      <c r="G17" t="n">
        <v>-180093</v>
      </c>
      <c r="H17">
        <f>D17*F17</f>
        <v/>
      </c>
      <c r="I17">
        <f>E17*G17</f>
        <v/>
      </c>
      <c r="J17">
        <f>H17-I17</f>
        <v/>
      </c>
      <c r="K17" t="n">
        <v>0.01</v>
      </c>
      <c r="L17" t="n">
        <v>8708.29840596668</v>
      </c>
      <c r="M17" t="n">
        <v>-5905.289080144978</v>
      </c>
      <c r="N17" t="n">
        <v>6.773804778392106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TSLL</t>
        </is>
      </c>
      <c r="C18" t="inlineStr">
        <is>
          <t>TSLA</t>
        </is>
      </c>
      <c r="D18" t="n">
        <v>160.2700042724609</v>
      </c>
      <c r="E18" t="n">
        <v>-7.835510730743408</v>
      </c>
      <c r="F18" t="n">
        <v>16126</v>
      </c>
      <c r="G18" t="n">
        <v>-180093</v>
      </c>
      <c r="H18">
        <f>D18*F18</f>
        <v/>
      </c>
      <c r="I18">
        <f>E18*G18</f>
        <v/>
      </c>
      <c r="J18">
        <f>H18-I18</f>
        <v/>
      </c>
      <c r="K18" t="n">
        <v>0.01</v>
      </c>
      <c r="L18" t="n">
        <v>255446.7829141359</v>
      </c>
      <c r="M18" t="n">
        <v>-187497.7865569922</v>
      </c>
      <c r="N18" t="n">
        <v>281.0430204496892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TSLL</t>
        </is>
      </c>
      <c r="C19" t="inlineStr">
        <is>
          <t>TSLA</t>
        </is>
      </c>
      <c r="D19" t="n">
        <v>177.8999938964844</v>
      </c>
      <c r="E19" t="n">
        <v>-9.134213447570801</v>
      </c>
      <c r="F19" t="n">
        <v>16126</v>
      </c>
      <c r="G19" t="n">
        <v>-180093</v>
      </c>
      <c r="H19">
        <f>D19*F19</f>
        <v/>
      </c>
      <c r="I19">
        <f>E19*G19</f>
        <v/>
      </c>
      <c r="J19">
        <f>H19-I19</f>
        <v/>
      </c>
      <c r="K19" t="n">
        <v>0.01</v>
      </c>
      <c r="L19" t="n">
        <v>284313.1840389809</v>
      </c>
      <c r="M19" t="n">
        <v>-221453.584989522</v>
      </c>
      <c r="N19" t="n">
        <v>518.5042401393507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TSLL</t>
        </is>
      </c>
      <c r="C20" t="inlineStr">
        <is>
          <t>TSLA</t>
        </is>
      </c>
      <c r="D20" t="n">
        <v>166.6600036621094</v>
      </c>
      <c r="E20" t="n">
        <v>-8.268409729003906</v>
      </c>
      <c r="F20" t="n">
        <v>11773</v>
      </c>
      <c r="G20" t="n">
        <v>-114992</v>
      </c>
      <c r="H20">
        <f>D20*F20</f>
        <v/>
      </c>
      <c r="I20">
        <f>E20*G20</f>
        <v/>
      </c>
      <c r="J20">
        <f>H20-I20</f>
        <v/>
      </c>
      <c r="K20" t="n">
        <v>0.01</v>
      </c>
      <c r="L20" t="n">
        <v>-132333.9771168085</v>
      </c>
      <c r="M20" t="n">
        <v>94267.76441429515</v>
      </c>
      <c r="N20" t="n">
        <v>-288.7320472641786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TSLL</t>
        </is>
      </c>
      <c r="C21" t="inlineStr">
        <is>
          <t>TSLA</t>
        </is>
      </c>
      <c r="D21" t="n">
        <v>173.2200012207031</v>
      </c>
      <c r="E21" t="n">
        <v>-8.744601249694824</v>
      </c>
      <c r="F21" t="n">
        <v>11773</v>
      </c>
      <c r="G21" t="n">
        <v>-114992</v>
      </c>
      <c r="H21">
        <f>D21*F21</f>
        <v/>
      </c>
      <c r="I21">
        <f>E21*G21</f>
        <v/>
      </c>
      <c r="J21">
        <f>H21-I21</f>
        <v/>
      </c>
      <c r="K21" t="n">
        <v>0.01</v>
      </c>
      <c r="L21" t="n">
        <v>77234.10329577893</v>
      </c>
      <c r="M21" t="n">
        <v>-51847.21331860174</v>
      </c>
      <c r="N21" t="n">
        <v>140.3973079788452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TSLA Price</t>
        </is>
      </c>
      <c r="E1" t="inlineStr">
        <is>
          <t>TSLQ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TSLQ</t>
        </is>
      </c>
      <c r="C2" t="inlineStr">
        <is>
          <t>TSLA</t>
        </is>
      </c>
      <c r="D2" t="n">
        <v>-0</v>
      </c>
      <c r="E2" t="n">
        <v>-3445.68057996232</v>
      </c>
      <c r="F2" t="n">
        <v>-6277</v>
      </c>
      <c r="G2" t="n">
        <v>-302</v>
      </c>
      <c r="H2">
        <f>D2*F2</f>
        <v/>
      </c>
      <c r="I2">
        <f>E2*G2</f>
        <v/>
      </c>
      <c r="J2">
        <f>H2-I2</f>
        <v/>
      </c>
      <c r="K2" t="n">
        <v>-0.02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TSLQ</t>
        </is>
      </c>
      <c r="C3" t="inlineStr">
        <is>
          <t>TSLA</t>
        </is>
      </c>
      <c r="D3" t="n">
        <v>-0</v>
      </c>
      <c r="E3" t="n">
        <v>-3501.127775432258</v>
      </c>
      <c r="F3" t="n">
        <v>-6277</v>
      </c>
      <c r="G3" t="n">
        <v>-302</v>
      </c>
      <c r="H3">
        <f>D3*F3</f>
        <v/>
      </c>
      <c r="I3">
        <f>E3*G3</f>
        <v/>
      </c>
      <c r="J3">
        <f>H3-I3</f>
        <v/>
      </c>
      <c r="K3" t="n">
        <v>-0.02</v>
      </c>
      <c r="L3" t="n">
        <v>0</v>
      </c>
      <c r="M3" t="n">
        <v>0</v>
      </c>
      <c r="N3" t="n">
        <v>-0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TSLQ</t>
        </is>
      </c>
      <c r="C4" t="inlineStr">
        <is>
          <t>TSLA</t>
        </is>
      </c>
      <c r="D4" t="n">
        <v>-0</v>
      </c>
      <c r="E4" t="n">
        <v>-3466.018689793467</v>
      </c>
      <c r="F4" t="n">
        <v>-6277</v>
      </c>
      <c r="G4" t="n">
        <v>-302</v>
      </c>
      <c r="H4">
        <f>D4*F4</f>
        <v/>
      </c>
      <c r="I4">
        <f>E4*G4</f>
        <v/>
      </c>
      <c r="J4">
        <f>H4-I4</f>
        <v/>
      </c>
      <c r="K4" t="n">
        <v>-0.02</v>
      </c>
      <c r="L4" t="n">
        <v>20714.99138648793</v>
      </c>
      <c r="M4" t="n">
        <v>-9573.655003025413</v>
      </c>
      <c r="N4" t="n">
        <v>-0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TSLQ</t>
        </is>
      </c>
      <c r="C5" t="inlineStr">
        <is>
          <t>TSLA</t>
        </is>
      </c>
      <c r="D5" t="n">
        <v>-0</v>
      </c>
      <c r="E5" t="n">
        <v>-3493.913147983172</v>
      </c>
      <c r="F5" t="n">
        <v>-6277</v>
      </c>
      <c r="G5" t="n">
        <v>-302</v>
      </c>
      <c r="H5">
        <f>D5*F5</f>
        <v/>
      </c>
      <c r="I5">
        <f>E5*G5</f>
        <v/>
      </c>
      <c r="J5">
        <f>H5-I5</f>
        <v/>
      </c>
      <c r="K5" t="n">
        <v>-0.02</v>
      </c>
      <c r="L5" t="n">
        <v>-17074.16659147897</v>
      </c>
      <c r="M5" t="n">
        <v>8189.514634306652</v>
      </c>
      <c r="N5" t="n">
        <v>0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TSLQ</t>
        </is>
      </c>
      <c r="C6" t="inlineStr">
        <is>
          <t>TSLA</t>
        </is>
      </c>
      <c r="D6" t="n">
        <v>-0</v>
      </c>
      <c r="E6" t="n">
        <v>-3564.804216624885</v>
      </c>
      <c r="F6" t="n">
        <v>-6277</v>
      </c>
      <c r="G6" t="n">
        <v>-302</v>
      </c>
      <c r="H6">
        <f>D6*F6</f>
        <v/>
      </c>
      <c r="I6">
        <f>E6*G6</f>
        <v/>
      </c>
      <c r="J6">
        <f>H6-I6</f>
        <v/>
      </c>
      <c r="K6" t="n">
        <v>-0.02</v>
      </c>
      <c r="L6" t="n">
        <v>-42120.43778691451</v>
      </c>
      <c r="M6" t="n">
        <v>19608.62031807451</v>
      </c>
      <c r="N6" t="n">
        <v>0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TSLQ</t>
        </is>
      </c>
      <c r="C7" t="inlineStr">
        <is>
          <t>TSLA</t>
        </is>
      </c>
      <c r="D7" t="n">
        <v>-0</v>
      </c>
      <c r="E7" t="n">
        <v>-3554.556657576403</v>
      </c>
      <c r="F7" t="n">
        <v>-6277</v>
      </c>
      <c r="G7" t="n">
        <v>-302</v>
      </c>
      <c r="H7">
        <f>D7*F7</f>
        <v/>
      </c>
      <c r="I7">
        <f>E7*G7</f>
        <v/>
      </c>
      <c r="J7">
        <f>H7-I7</f>
        <v/>
      </c>
      <c r="K7" t="n">
        <v>-0.02</v>
      </c>
      <c r="L7" t="n">
        <v>5775.071673080824</v>
      </c>
      <c r="M7" t="n">
        <v>-2537.590675984397</v>
      </c>
      <c r="N7" t="n">
        <v>0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TSLQ</t>
        </is>
      </c>
      <c r="C8" t="inlineStr">
        <is>
          <t>TSLA</t>
        </is>
      </c>
      <c r="D8" t="n">
        <v>-0</v>
      </c>
      <c r="E8" t="n">
        <v>-3604.510297257379</v>
      </c>
      <c r="F8" t="n">
        <v>-6277</v>
      </c>
      <c r="G8" t="n">
        <v>-302</v>
      </c>
      <c r="H8">
        <f>D8*F8</f>
        <v/>
      </c>
      <c r="I8">
        <f>E8*G8</f>
        <v/>
      </c>
      <c r="J8">
        <f>H8-I8</f>
        <v/>
      </c>
      <c r="K8" t="n">
        <v>-0.02</v>
      </c>
      <c r="L8" t="n">
        <v>-27431.66228472293</v>
      </c>
      <c r="M8" t="n">
        <v>11688.26154151715</v>
      </c>
      <c r="N8" t="n">
        <v>0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TSLQ</t>
        </is>
      </c>
      <c r="C9" t="inlineStr">
        <is>
          <t>TSLA</t>
        </is>
      </c>
      <c r="D9" t="n">
        <v>-0</v>
      </c>
      <c r="E9" t="n">
        <v>-3610.097916356775</v>
      </c>
      <c r="F9" t="n">
        <v>-6277</v>
      </c>
      <c r="G9" t="n">
        <v>-302</v>
      </c>
      <c r="H9">
        <f>D9*F9</f>
        <v/>
      </c>
      <c r="I9">
        <f>E9*G9</f>
        <v/>
      </c>
      <c r="J9">
        <f>H9-I9</f>
        <v/>
      </c>
      <c r="K9" t="n">
        <v>-0.02</v>
      </c>
      <c r="L9" t="n">
        <v>-2134.246878071864</v>
      </c>
      <c r="M9" t="n">
        <v>422.9492320513755</v>
      </c>
      <c r="N9" t="n">
        <v>0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TSLQ</t>
        </is>
      </c>
      <c r="C10" t="inlineStr">
        <is>
          <t>TSLA</t>
        </is>
      </c>
      <c r="D10" t="n">
        <v>-0</v>
      </c>
      <c r="E10" t="n">
        <v>-3596.74450362755</v>
      </c>
      <c r="F10" t="n">
        <v>-6277</v>
      </c>
      <c r="G10" t="n">
        <v>-302</v>
      </c>
      <c r="H10">
        <f>D10*F10</f>
        <v/>
      </c>
      <c r="I10">
        <f>E10*G10</f>
        <v/>
      </c>
      <c r="J10">
        <f>H10-I10</f>
        <v/>
      </c>
      <c r="K10" t="n">
        <v>-0.02</v>
      </c>
      <c r="L10" t="n">
        <v>7281.601698291905</v>
      </c>
      <c r="M10" t="n">
        <v>-3075.867486041693</v>
      </c>
      <c r="N10" t="n">
        <v>0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TSLQ</t>
        </is>
      </c>
      <c r="C11" t="inlineStr">
        <is>
          <t>TSLA</t>
        </is>
      </c>
      <c r="D11" t="n">
        <v>-0</v>
      </c>
      <c r="E11" t="n">
        <v>-3097.851698389593</v>
      </c>
      <c r="F11" t="n">
        <v>-5992</v>
      </c>
      <c r="G11" t="n">
        <v>-371</v>
      </c>
      <c r="H11">
        <f>D11*F11</f>
        <v/>
      </c>
      <c r="I11">
        <f>E11*G11</f>
        <v/>
      </c>
      <c r="J11">
        <f>H11-I11</f>
        <v/>
      </c>
      <c r="K11" t="n">
        <v>-0.02</v>
      </c>
      <c r="L11" t="n">
        <v>-54469.59728244816</v>
      </c>
      <c r="M11" t="n">
        <v>27583.97007459603</v>
      </c>
      <c r="N11" t="n">
        <v>0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TSLQ</t>
        </is>
      </c>
      <c r="C12" t="inlineStr">
        <is>
          <t>TSLA</t>
        </is>
      </c>
      <c r="D12" t="n">
        <v>-0</v>
      </c>
      <c r="E12" t="n">
        <v>-3074.117140284125</v>
      </c>
      <c r="F12" t="n">
        <v>-5992</v>
      </c>
      <c r="G12" t="n">
        <v>-371</v>
      </c>
      <c r="H12">
        <f>D12*F12</f>
        <v/>
      </c>
      <c r="I12">
        <f>E12*G12</f>
        <v/>
      </c>
      <c r="J12">
        <f>H12-I12</f>
        <v/>
      </c>
      <c r="K12" t="n">
        <v>-0.02</v>
      </c>
      <c r="L12" t="n">
        <v>16239.04399473688</v>
      </c>
      <c r="M12" t="n">
        <v>-7037.701935467665</v>
      </c>
      <c r="N12" t="n">
        <v>-0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TSLQ</t>
        </is>
      </c>
      <c r="C13" t="inlineStr">
        <is>
          <t>TSLA</t>
        </is>
      </c>
      <c r="D13" t="n">
        <v>-0</v>
      </c>
      <c r="E13" t="n">
        <v>-3061.425696031103</v>
      </c>
      <c r="F13" t="n">
        <v>-5992</v>
      </c>
      <c r="G13" t="n">
        <v>-371</v>
      </c>
      <c r="H13">
        <f>D13*F13</f>
        <v/>
      </c>
      <c r="I13">
        <f>E13*G13</f>
        <v/>
      </c>
      <c r="J13">
        <f>H13-I13</f>
        <v/>
      </c>
      <c r="K13" t="n">
        <v>-0.02</v>
      </c>
      <c r="L13" t="n">
        <v>9647.529878530611</v>
      </c>
      <c r="M13" t="n">
        <v>-4676.056990679857</v>
      </c>
      <c r="N13" t="n">
        <v>-0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TSLQ</t>
        </is>
      </c>
      <c r="C14" t="inlineStr">
        <is>
          <t>TSLA</t>
        </is>
      </c>
      <c r="D14" t="n">
        <v>-0</v>
      </c>
      <c r="E14" t="n">
        <v>-3112.21540573408</v>
      </c>
      <c r="F14" t="n">
        <v>-5992</v>
      </c>
      <c r="G14" t="n">
        <v>-371</v>
      </c>
      <c r="H14">
        <f>D14*F14</f>
        <v/>
      </c>
      <c r="I14">
        <f>E14*G14</f>
        <v/>
      </c>
      <c r="J14">
        <f>H14-I14</f>
        <v/>
      </c>
      <c r="K14" t="n">
        <v>-0.02</v>
      </c>
      <c r="L14" t="n">
        <v>-37451.57694545827</v>
      </c>
      <c r="M14" t="n">
        <v>17617.84984785426</v>
      </c>
      <c r="N14" t="n">
        <v>0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TSLQ</t>
        </is>
      </c>
      <c r="C15" t="inlineStr">
        <is>
          <t>TSLA</t>
        </is>
      </c>
      <c r="D15" t="n">
        <v>-0</v>
      </c>
      <c r="E15" t="n">
        <v>-3206.042778734891</v>
      </c>
      <c r="F15" t="n">
        <v>-5992</v>
      </c>
      <c r="G15" t="n">
        <v>-371</v>
      </c>
      <c r="H15">
        <f>D15*F15</f>
        <v/>
      </c>
      <c r="I15">
        <f>E15*G15</f>
        <v/>
      </c>
      <c r="J15">
        <f>H15-I15</f>
        <v/>
      </c>
      <c r="K15" t="n">
        <v>-0.02</v>
      </c>
      <c r="L15" t="n">
        <v>-61899.97734759512</v>
      </c>
      <c r="M15" t="n">
        <v>25647.42121987003</v>
      </c>
      <c r="N15" t="n">
        <v>0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TSLQ</t>
        </is>
      </c>
      <c r="C16" t="inlineStr">
        <is>
          <t>TSLA</t>
        </is>
      </c>
      <c r="D16" t="n">
        <v>-0</v>
      </c>
      <c r="E16" t="n">
        <v>-3206.690314526828</v>
      </c>
      <c r="F16" t="n">
        <v>-5992</v>
      </c>
      <c r="G16" t="n">
        <v>-371</v>
      </c>
      <c r="H16">
        <f>D16*F16</f>
        <v/>
      </c>
      <c r="I16">
        <f>E16*G16</f>
        <v/>
      </c>
      <c r="J16">
        <f>H16-I16</f>
        <v/>
      </c>
      <c r="K16" t="n">
        <v>-0.02</v>
      </c>
      <c r="L16" t="n">
        <v>-838.9116661977042</v>
      </c>
      <c r="M16" t="n">
        <v>566.8162270118497</v>
      </c>
      <c r="N16" t="n">
        <v>-0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TSLQ</t>
        </is>
      </c>
      <c r="C17" t="inlineStr">
        <is>
          <t>TSLA</t>
        </is>
      </c>
      <c r="D17" t="n">
        <v>-0</v>
      </c>
      <c r="E17" t="n">
        <v>-3214.47049238097</v>
      </c>
      <c r="F17" t="n">
        <v>-5992</v>
      </c>
      <c r="G17" t="n">
        <v>-371</v>
      </c>
      <c r="H17">
        <f>D17*F17</f>
        <v/>
      </c>
      <c r="I17">
        <f>E17*G17</f>
        <v/>
      </c>
      <c r="J17">
        <f>H17-I17</f>
        <v/>
      </c>
      <c r="K17" t="n">
        <v>-0.02</v>
      </c>
      <c r="L17" t="n">
        <v>-3235.776016901423</v>
      </c>
      <c r="M17" t="n">
        <v>330.630292270293</v>
      </c>
      <c r="N17" t="n">
        <v>0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TSLQ</t>
        </is>
      </c>
      <c r="C18" t="inlineStr">
        <is>
          <t>TSLA</t>
        </is>
      </c>
      <c r="D18" t="n">
        <v>-0</v>
      </c>
      <c r="E18" t="n">
        <v>-3372.683642117482</v>
      </c>
      <c r="F18" t="n">
        <v>-5992</v>
      </c>
      <c r="G18" t="n">
        <v>-371</v>
      </c>
      <c r="H18">
        <f>D18*F18</f>
        <v/>
      </c>
      <c r="I18">
        <f>E18*G18</f>
        <v/>
      </c>
      <c r="J18">
        <f>H18-I18</f>
        <v/>
      </c>
      <c r="K18" t="n">
        <v>-0.02</v>
      </c>
      <c r="L18" t="n">
        <v>-94917.3461008001</v>
      </c>
      <c r="M18" t="n">
        <v>34290.97739700507</v>
      </c>
      <c r="N18" t="n">
        <v>0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TSLQ</t>
        </is>
      </c>
      <c r="C19" t="inlineStr">
        <is>
          <t>TSLA</t>
        </is>
      </c>
      <c r="D19" t="n">
        <v>-0</v>
      </c>
      <c r="E19" t="n">
        <v>-3571.101120283019</v>
      </c>
      <c r="F19" t="n">
        <v>-5992</v>
      </c>
      <c r="G19" t="n">
        <v>-371</v>
      </c>
      <c r="H19">
        <f>D19*F19</f>
        <v/>
      </c>
      <c r="I19">
        <f>E19*G19</f>
        <v/>
      </c>
      <c r="J19">
        <f>H19-I19</f>
        <v/>
      </c>
      <c r="K19" t="n">
        <v>-0.02</v>
      </c>
      <c r="L19" t="n">
        <v>-105643.3460722791</v>
      </c>
      <c r="M19" t="n">
        <v>30323.47821054989</v>
      </c>
      <c r="N19" t="n">
        <v>0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TSLQ</t>
        </is>
      </c>
      <c r="C20" t="inlineStr">
        <is>
          <t>TSLA</t>
        </is>
      </c>
      <c r="D20" t="n">
        <v>-0</v>
      </c>
      <c r="E20" t="n">
        <v>-1967.830474853516</v>
      </c>
      <c r="F20" t="n">
        <v>-4374</v>
      </c>
      <c r="G20" t="n">
        <v>-594</v>
      </c>
      <c r="H20">
        <f>D20*F20</f>
        <v/>
      </c>
      <c r="I20">
        <f>E20*G20</f>
        <v/>
      </c>
      <c r="J20">
        <f>H20-I20</f>
        <v/>
      </c>
      <c r="K20" t="n">
        <v>-0.02</v>
      </c>
      <c r="L20" t="n">
        <v>49165.78747209042</v>
      </c>
      <c r="M20" t="n">
        <v>-24048.29309492498</v>
      </c>
      <c r="N20" t="n">
        <v>-0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TSLQ</t>
        </is>
      </c>
      <c r="C21" t="inlineStr">
        <is>
          <t>TSLA</t>
        </is>
      </c>
      <c r="D21" t="n">
        <v>-0</v>
      </c>
      <c r="E21" t="n">
        <v>-1988.168137983842</v>
      </c>
      <c r="F21" t="n">
        <v>-4374</v>
      </c>
      <c r="G21" t="n">
        <v>-594</v>
      </c>
      <c r="H21">
        <f>D21*F21</f>
        <v/>
      </c>
      <c r="I21">
        <f>E21*G21</f>
        <v/>
      </c>
      <c r="J21">
        <f>H21-I21</f>
        <v/>
      </c>
      <c r="K21" t="n">
        <v>-0.02</v>
      </c>
      <c r="L21" t="n">
        <v>-28694.63754486851</v>
      </c>
      <c r="M21" t="n">
        <v>15729.7011438503</v>
      </c>
      <c r="N21" t="n">
        <v>0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XBI Price</t>
        </is>
      </c>
      <c r="E1" t="inlineStr">
        <is>
          <t>LABU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LABU</t>
        </is>
      </c>
      <c r="C2" t="inlineStr">
        <is>
          <t>XBI</t>
        </is>
      </c>
      <c r="D2" t="n">
        <v>81.09487152099609</v>
      </c>
      <c r="E2" t="n">
        <v>-131.4068298339844</v>
      </c>
      <c r="F2" t="n">
        <v>3382</v>
      </c>
      <c r="G2" t="n">
        <v>-699</v>
      </c>
      <c r="H2">
        <f>D2*F2</f>
        <v/>
      </c>
      <c r="I2">
        <f>E2*G2</f>
        <v/>
      </c>
      <c r="J2">
        <f>H2-I2</f>
        <v/>
      </c>
      <c r="K2" t="n">
        <v>0.1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LABU</t>
        </is>
      </c>
      <c r="C3" t="inlineStr">
        <is>
          <t>XBI</t>
        </is>
      </c>
      <c r="D3" t="n">
        <v>82.79574584960938</v>
      </c>
      <c r="E3" t="n">
        <v>-139.2637634277344</v>
      </c>
      <c r="F3" t="n">
        <v>3382</v>
      </c>
      <c r="G3" t="n">
        <v>-699</v>
      </c>
      <c r="H3">
        <f>D3*F3</f>
        <v/>
      </c>
      <c r="I3">
        <f>E3*G3</f>
        <v/>
      </c>
      <c r="J3">
        <f>H3-I3</f>
        <v/>
      </c>
      <c r="K3" t="n">
        <v>0.1</v>
      </c>
      <c r="L3" t="n">
        <v>0</v>
      </c>
      <c r="M3" t="n">
        <v>0</v>
      </c>
      <c r="N3" t="n">
        <v>-1515.353998958756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LABU</t>
        </is>
      </c>
      <c r="C4" t="inlineStr">
        <is>
          <t>XBI</t>
        </is>
      </c>
      <c r="D4" t="n">
        <v>82.07958984375</v>
      </c>
      <c r="E4" t="n">
        <v>-136.1209869384766</v>
      </c>
      <c r="F4" t="n">
        <v>3382</v>
      </c>
      <c r="G4" t="n">
        <v>-699</v>
      </c>
      <c r="H4">
        <f>D4*F4</f>
        <v/>
      </c>
      <c r="I4">
        <f>E4*G4</f>
        <v/>
      </c>
      <c r="J4">
        <f>H4-I4</f>
        <v/>
      </c>
      <c r="K4" t="n">
        <v>0.1</v>
      </c>
      <c r="L4" t="n">
        <v>-2422.141599115888</v>
      </c>
      <c r="M4" t="n">
        <v>2080.016618701778</v>
      </c>
      <c r="N4" t="n">
        <v>-196.4588581814346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LABU</t>
        </is>
      </c>
      <c r="C5" t="inlineStr">
        <is>
          <t>XBI</t>
        </is>
      </c>
      <c r="D5" t="n">
        <v>82.71616363525391</v>
      </c>
      <c r="E5" t="n">
        <v>-138.4780426025391</v>
      </c>
      <c r="F5" t="n">
        <v>3382</v>
      </c>
      <c r="G5" t="n">
        <v>-699</v>
      </c>
      <c r="H5">
        <f>D5*F5</f>
        <v/>
      </c>
      <c r="I5">
        <f>E5*G5</f>
        <v/>
      </c>
      <c r="J5">
        <f>H5-I5</f>
        <v/>
      </c>
      <c r="K5" t="n">
        <v>0.1</v>
      </c>
      <c r="L5" t="n">
        <v>2152.983216915587</v>
      </c>
      <c r="M5" t="n">
        <v>-1559.99479097954</v>
      </c>
      <c r="N5" t="n">
        <v>193.6429591964794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LABU</t>
        </is>
      </c>
      <c r="C6" t="inlineStr">
        <is>
          <t>XBI</t>
        </is>
      </c>
      <c r="D6" t="n">
        <v>80.83625030517578</v>
      </c>
      <c r="E6" t="n">
        <v>-130.4246978759766</v>
      </c>
      <c r="F6" t="n">
        <v>3382</v>
      </c>
      <c r="G6" t="n">
        <v>-676</v>
      </c>
      <c r="H6">
        <f>D6*F6</f>
        <v/>
      </c>
      <c r="I6">
        <f>E6*G6</f>
        <v/>
      </c>
      <c r="J6">
        <f>H6-I6</f>
        <v/>
      </c>
      <c r="K6" t="n">
        <v>0.1</v>
      </c>
      <c r="L6" t="n">
        <v>-6358.134599528608</v>
      </c>
      <c r="M6" t="n">
        <v>5154.649252519929</v>
      </c>
      <c r="N6" t="n">
        <v>230.4875619212269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LABU</t>
        </is>
      </c>
      <c r="C7" t="inlineStr">
        <is>
          <t>XBI</t>
        </is>
      </c>
      <c r="D7" t="n">
        <v>83.13392639160156</v>
      </c>
      <c r="E7" t="n">
        <v>-140.6387023925781</v>
      </c>
      <c r="F7" t="n">
        <v>3382</v>
      </c>
      <c r="G7" t="n">
        <v>-676</v>
      </c>
      <c r="H7">
        <f>D7*F7</f>
        <v/>
      </c>
      <c r="I7">
        <f>E7*G7</f>
        <v/>
      </c>
      <c r="J7">
        <f>H7-I7</f>
        <v/>
      </c>
      <c r="K7" t="n">
        <v>0.1</v>
      </c>
      <c r="L7" t="n">
        <v>7771.067734812077</v>
      </c>
      <c r="M7" t="n">
        <v>-6537.607979586445</v>
      </c>
      <c r="N7" t="n">
        <v>211.9981830932772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LABU</t>
        </is>
      </c>
      <c r="C8" t="inlineStr">
        <is>
          <t>XBI</t>
        </is>
      </c>
      <c r="D8" t="n">
        <v>83.92966461181641</v>
      </c>
      <c r="E8" t="n">
        <v>-144.17431640625</v>
      </c>
      <c r="F8" t="n">
        <v>3382</v>
      </c>
      <c r="G8" t="n">
        <v>-676</v>
      </c>
      <c r="H8">
        <f>D8*F8</f>
        <v/>
      </c>
      <c r="I8">
        <f>E8*G8</f>
        <v/>
      </c>
      <c r="J8">
        <f>H8-I8</f>
        <v/>
      </c>
      <c r="K8" t="n">
        <v>0.1</v>
      </c>
      <c r="L8" t="n">
        <v>2691.299981316189</v>
      </c>
      <c r="M8" t="n">
        <v>-2263.016268589789</v>
      </c>
      <c r="N8" t="n">
        <v>130.7471021757596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LABU</t>
        </is>
      </c>
      <c r="C9" t="inlineStr">
        <is>
          <t>XBI</t>
        </is>
      </c>
      <c r="D9" t="n">
        <v>87.45078277587891</v>
      </c>
      <c r="E9" t="n">
        <v>-162.0487670898438</v>
      </c>
      <c r="F9" t="n">
        <v>3382</v>
      </c>
      <c r="G9" t="n">
        <v>-676</v>
      </c>
      <c r="H9">
        <f>D9*F9</f>
        <v/>
      </c>
      <c r="I9">
        <f>E9*G9</f>
        <v/>
      </c>
      <c r="J9">
        <f>H9-I9</f>
        <v/>
      </c>
      <c r="K9" t="n">
        <v>0.1</v>
      </c>
      <c r="L9" t="n">
        <v>11908.92307095032</v>
      </c>
      <c r="M9" t="n">
        <v>-11440.77733956864</v>
      </c>
      <c r="N9" t="n">
        <v>204.0515947999359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LABU</t>
        </is>
      </c>
      <c r="C10" t="inlineStr">
        <is>
          <t>XBI</t>
        </is>
      </c>
      <c r="D10" t="n">
        <v>87.41098785400391</v>
      </c>
      <c r="E10" t="n">
        <v>-161.6559295654297</v>
      </c>
      <c r="F10" t="n">
        <v>3382</v>
      </c>
      <c r="G10" t="n">
        <v>-676</v>
      </c>
      <c r="H10">
        <f>D10*F10</f>
        <v/>
      </c>
      <c r="I10">
        <f>E10*G10</f>
        <v/>
      </c>
      <c r="J10">
        <f>H10-I10</f>
        <v/>
      </c>
      <c r="K10" t="n">
        <v>0.1</v>
      </c>
      <c r="L10" t="n">
        <v>-134.5920929495512</v>
      </c>
      <c r="M10" t="n">
        <v>251.4408261829187</v>
      </c>
      <c r="N10" t="n">
        <v>193.0431289559497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LABU</t>
        </is>
      </c>
      <c r="C11" t="inlineStr">
        <is>
          <t>XBI</t>
        </is>
      </c>
      <c r="D11" t="n">
        <v>86.39641571044922</v>
      </c>
      <c r="E11" t="n">
        <v>-156.9417877197266</v>
      </c>
      <c r="F11" t="n">
        <v>3391</v>
      </c>
      <c r="G11" t="n">
        <v>-614</v>
      </c>
      <c r="H11">
        <f>D11*F11</f>
        <v/>
      </c>
      <c r="I11">
        <f>E11*G11</f>
        <v/>
      </c>
      <c r="J11">
        <f>H11-I11</f>
        <v/>
      </c>
      <c r="K11" t="n">
        <v>0.1</v>
      </c>
      <c r="L11" t="n">
        <v>-3440.559007831348</v>
      </c>
      <c r="M11" t="n">
        <v>2740.609448858773</v>
      </c>
      <c r="N11" t="n">
        <v>104.0965769032447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LABU</t>
        </is>
      </c>
      <c r="C12" t="inlineStr">
        <is>
          <t>XBI</t>
        </is>
      </c>
      <c r="D12" t="n">
        <v>85.32218170166016</v>
      </c>
      <c r="E12" t="n">
        <v>-150.8527069091797</v>
      </c>
      <c r="F12" t="n">
        <v>3391</v>
      </c>
      <c r="G12" t="n">
        <v>-614</v>
      </c>
      <c r="H12">
        <f>D12*F12</f>
        <v/>
      </c>
      <c r="I12">
        <f>E12*G12</f>
        <v/>
      </c>
      <c r="J12">
        <f>H12-I12</f>
        <v/>
      </c>
      <c r="K12" t="n">
        <v>0.1</v>
      </c>
      <c r="L12" t="n">
        <v>-3642.880911857766</v>
      </c>
      <c r="M12" t="n">
        <v>3539.942782896975</v>
      </c>
      <c r="N12" t="n">
        <v>-139.0870557549888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LABU</t>
        </is>
      </c>
      <c r="C13" t="inlineStr">
        <is>
          <t>XBI</t>
        </is>
      </c>
      <c r="D13" t="n">
        <v>84.43692779541016</v>
      </c>
      <c r="E13" t="n">
        <v>-146.3349456787109</v>
      </c>
      <c r="F13" t="n">
        <v>3391</v>
      </c>
      <c r="G13" t="n">
        <v>-614</v>
      </c>
      <c r="H13">
        <f>D13*F13</f>
        <v/>
      </c>
      <c r="I13">
        <f>E13*G13</f>
        <v/>
      </c>
      <c r="J13">
        <f>H13-I13</f>
        <v/>
      </c>
      <c r="K13" t="n">
        <v>0.1</v>
      </c>
      <c r="L13" t="n">
        <v>-3002.02239999915</v>
      </c>
      <c r="M13" t="n">
        <v>2626.441783289993</v>
      </c>
      <c r="N13" t="n">
        <v>-5.329629813555107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LABU</t>
        </is>
      </c>
      <c r="C14" t="inlineStr">
        <is>
          <t>XBI</t>
        </is>
      </c>
      <c r="D14" t="n">
        <v>86.52574157714844</v>
      </c>
      <c r="E14" t="n">
        <v>-153.9954528808594</v>
      </c>
      <c r="F14" t="n">
        <v>3391</v>
      </c>
      <c r="G14" t="n">
        <v>-614</v>
      </c>
      <c r="H14">
        <f>D14*F14</f>
        <v/>
      </c>
      <c r="I14">
        <f>E14*G14</f>
        <v/>
      </c>
      <c r="J14">
        <f>H14-I14</f>
        <v/>
      </c>
      <c r="K14" t="n">
        <v>0.1</v>
      </c>
      <c r="L14" t="n">
        <v>7083.465792055359</v>
      </c>
      <c r="M14" t="n">
        <v>-4453.505878359356</v>
      </c>
      <c r="N14" t="n">
        <v>314.0600073506614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LABU</t>
        </is>
      </c>
      <c r="C15" t="inlineStr">
        <is>
          <t>XBI</t>
        </is>
      </c>
      <c r="D15" t="n">
        <v>86.69482421875</v>
      </c>
      <c r="E15" t="n">
        <v>-155.5668334960938</v>
      </c>
      <c r="F15" t="n">
        <v>3391</v>
      </c>
      <c r="G15" t="n">
        <v>-638</v>
      </c>
      <c r="H15">
        <f>D15*F15</f>
        <v/>
      </c>
      <c r="I15">
        <f>E15*G15</f>
        <v/>
      </c>
      <c r="J15">
        <f>H15-I15</f>
        <v/>
      </c>
      <c r="K15" t="n">
        <v>0.1</v>
      </c>
      <c r="L15" t="n">
        <v>573.3833806948185</v>
      </c>
      <c r="M15" t="n">
        <v>-949.2447493875663</v>
      </c>
      <c r="N15" t="n">
        <v>217.2884293369261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LABU</t>
        </is>
      </c>
      <c r="C16" t="inlineStr">
        <is>
          <t>XBI</t>
        </is>
      </c>
      <c r="D16" t="n">
        <v>88.34597015380859</v>
      </c>
      <c r="E16" t="n">
        <v>-165.1915283203125</v>
      </c>
      <c r="F16" t="n">
        <v>3391</v>
      </c>
      <c r="G16" t="n">
        <v>-638</v>
      </c>
      <c r="H16">
        <f>D16*F16</f>
        <v/>
      </c>
      <c r="I16">
        <f>E16*G16</f>
        <v/>
      </c>
      <c r="J16">
        <f>H16-I16</f>
        <v/>
      </c>
      <c r="K16" t="n">
        <v>0.1</v>
      </c>
      <c r="L16" t="n">
        <v>5599.271630114245</v>
      </c>
      <c r="M16" t="n">
        <v>-5814.117176814384</v>
      </c>
      <c r="N16" t="n">
        <v>-18.70664759856053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LABU</t>
        </is>
      </c>
      <c r="C17" t="inlineStr">
        <is>
          <t>XBI</t>
        </is>
      </c>
      <c r="D17" t="n">
        <v>88.425537109375</v>
      </c>
      <c r="E17" t="n">
        <v>-164.2094421386719</v>
      </c>
      <c r="F17" t="n">
        <v>3391</v>
      </c>
      <c r="G17" t="n">
        <v>-638</v>
      </c>
      <c r="H17">
        <f>D17*F17</f>
        <v/>
      </c>
      <c r="I17">
        <f>E17*G17</f>
        <v/>
      </c>
      <c r="J17">
        <f>H17-I17</f>
        <v/>
      </c>
      <c r="K17" t="n">
        <v>0.1</v>
      </c>
      <c r="L17" t="n">
        <v>269.8229075564598</v>
      </c>
      <c r="M17" t="n">
        <v>593.2618376034894</v>
      </c>
      <c r="N17" t="n">
        <v>5.850007718872775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LABU</t>
        </is>
      </c>
      <c r="C18" t="inlineStr">
        <is>
          <t>XBI</t>
        </is>
      </c>
      <c r="D18" t="n">
        <v>88.1171875</v>
      </c>
      <c r="E18" t="n">
        <v>-162.8344879150391</v>
      </c>
      <c r="F18" t="n">
        <v>3391</v>
      </c>
      <c r="G18" t="n">
        <v>-638</v>
      </c>
      <c r="H18">
        <f>D18*F18</f>
        <v/>
      </c>
      <c r="I18">
        <f>E18*G18</f>
        <v/>
      </c>
      <c r="J18">
        <f>H18-I18</f>
        <v/>
      </c>
      <c r="K18" t="n">
        <v>0.1</v>
      </c>
      <c r="L18" t="n">
        <v>-1045.657554108915</v>
      </c>
      <c r="M18" t="n">
        <v>830.5868513193006</v>
      </c>
      <c r="N18" t="n">
        <v>206.9072618323148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LABU</t>
        </is>
      </c>
      <c r="C19" t="inlineStr">
        <is>
          <t>XBI</t>
        </is>
      </c>
      <c r="D19" t="n">
        <v>88.91291046142578</v>
      </c>
      <c r="E19" t="n">
        <v>-167.1557769775391</v>
      </c>
      <c r="F19" t="n">
        <v>3391</v>
      </c>
      <c r="G19" t="n">
        <v>-638</v>
      </c>
      <c r="H19">
        <f>D19*F19</f>
        <v/>
      </c>
      <c r="I19">
        <f>E19*G19</f>
        <v/>
      </c>
      <c r="J19">
        <f>H19-I19</f>
        <v/>
      </c>
      <c r="K19" t="n">
        <v>0.1</v>
      </c>
      <c r="L19" t="n">
        <v>2698.410182128304</v>
      </c>
      <c r="M19" t="n">
        <v>-2610.418452026167</v>
      </c>
      <c r="N19" t="n">
        <v>336.1447966400239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LABU</t>
        </is>
      </c>
      <c r="C20" t="inlineStr">
        <is>
          <t>XBI</t>
        </is>
      </c>
      <c r="D20" t="n">
        <v>86.63513946533203</v>
      </c>
      <c r="E20" t="n">
        <v>-154.5847015380859</v>
      </c>
      <c r="F20" t="n">
        <v>3537</v>
      </c>
      <c r="G20" t="n">
        <v>-630</v>
      </c>
      <c r="H20">
        <f>D20*F20</f>
        <v/>
      </c>
      <c r="I20">
        <f>E20*G20</f>
        <v/>
      </c>
      <c r="J20">
        <f>H20-I20</f>
        <v/>
      </c>
      <c r="K20" t="n">
        <v>0.1</v>
      </c>
      <c r="L20" t="n">
        <v>-8056.815255460194</v>
      </c>
      <c r="M20" t="n">
        <v>7498.754155271516</v>
      </c>
      <c r="N20" t="n">
        <v>-295.7416112537971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LABU</t>
        </is>
      </c>
      <c r="C21" t="inlineStr">
        <is>
          <t>XBI</t>
        </is>
      </c>
      <c r="D21" t="n">
        <v>88.425537109375</v>
      </c>
      <c r="E21" t="n">
        <v>-164.0130310058594</v>
      </c>
      <c r="F21" t="n">
        <v>3537</v>
      </c>
      <c r="G21" t="n">
        <v>-630</v>
      </c>
      <c r="H21">
        <f>D21*F21</f>
        <v/>
      </c>
      <c r="I21">
        <f>E21*G21</f>
        <v/>
      </c>
      <c r="J21">
        <f>H21-I21</f>
        <v/>
      </c>
      <c r="K21" t="n">
        <v>0.1</v>
      </c>
      <c r="L21" t="n">
        <v>6332.903121781463</v>
      </c>
      <c r="M21" t="n">
        <v>-5624.079269451158</v>
      </c>
      <c r="N21" t="n">
        <v>144.2680117264565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XLE Price</t>
        </is>
      </c>
      <c r="E1" t="inlineStr">
        <is>
          <t>ERX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ERX</t>
        </is>
      </c>
      <c r="C2" t="inlineStr">
        <is>
          <t>XLE</t>
        </is>
      </c>
      <c r="D2" t="n">
        <v>37.87768173217773</v>
      </c>
      <c r="E2" t="n">
        <v>-56.53576278686523</v>
      </c>
      <c r="F2" t="n">
        <v>1856</v>
      </c>
      <c r="G2" t="n">
        <v>-625</v>
      </c>
      <c r="H2">
        <f>D2*F2</f>
        <v/>
      </c>
      <c r="I2">
        <f>E2*G2</f>
        <v/>
      </c>
      <c r="J2">
        <f>H2-I2</f>
        <v/>
      </c>
      <c r="K2" t="n">
        <v>0.12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ERX</t>
        </is>
      </c>
      <c r="C3" t="inlineStr">
        <is>
          <t>XLE</t>
        </is>
      </c>
      <c r="D3" t="n">
        <v>37.87318801879883</v>
      </c>
      <c r="E3" t="n">
        <v>-56.5906982421875</v>
      </c>
      <c r="F3" t="n">
        <v>1856</v>
      </c>
      <c r="G3" t="n">
        <v>-625</v>
      </c>
      <c r="H3">
        <f>D3*F3</f>
        <v/>
      </c>
      <c r="I3">
        <f>E3*G3</f>
        <v/>
      </c>
      <c r="J3">
        <f>H3-I3</f>
        <v/>
      </c>
      <c r="K3" t="n">
        <v>0.12</v>
      </c>
      <c r="L3" t="n">
        <v>0</v>
      </c>
      <c r="M3" t="n">
        <v>0</v>
      </c>
      <c r="N3" t="n">
        <v>-660.7012253759818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ERX</t>
        </is>
      </c>
      <c r="C4" t="inlineStr">
        <is>
          <t>XLE</t>
        </is>
      </c>
      <c r="D4" t="n">
        <v>38.56432342529297</v>
      </c>
      <c r="E4" t="n">
        <v>-58.78803253173828</v>
      </c>
      <c r="F4" t="n">
        <v>1856</v>
      </c>
      <c r="G4" t="n">
        <v>-625</v>
      </c>
      <c r="H4">
        <f>D4*F4</f>
        <v/>
      </c>
      <c r="I4">
        <f>E4*G4</f>
        <v/>
      </c>
      <c r="J4">
        <f>H4-I4</f>
        <v/>
      </c>
      <c r="K4" t="n">
        <v>0.12</v>
      </c>
      <c r="L4" t="n">
        <v>1282.80132840644</v>
      </c>
      <c r="M4" t="n">
        <v>-1300.326112256319</v>
      </c>
      <c r="N4" t="n">
        <v>-91.0373358346221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ERX</t>
        </is>
      </c>
      <c r="C5" t="inlineStr">
        <is>
          <t>XLE</t>
        </is>
      </c>
      <c r="D5" t="n">
        <v>39.29584503173828</v>
      </c>
      <c r="E5" t="n">
        <v>-60.77478408813477</v>
      </c>
      <c r="F5" t="n">
        <v>1856</v>
      </c>
      <c r="G5" t="n">
        <v>-625</v>
      </c>
      <c r="H5">
        <f>D5*F5</f>
        <v/>
      </c>
      <c r="I5">
        <f>E5*G5</f>
        <v/>
      </c>
      <c r="J5">
        <f>H5-I5</f>
        <v/>
      </c>
      <c r="K5" t="n">
        <v>0.12</v>
      </c>
      <c r="L5" t="n">
        <v>1357.761271797924</v>
      </c>
      <c r="M5" t="n">
        <v>-1175.708648262337</v>
      </c>
      <c r="N5" t="n">
        <v>91.1860297571676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ERX</t>
        </is>
      </c>
      <c r="C6" t="inlineStr">
        <is>
          <t>XLE</t>
        </is>
      </c>
      <c r="D6" t="n">
        <v>39.15671920776367</v>
      </c>
      <c r="E6" t="n">
        <v>-60.4268798828125</v>
      </c>
      <c r="F6" t="n">
        <v>1856</v>
      </c>
      <c r="G6" t="n">
        <v>-604</v>
      </c>
      <c r="H6">
        <f>D6*F6</f>
        <v/>
      </c>
      <c r="I6">
        <f>E6*G6</f>
        <v/>
      </c>
      <c r="J6">
        <f>H6-I6</f>
        <v/>
      </c>
      <c r="K6" t="n">
        <v>0.12</v>
      </c>
      <c r="L6" t="n">
        <v>-258.2284023265164</v>
      </c>
      <c r="M6" t="n">
        <v>198.963196915065</v>
      </c>
      <c r="N6" t="n">
        <v>114.4957361044728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ERX</t>
        </is>
      </c>
      <c r="C7" t="inlineStr">
        <is>
          <t>XLE</t>
        </is>
      </c>
      <c r="D7" t="n">
        <v>39.43497467041016</v>
      </c>
      <c r="E7" t="n">
        <v>-61.25088882446289</v>
      </c>
      <c r="F7" t="n">
        <v>1856</v>
      </c>
      <c r="G7" t="n">
        <v>-604</v>
      </c>
      <c r="H7">
        <f>D7*F7</f>
        <v/>
      </c>
      <c r="I7">
        <f>E7*G7</f>
        <v/>
      </c>
      <c r="J7">
        <f>H7-I7</f>
        <v/>
      </c>
      <c r="K7" t="n">
        <v>0.12</v>
      </c>
      <c r="L7" t="n">
        <v>516.463885029286</v>
      </c>
      <c r="M7" t="n">
        <v>-471.2430916593708</v>
      </c>
      <c r="N7" t="n">
        <v>98.99452408160717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ERX</t>
        </is>
      </c>
      <c r="C8" t="inlineStr">
        <is>
          <t>XLE</t>
        </is>
      </c>
      <c r="D8" t="n">
        <v>39.55613708496094</v>
      </c>
      <c r="E8" t="n">
        <v>-61.54386520385742</v>
      </c>
      <c r="F8" t="n">
        <v>1856</v>
      </c>
      <c r="G8" t="n">
        <v>-604</v>
      </c>
      <c r="H8">
        <f>D8*F8</f>
        <v/>
      </c>
      <c r="I8">
        <f>E8*G8</f>
        <v/>
      </c>
      <c r="J8">
        <f>H8-I8</f>
        <v/>
      </c>
      <c r="K8" t="n">
        <v>0.12</v>
      </c>
      <c r="L8" t="n">
        <v>224.8869105507064</v>
      </c>
      <c r="M8" t="n">
        <v>-167.5504813485688</v>
      </c>
      <c r="N8" t="n">
        <v>59.84121850247845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ERX</t>
        </is>
      </c>
      <c r="C9" t="inlineStr">
        <is>
          <t>XLE</t>
        </is>
      </c>
      <c r="D9" t="n">
        <v>40.31010055541992</v>
      </c>
      <c r="E9" t="n">
        <v>-63.88769912719727</v>
      </c>
      <c r="F9" t="n">
        <v>1856</v>
      </c>
      <c r="G9" t="n">
        <v>-604</v>
      </c>
      <c r="H9">
        <f>D9*F9</f>
        <v/>
      </c>
      <c r="I9">
        <f>E9*G9</f>
        <v/>
      </c>
      <c r="J9">
        <f>H9-I9</f>
        <v/>
      </c>
      <c r="K9" t="n">
        <v>0.12</v>
      </c>
      <c r="L9" t="n">
        <v>1399.415125294864</v>
      </c>
      <c r="M9" t="n">
        <v>-1340.416940329033</v>
      </c>
      <c r="N9" t="n">
        <v>86.25474559755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ERX</t>
        </is>
      </c>
      <c r="C10" t="inlineStr">
        <is>
          <t>XLE</t>
        </is>
      </c>
      <c r="D10" t="n">
        <v>40.36845016479492</v>
      </c>
      <c r="E10" t="n">
        <v>-64.107421875</v>
      </c>
      <c r="F10" t="n">
        <v>1856</v>
      </c>
      <c r="G10" t="n">
        <v>-604</v>
      </c>
      <c r="H10">
        <f>D10*F10</f>
        <v/>
      </c>
      <c r="I10">
        <f>E10*G10</f>
        <v/>
      </c>
      <c r="J10">
        <f>H10-I10</f>
        <v/>
      </c>
      <c r="K10" t="n">
        <v>0.12</v>
      </c>
      <c r="L10" t="n">
        <v>108.3014351672944</v>
      </c>
      <c r="M10" t="n">
        <v>-125.6574070362258</v>
      </c>
      <c r="N10" t="n">
        <v>82.08097555919967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ERX</t>
        </is>
      </c>
      <c r="C11" t="inlineStr">
        <is>
          <t>XLE</t>
        </is>
      </c>
      <c r="D11" t="n">
        <v>40.45371627807617</v>
      </c>
      <c r="E11" t="n">
        <v>-64.27223205566406</v>
      </c>
      <c r="F11" t="n">
        <v>1882</v>
      </c>
      <c r="G11" t="n">
        <v>-596</v>
      </c>
      <c r="H11">
        <f>D11*F11</f>
        <v/>
      </c>
      <c r="I11">
        <f>E11*G11</f>
        <v/>
      </c>
      <c r="J11">
        <f>H11-I11</f>
        <v/>
      </c>
      <c r="K11" t="n">
        <v>0.12</v>
      </c>
      <c r="L11" t="n">
        <v>160.4775823044975</v>
      </c>
      <c r="M11" t="n">
        <v>-93.00502818991775</v>
      </c>
      <c r="N11" t="n">
        <v>49.65698763315552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ERX</t>
        </is>
      </c>
      <c r="C12" t="inlineStr">
        <is>
          <t>XLE</t>
        </is>
      </c>
      <c r="D12" t="n">
        <v>39.71321487426758</v>
      </c>
      <c r="E12" t="n">
        <v>-62.04742050170898</v>
      </c>
      <c r="F12" t="n">
        <v>1882</v>
      </c>
      <c r="G12" t="n">
        <v>-596</v>
      </c>
      <c r="H12">
        <f>D12*F12</f>
        <v/>
      </c>
      <c r="I12">
        <f>E12*G12</f>
        <v/>
      </c>
      <c r="J12">
        <f>H12-I12</f>
        <v/>
      </c>
      <c r="K12" t="n">
        <v>0.12</v>
      </c>
      <c r="L12" t="n">
        <v>-1393.682324704028</v>
      </c>
      <c r="M12" t="n">
        <v>1255.496841633923</v>
      </c>
      <c r="N12" t="n">
        <v>-66.63715886521578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ERX</t>
        </is>
      </c>
      <c r="C13" t="inlineStr">
        <is>
          <t>XLE</t>
        </is>
      </c>
      <c r="D13" t="n">
        <v>40.20688629150391</v>
      </c>
      <c r="E13" t="n">
        <v>-63.4116096496582</v>
      </c>
      <c r="F13" t="n">
        <v>1882</v>
      </c>
      <c r="G13" t="n">
        <v>-596</v>
      </c>
      <c r="H13">
        <f>D13*F13</f>
        <v/>
      </c>
      <c r="I13">
        <f>E13*G13</f>
        <v/>
      </c>
      <c r="J13">
        <f>H13-I13</f>
        <v/>
      </c>
      <c r="K13" t="n">
        <v>0.12</v>
      </c>
      <c r="L13" t="n">
        <v>929.1287293652439</v>
      </c>
      <c r="M13" t="n">
        <v>-769.8338151816787</v>
      </c>
      <c r="N13" t="n">
        <v>-2.690152538157914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ERX</t>
        </is>
      </c>
      <c r="C14" t="inlineStr">
        <is>
          <t>XLE</t>
        </is>
      </c>
      <c r="D14" t="n">
        <v>40.60630416870117</v>
      </c>
      <c r="E14" t="n">
        <v>-64.86734771728516</v>
      </c>
      <c r="F14" t="n">
        <v>1882</v>
      </c>
      <c r="G14" t="n">
        <v>-596</v>
      </c>
      <c r="H14">
        <f>D14*F14</f>
        <v/>
      </c>
      <c r="I14">
        <f>E14*G14</f>
        <v/>
      </c>
      <c r="J14">
        <f>H14-I14</f>
        <v/>
      </c>
      <c r="K14" t="n">
        <v>0.12</v>
      </c>
      <c r="L14" t="n">
        <v>751.7360976732466</v>
      </c>
      <c r="M14" t="n">
        <v>-821.4963388260134</v>
      </c>
      <c r="N14" t="n">
        <v>154.0955207303028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ERX</t>
        </is>
      </c>
      <c r="C15" t="inlineStr">
        <is>
          <t>XLE</t>
        </is>
      </c>
      <c r="D15" t="n">
        <v>40.66016006469727</v>
      </c>
      <c r="E15" t="n">
        <v>-64.81241607666016</v>
      </c>
      <c r="F15" t="n">
        <v>1882</v>
      </c>
      <c r="G15" t="n">
        <v>-596</v>
      </c>
      <c r="H15">
        <f>D15*F15</f>
        <v/>
      </c>
      <c r="I15">
        <f>E15*G15</f>
        <v/>
      </c>
      <c r="J15">
        <f>H15-I15</f>
        <v/>
      </c>
      <c r="K15" t="n">
        <v>0.12</v>
      </c>
      <c r="L15" t="n">
        <v>101.3610641989484</v>
      </c>
      <c r="M15" t="n">
        <v>30.9988058035093</v>
      </c>
      <c r="N15" t="n">
        <v>101.4809740760945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ERX</t>
        </is>
      </c>
      <c r="C16" t="inlineStr">
        <is>
          <t>XLE</t>
        </is>
      </c>
      <c r="D16" t="n">
        <v>40.50308609008789</v>
      </c>
      <c r="E16" t="n">
        <v>-64.48281860351562</v>
      </c>
      <c r="F16" t="n">
        <v>1882</v>
      </c>
      <c r="G16" t="n">
        <v>-596</v>
      </c>
      <c r="H16">
        <f>D16*F16</f>
        <v/>
      </c>
      <c r="I16">
        <f>E16*G16</f>
        <v/>
      </c>
      <c r="J16">
        <f>H16-I16</f>
        <v/>
      </c>
      <c r="K16" t="n">
        <v>0.12</v>
      </c>
      <c r="L16" t="n">
        <v>-295.6256679030953</v>
      </c>
      <c r="M16" t="n">
        <v>185.9971402107507</v>
      </c>
      <c r="N16" t="n">
        <v>-8.185760492172681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ERX</t>
        </is>
      </c>
      <c r="C17" t="inlineStr">
        <is>
          <t>XLE</t>
        </is>
      </c>
      <c r="D17" t="n">
        <v>40.507568359375</v>
      </c>
      <c r="E17" t="n">
        <v>-64.33631896972656</v>
      </c>
      <c r="F17" t="n">
        <v>1882</v>
      </c>
      <c r="G17" t="n">
        <v>-596</v>
      </c>
      <c r="H17">
        <f>D17*F17</f>
        <v/>
      </c>
      <c r="I17">
        <f>E17*G17</f>
        <v/>
      </c>
      <c r="J17">
        <f>H17-I17</f>
        <v/>
      </c>
      <c r="K17" t="n">
        <v>0.12</v>
      </c>
      <c r="L17" t="n">
        <v>8.435986006074826</v>
      </c>
      <c r="M17" t="n">
        <v>82.67209292208132</v>
      </c>
      <c r="N17" t="n">
        <v>2.569338646976997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ERX</t>
        </is>
      </c>
      <c r="C18" t="inlineStr">
        <is>
          <t>XLE</t>
        </is>
      </c>
      <c r="D18" t="n">
        <v>41.78662490844727</v>
      </c>
      <c r="E18" t="n">
        <v>-68.38309478759766</v>
      </c>
      <c r="F18" t="n">
        <v>1882</v>
      </c>
      <c r="G18" t="n">
        <v>-596</v>
      </c>
      <c r="H18">
        <f>D18*F18</f>
        <v/>
      </c>
      <c r="I18">
        <f>E18*G18</f>
        <v/>
      </c>
      <c r="J18">
        <f>H18-I18</f>
        <v/>
      </c>
      <c r="K18" t="n">
        <v>0.12</v>
      </c>
      <c r="L18" t="n">
        <v>2407.285787130954</v>
      </c>
      <c r="M18" t="n">
        <v>-2283.660496596055</v>
      </c>
      <c r="N18" t="n">
        <v>97.4058228203658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ERX</t>
        </is>
      </c>
      <c r="C19" t="inlineStr">
        <is>
          <t>XLE</t>
        </is>
      </c>
      <c r="D19" t="n">
        <v>40.94289398193359</v>
      </c>
      <c r="E19" t="n">
        <v>-65.69135284423828</v>
      </c>
      <c r="F19" t="n">
        <v>1882</v>
      </c>
      <c r="G19" t="n">
        <v>-596</v>
      </c>
      <c r="H19">
        <f>D19*F19</f>
        <v/>
      </c>
      <c r="I19">
        <f>E19*G19</f>
        <v/>
      </c>
      <c r="J19">
        <f>H19-I19</f>
        <v/>
      </c>
      <c r="K19" t="n">
        <v>0.12</v>
      </c>
      <c r="L19" t="n">
        <v>-1587.96846709585</v>
      </c>
      <c r="M19" t="n">
        <v>1518.993149048295</v>
      </c>
      <c r="N19" t="n">
        <v>148.0880570924418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ERX</t>
        </is>
      </c>
      <c r="C20" t="inlineStr">
        <is>
          <t>XLE</t>
        </is>
      </c>
      <c r="D20" t="n">
        <v>40.00493240356445</v>
      </c>
      <c r="E20" t="n">
        <v>-62.72493743896484</v>
      </c>
      <c r="F20" t="n">
        <v>1969</v>
      </c>
      <c r="G20" t="n">
        <v>-617</v>
      </c>
      <c r="H20">
        <f>D20*F20</f>
        <v/>
      </c>
      <c r="I20">
        <f>E20*G20</f>
        <v/>
      </c>
      <c r="J20">
        <f>H20-I20</f>
        <v/>
      </c>
      <c r="K20" t="n">
        <v>0.12</v>
      </c>
      <c r="L20" t="n">
        <v>-1846.924114857177</v>
      </c>
      <c r="M20" t="n">
        <v>1732.978861942127</v>
      </c>
      <c r="N20" t="n">
        <v>-141.0301670476113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ERX</t>
        </is>
      </c>
      <c r="C21" t="inlineStr">
        <is>
          <t>XLE</t>
        </is>
      </c>
      <c r="D21" t="n">
        <v>40.35947418212891</v>
      </c>
      <c r="E21" t="n">
        <v>-63.64964294433594</v>
      </c>
      <c r="F21" t="n">
        <v>1969</v>
      </c>
      <c r="G21" t="n">
        <v>-617</v>
      </c>
      <c r="H21">
        <f>D21*F21</f>
        <v/>
      </c>
      <c r="I21">
        <f>E21*G21</f>
        <v/>
      </c>
      <c r="J21">
        <f>H21-I21</f>
        <v/>
      </c>
      <c r="K21" t="n">
        <v>0.12</v>
      </c>
      <c r="L21" t="n">
        <v>698.122157299429</v>
      </c>
      <c r="M21" t="n">
        <v>-540.2126389584006</v>
      </c>
      <c r="N21" t="n">
        <v>65.79812594564437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XOP Price</t>
        </is>
      </c>
      <c r="E1" t="inlineStr">
        <is>
          <t>GUSH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GUSH</t>
        </is>
      </c>
      <c r="C2" t="inlineStr">
        <is>
          <t>XOP</t>
        </is>
      </c>
      <c r="D2" t="n">
        <v>118.3479766845703</v>
      </c>
      <c r="E2" t="n">
        <v>-29.70995330810547</v>
      </c>
      <c r="F2" t="n">
        <v>3057</v>
      </c>
      <c r="G2" t="n">
        <v>-6059</v>
      </c>
      <c r="H2">
        <f>D2*F2</f>
        <v/>
      </c>
      <c r="I2">
        <f>E2*G2</f>
        <v/>
      </c>
      <c r="J2">
        <f>H2-I2</f>
        <v/>
      </c>
      <c r="K2" t="n">
        <v>-0.01</v>
      </c>
      <c r="L2" t="n">
        <v>0</v>
      </c>
      <c r="M2" t="n">
        <v>0</v>
      </c>
      <c r="N2" t="n">
        <v>162.6936412056705</v>
      </c>
      <c r="O2" t="n">
        <v>1</v>
      </c>
      <c r="P2">
        <f>SUM($N$2:N2)</f>
        <v/>
      </c>
    </row>
    <row r="3">
      <c r="A3" s="1" t="n">
        <v>44930</v>
      </c>
      <c r="B3" t="inlineStr">
        <is>
          <t>GUSH</t>
        </is>
      </c>
      <c r="C3" t="inlineStr">
        <is>
          <t>XOP</t>
        </is>
      </c>
      <c r="D3" t="n">
        <v>118.7631225585938</v>
      </c>
      <c r="E3" t="n">
        <v>-29.89154815673828</v>
      </c>
      <c r="F3" t="n">
        <v>3057</v>
      </c>
      <c r="G3" t="n">
        <v>-6059</v>
      </c>
      <c r="H3">
        <f>D3*F3</f>
        <v/>
      </c>
      <c r="I3">
        <f>E3*G3</f>
        <v/>
      </c>
      <c r="J3">
        <f>H3-I3</f>
        <v/>
      </c>
      <c r="K3" t="n">
        <v>-0.01</v>
      </c>
      <c r="L3" t="n">
        <v>0</v>
      </c>
      <c r="M3" t="n">
        <v>0</v>
      </c>
      <c r="N3" t="n">
        <v>-0</v>
      </c>
      <c r="O3" t="n">
        <v>0</v>
      </c>
      <c r="P3">
        <f>SUM($N$2:N3)</f>
        <v/>
      </c>
    </row>
    <row r="4">
      <c r="A4" s="1" t="n">
        <v>44931</v>
      </c>
      <c r="B4" t="inlineStr">
        <is>
          <t>GUSH</t>
        </is>
      </c>
      <c r="C4" t="inlineStr">
        <is>
          <t>XOP</t>
        </is>
      </c>
      <c r="D4" t="n">
        <v>118.9384307861328</v>
      </c>
      <c r="E4" t="n">
        <v>-29.97429847717285</v>
      </c>
      <c r="F4" t="n">
        <v>3057</v>
      </c>
      <c r="G4" t="n">
        <v>-6059</v>
      </c>
      <c r="H4">
        <f>D4*F4</f>
        <v/>
      </c>
      <c r="I4">
        <f>E4*G4</f>
        <v/>
      </c>
      <c r="J4">
        <f>H4-I4</f>
        <v/>
      </c>
      <c r="K4" t="n">
        <v>-0.01</v>
      </c>
      <c r="L4" t="n">
        <v>535.939818002826</v>
      </c>
      <c r="M4" t="n">
        <v>-474.7301015397112</v>
      </c>
      <c r="N4" t="n">
        <v>-0</v>
      </c>
      <c r="O4" t="n">
        <v>0</v>
      </c>
      <c r="P4">
        <f>SUM($N$2:N4)</f>
        <v/>
      </c>
    </row>
    <row r="5">
      <c r="A5" s="1" t="n">
        <v>44932</v>
      </c>
      <c r="B5" t="inlineStr">
        <is>
          <t>GUSH</t>
        </is>
      </c>
      <c r="C5" t="inlineStr">
        <is>
          <t>XOP</t>
        </is>
      </c>
      <c r="D5" t="n">
        <v>121.3740234375</v>
      </c>
      <c r="E5" t="n">
        <v>-31.25464820861816</v>
      </c>
      <c r="F5" t="n">
        <v>3057</v>
      </c>
      <c r="G5" t="n">
        <v>-6059</v>
      </c>
      <c r="H5">
        <f>D5*F5</f>
        <v/>
      </c>
      <c r="I5">
        <f>E5*G5</f>
        <v/>
      </c>
      <c r="J5">
        <f>H5-I5</f>
        <v/>
      </c>
      <c r="K5" t="n">
        <v>-0.01</v>
      </c>
      <c r="L5" t="n">
        <v>7445.920255008537</v>
      </c>
      <c r="M5" t="n">
        <v>-7345.23509786251</v>
      </c>
      <c r="N5" t="n">
        <v>0</v>
      </c>
      <c r="O5" t="n">
        <v>1</v>
      </c>
      <c r="P5">
        <f>SUM($N$2:N5)</f>
        <v/>
      </c>
    </row>
    <row r="6">
      <c r="A6" s="1" t="n">
        <v>44935</v>
      </c>
      <c r="B6" t="inlineStr">
        <is>
          <t>GUSH</t>
        </is>
      </c>
      <c r="C6" t="inlineStr">
        <is>
          <t>XOP</t>
        </is>
      </c>
      <c r="D6" t="n">
        <v>122.6102905273438</v>
      </c>
      <c r="E6" t="n">
        <v>-31.85918617248535</v>
      </c>
      <c r="F6" t="n">
        <v>3057</v>
      </c>
      <c r="G6" t="n">
        <v>-6059</v>
      </c>
      <c r="H6">
        <f>D6*F6</f>
        <v/>
      </c>
      <c r="I6">
        <f>E6*G6</f>
        <v/>
      </c>
      <c r="J6">
        <f>H6-I6</f>
        <v/>
      </c>
      <c r="K6" t="n">
        <v>-0.01</v>
      </c>
      <c r="L6" t="n">
        <v>3779.427631176687</v>
      </c>
      <c r="M6" t="n">
        <v>-3468.172297872872</v>
      </c>
      <c r="N6" t="n">
        <v>0</v>
      </c>
      <c r="O6" t="n">
        <v>0</v>
      </c>
      <c r="P6">
        <f>SUM($N$2:N6)</f>
        <v/>
      </c>
    </row>
    <row r="7">
      <c r="A7" s="1" t="n">
        <v>44936</v>
      </c>
      <c r="B7" t="inlineStr">
        <is>
          <t>GUSH</t>
        </is>
      </c>
      <c r="C7" t="inlineStr">
        <is>
          <t>XOP</t>
        </is>
      </c>
      <c r="D7" t="n">
        <v>123.0254516601562</v>
      </c>
      <c r="E7" t="n">
        <v>-32.02928161621094</v>
      </c>
      <c r="F7" t="n">
        <v>3057</v>
      </c>
      <c r="G7" t="n">
        <v>-6059</v>
      </c>
      <c r="H7">
        <f>D7*F7</f>
        <v/>
      </c>
      <c r="I7">
        <f>E7*G7</f>
        <v/>
      </c>
      <c r="J7">
        <f>H7-I7</f>
        <v/>
      </c>
      <c r="K7" t="n">
        <v>-0.01</v>
      </c>
      <c r="L7" t="n">
        <v>1269.201024303324</v>
      </c>
      <c r="M7" t="n">
        <v>-975.8201158282793</v>
      </c>
      <c r="N7" t="n">
        <v>0</v>
      </c>
      <c r="O7" t="n">
        <v>0</v>
      </c>
      <c r="P7">
        <f>SUM($N$2:N7)</f>
        <v/>
      </c>
    </row>
    <row r="8">
      <c r="A8" s="1" t="n">
        <v>44937</v>
      </c>
      <c r="B8" t="inlineStr">
        <is>
          <t>GUSH</t>
        </is>
      </c>
      <c r="C8" t="inlineStr">
        <is>
          <t>XOP</t>
        </is>
      </c>
      <c r="D8" t="n">
        <v>123.9849243164062</v>
      </c>
      <c r="E8" t="n">
        <v>-32.53498458862305</v>
      </c>
      <c r="F8" t="n">
        <v>3057</v>
      </c>
      <c r="G8" t="n">
        <v>-6059</v>
      </c>
      <c r="H8">
        <f>D8*F8</f>
        <v/>
      </c>
      <c r="I8">
        <f>E8*G8</f>
        <v/>
      </c>
      <c r="J8">
        <f>H8-I8</f>
        <v/>
      </c>
      <c r="K8" t="n">
        <v>-0.01</v>
      </c>
      <c r="L8" t="n">
        <v>2933.231417531351</v>
      </c>
      <c r="M8" t="n">
        <v>-2901.166088316925</v>
      </c>
      <c r="N8" t="n">
        <v>0</v>
      </c>
      <c r="O8" t="n">
        <v>0</v>
      </c>
      <c r="P8">
        <f>SUM($N$2:N8)</f>
        <v/>
      </c>
    </row>
    <row r="9">
      <c r="A9" s="1" t="n">
        <v>44938</v>
      </c>
      <c r="B9" t="inlineStr">
        <is>
          <t>GUSH</t>
        </is>
      </c>
      <c r="C9" t="inlineStr">
        <is>
          <t>XOP</t>
        </is>
      </c>
      <c r="D9" t="n">
        <v>127.6475601196289</v>
      </c>
      <c r="E9" t="n">
        <v>-34.44286727905273</v>
      </c>
      <c r="F9" t="n">
        <v>3057</v>
      </c>
      <c r="G9" t="n">
        <v>-6059</v>
      </c>
      <c r="H9">
        <f>D9*F9</f>
        <v/>
      </c>
      <c r="I9">
        <f>E9*G9</f>
        <v/>
      </c>
      <c r="J9">
        <f>H9-I9</f>
        <v/>
      </c>
      <c r="K9" t="n">
        <v>-0.01</v>
      </c>
      <c r="L9" t="n">
        <v>11197.14912041077</v>
      </c>
      <c r="M9" t="n">
        <v>-10945.32732437807</v>
      </c>
      <c r="N9" t="n">
        <v>0</v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GUSH</t>
        </is>
      </c>
      <c r="C10" t="inlineStr">
        <is>
          <t>XOP</t>
        </is>
      </c>
      <c r="D10" t="n">
        <v>128.3210296630859</v>
      </c>
      <c r="E10" t="n">
        <v>-34.81524276733398</v>
      </c>
      <c r="F10" t="n">
        <v>3057</v>
      </c>
      <c r="G10" t="n">
        <v>-6059</v>
      </c>
      <c r="H10">
        <f>D10*F10</f>
        <v/>
      </c>
      <c r="I10">
        <f>E10*G10</f>
        <v/>
      </c>
      <c r="J10">
        <f>H10-I10</f>
        <v/>
      </c>
      <c r="K10" t="n">
        <v>-0.01</v>
      </c>
      <c r="L10" t="n">
        <v>2058.883086193901</v>
      </c>
      <c r="M10" t="n">
        <v>-2136.279985796955</v>
      </c>
      <c r="N10" t="n">
        <v>0</v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GUSH</t>
        </is>
      </c>
      <c r="C11" t="inlineStr">
        <is>
          <t>XOP</t>
        </is>
      </c>
      <c r="D11" t="n">
        <v>128.9299163818359</v>
      </c>
      <c r="E11" t="n">
        <v>-35.07498931884766</v>
      </c>
      <c r="F11" t="n">
        <v>3048</v>
      </c>
      <c r="G11" t="n">
        <v>-5589</v>
      </c>
      <c r="H11">
        <f>D11*F11</f>
        <v/>
      </c>
      <c r="I11">
        <f>E11*G11</f>
        <v/>
      </c>
      <c r="J11">
        <f>H11-I11</f>
        <v/>
      </c>
      <c r="K11" t="n">
        <v>-0.01</v>
      </c>
      <c r="L11" t="n">
        <v>1855.964866470486</v>
      </c>
      <c r="M11" t="n">
        <v>-1374.548390295043</v>
      </c>
      <c r="N11" t="n">
        <v>0</v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GUSH</t>
        </is>
      </c>
      <c r="C12" t="inlineStr">
        <is>
          <t>XOP</t>
        </is>
      </c>
      <c r="D12" t="n">
        <v>126.4113159179688</v>
      </c>
      <c r="E12" t="n">
        <v>-33.75326538085938</v>
      </c>
      <c r="F12" t="n">
        <v>3048</v>
      </c>
      <c r="G12" t="n">
        <v>-5589</v>
      </c>
      <c r="H12">
        <f>D12*F12</f>
        <v/>
      </c>
      <c r="I12">
        <f>E12*G12</f>
        <v/>
      </c>
      <c r="J12">
        <f>H12-I12</f>
        <v/>
      </c>
      <c r="K12" t="n">
        <v>-0.01</v>
      </c>
      <c r="L12" t="n">
        <v>-7677.017464283078</v>
      </c>
      <c r="M12" t="n">
        <v>6994.408590947511</v>
      </c>
      <c r="N12" t="n">
        <v>-0</v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GUSH</t>
        </is>
      </c>
      <c r="C13" t="inlineStr">
        <is>
          <t>XOP</t>
        </is>
      </c>
      <c r="D13" t="n">
        <v>128.8745574951172</v>
      </c>
      <c r="E13" t="n">
        <v>-35.03131484985352</v>
      </c>
      <c r="F13" t="n">
        <v>3048</v>
      </c>
      <c r="G13" t="n">
        <v>-5589</v>
      </c>
      <c r="H13">
        <f>D13*F13</f>
        <v/>
      </c>
      <c r="I13">
        <f>E13*G13</f>
        <v/>
      </c>
      <c r="J13">
        <f>H13-I13</f>
        <v/>
      </c>
      <c r="K13" t="n">
        <v>-0.01</v>
      </c>
      <c r="L13" t="n">
        <v>7508.27647251396</v>
      </c>
      <c r="M13" t="n">
        <v>-6763.288405893863</v>
      </c>
      <c r="N13" t="n">
        <v>-0</v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GUSH</t>
        </is>
      </c>
      <c r="C14" t="inlineStr">
        <is>
          <t>XOP</t>
        </is>
      </c>
      <c r="D14" t="n">
        <v>130.7289581298828</v>
      </c>
      <c r="E14" t="n">
        <v>-36.04731750488281</v>
      </c>
      <c r="F14" t="n">
        <v>3048</v>
      </c>
      <c r="G14" t="n">
        <v>-5589</v>
      </c>
      <c r="H14">
        <f>D14*F14</f>
        <v/>
      </c>
      <c r="I14">
        <f>E14*G14</f>
        <v/>
      </c>
      <c r="J14">
        <f>H14-I14</f>
        <v/>
      </c>
      <c r="K14" t="n">
        <v>-0.01</v>
      </c>
      <c r="L14" t="n">
        <v>5652.45113828584</v>
      </c>
      <c r="M14" t="n">
        <v>-5376.567295571975</v>
      </c>
      <c r="N14" t="n">
        <v>0</v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GUSH</t>
        </is>
      </c>
      <c r="C15" t="inlineStr">
        <is>
          <t>XOP</t>
        </is>
      </c>
      <c r="D15" t="n">
        <v>132.6110076904297</v>
      </c>
      <c r="E15" t="n">
        <v>-37.05411148071289</v>
      </c>
      <c r="F15" t="n">
        <v>3048</v>
      </c>
      <c r="G15" t="n">
        <v>-5589</v>
      </c>
      <c r="H15">
        <f>D15*F15</f>
        <v/>
      </c>
      <c r="I15">
        <f>E15*G15</f>
        <v/>
      </c>
      <c r="J15">
        <f>H15-I15</f>
        <v/>
      </c>
      <c r="K15" t="n">
        <v>-0.01</v>
      </c>
      <c r="L15" t="n">
        <v>5736.728612675488</v>
      </c>
      <c r="M15" t="n">
        <v>-5327.836041600493</v>
      </c>
      <c r="N15" t="n">
        <v>0</v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GUSH</t>
        </is>
      </c>
      <c r="C16" t="inlineStr">
        <is>
          <t>XOP</t>
        </is>
      </c>
      <c r="D16" t="n">
        <v>131.1809692382812</v>
      </c>
      <c r="E16" t="n">
        <v>-36.2725830078125</v>
      </c>
      <c r="F16" t="n">
        <v>3048</v>
      </c>
      <c r="G16" t="n">
        <v>-5589</v>
      </c>
      <c r="H16">
        <f>D16*F16</f>
        <v/>
      </c>
      <c r="I16">
        <f>E16*G16</f>
        <v/>
      </c>
      <c r="J16">
        <f>H16-I16</f>
        <v/>
      </c>
      <c r="K16" t="n">
        <v>-0.01</v>
      </c>
      <c r="L16" t="n">
        <v>-4358.940740796599</v>
      </c>
      <c r="M16" t="n">
        <v>4135.757330115819</v>
      </c>
      <c r="N16" t="n">
        <v>-0</v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GUSH</t>
        </is>
      </c>
      <c r="C17" t="inlineStr">
        <is>
          <t>XOP</t>
        </is>
      </c>
      <c r="D17" t="n">
        <v>131.0426177978516</v>
      </c>
      <c r="E17" t="n">
        <v>-36.16683578491211</v>
      </c>
      <c r="F17" t="n">
        <v>3048</v>
      </c>
      <c r="G17" t="n">
        <v>-5589</v>
      </c>
      <c r="H17">
        <f>D17*F17</f>
        <v/>
      </c>
      <c r="I17">
        <f>E17*G17</f>
        <v/>
      </c>
      <c r="J17">
        <f>H17-I17</f>
        <v/>
      </c>
      <c r="K17" t="n">
        <v>-0.01</v>
      </c>
      <c r="L17" t="n">
        <v>-421.7129471804304</v>
      </c>
      <c r="M17" t="n">
        <v>559.6019433900057</v>
      </c>
      <c r="N17" t="n">
        <v>0</v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GUSH</t>
        </is>
      </c>
      <c r="C18" t="inlineStr">
        <is>
          <t>XOP</t>
        </is>
      </c>
      <c r="D18" t="n">
        <v>134.1886138916016</v>
      </c>
      <c r="E18" t="n">
        <v>-37.95059585571289</v>
      </c>
      <c r="F18" t="n">
        <v>3048</v>
      </c>
      <c r="G18" t="n">
        <v>-5589</v>
      </c>
      <c r="H18">
        <f>D18*F18</f>
        <v/>
      </c>
      <c r="I18">
        <f>E18*G18</f>
        <v/>
      </c>
      <c r="J18">
        <f>H18-I18</f>
        <v/>
      </c>
      <c r="K18" t="n">
        <v>-0.01</v>
      </c>
      <c r="L18" t="n">
        <v>9589.399867417274</v>
      </c>
      <c r="M18" t="n">
        <v>-9439.449800983133</v>
      </c>
      <c r="N18" t="n">
        <v>0</v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GUSH</t>
        </is>
      </c>
      <c r="C19" t="inlineStr">
        <is>
          <t>XOP</t>
        </is>
      </c>
      <c r="D19" t="n">
        <v>132.3619232177734</v>
      </c>
      <c r="E19" t="n">
        <v>-36.82195663452148</v>
      </c>
      <c r="F19" t="n">
        <v>3048</v>
      </c>
      <c r="G19" t="n">
        <v>-5589</v>
      </c>
      <c r="H19">
        <f>D19*F19</f>
        <v/>
      </c>
      <c r="I19">
        <f>E19*G19</f>
        <v/>
      </c>
      <c r="J19">
        <f>H19-I19</f>
        <v/>
      </c>
      <c r="K19" t="n">
        <v>-0.01</v>
      </c>
      <c r="L19" t="n">
        <v>-5567.98762090637</v>
      </c>
      <c r="M19" t="n">
        <v>5972.626838246362</v>
      </c>
      <c r="N19" t="n">
        <v>0</v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GUSH</t>
        </is>
      </c>
      <c r="C20" t="inlineStr">
        <is>
          <t>XOP</t>
        </is>
      </c>
      <c r="D20" t="n">
        <v>128.0811614990234</v>
      </c>
      <c r="E20" t="n">
        <v>-34.48883056640625</v>
      </c>
      <c r="F20" t="n">
        <v>3135</v>
      </c>
      <c r="G20" t="n">
        <v>-5607</v>
      </c>
      <c r="H20">
        <f>D20*F20</f>
        <v/>
      </c>
      <c r="I20">
        <f>E20*G20</f>
        <v/>
      </c>
      <c r="J20">
        <f>H20-I20</f>
        <v/>
      </c>
      <c r="K20" t="n">
        <v>-0.01</v>
      </c>
      <c r="L20" t="n">
        <v>-13420.75308586462</v>
      </c>
      <c r="M20" t="n">
        <v>12386.39415160739</v>
      </c>
      <c r="N20" t="n">
        <v>-0</v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GUSH</t>
        </is>
      </c>
      <c r="C21" t="inlineStr">
        <is>
          <t>XOP</t>
        </is>
      </c>
      <c r="D21" t="n">
        <v>130.0554809570312</v>
      </c>
      <c r="E21" t="n">
        <v>-35.57608795166016</v>
      </c>
      <c r="F21" t="n">
        <v>3135</v>
      </c>
      <c r="G21" t="n">
        <v>-5607</v>
      </c>
      <c r="H21">
        <f>D21*F21</f>
        <v/>
      </c>
      <c r="I21">
        <f>E21*G21</f>
        <v/>
      </c>
      <c r="J21">
        <f>H21-I21</f>
        <v/>
      </c>
      <c r="K21" t="n">
        <v>-0.01</v>
      </c>
      <c r="L21" t="n">
        <v>6189.75212810446</v>
      </c>
      <c r="M21" t="n">
        <v>-5772.169237678663</v>
      </c>
      <c r="N21" t="n">
        <v>0</v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total_long_notional_usd</t>
        </is>
      </c>
      <c r="C1" t="inlineStr">
        <is>
          <t>benchmark_rate_annual</t>
        </is>
      </c>
      <c r="D1" t="inlineStr">
        <is>
          <t>margin_spread_annual</t>
        </is>
      </c>
      <c r="E1" t="inlineStr">
        <is>
          <t>effective_margin_rate_annual</t>
        </is>
      </c>
      <c r="F1" t="inlineStr">
        <is>
          <t>daily_portfolio_margin_usd</t>
        </is>
      </c>
      <c r="G1" t="inlineStr">
        <is>
          <t>daily_txn_pairs_sum_usd</t>
        </is>
      </c>
      <c r="H1" t="inlineStr">
        <is>
          <t>book_daily_txn_cost_usd</t>
        </is>
      </c>
      <c r="I1" t="inlineStr">
        <is>
          <t>book_daily_net_margin_usd</t>
        </is>
      </c>
      <c r="J1" t="inlineStr">
        <is>
          <t>book_txn_plus_net_margin_usd</t>
        </is>
      </c>
      <c r="K1" t="inlineStr">
        <is>
          <t>sum_pair_daily_net_pnl_usd</t>
        </is>
      </c>
      <c r="L1" t="inlineStr">
        <is>
          <t>net_after_portfolio_margin_and_pair_txn_usd</t>
        </is>
      </c>
      <c r="M1" t="inlineStr">
        <is>
          <t>fund_daily_pnl_usd</t>
        </is>
      </c>
      <c r="N1" t="inlineStr">
        <is>
          <t>diff_model_net_minus_fund_usd</t>
        </is>
      </c>
    </row>
    <row r="2">
      <c r="A2" s="1" t="n">
        <v>44929</v>
      </c>
      <c r="B2">
        <f>SUMIFS(ALL_PAIRS!$H:$H,ALL_PAIRS!$A:$A,$A2)</f>
        <v/>
      </c>
      <c r="C2">
        <f>AVERAGEIFS(ALL_PAIRS!$Q:$Q,ALL_PAIRS!$A:$A,$A2)</f>
        <v/>
      </c>
      <c r="D2" t="n">
        <v>0.0045</v>
      </c>
      <c r="E2">
        <f>C2+D2</f>
        <v/>
      </c>
      <c r="F2">
        <f>B2*E2/252</f>
        <v/>
      </c>
      <c r="G2">
        <f>SUMIFS(ALL_PAIRS!$R:$R,ALL_PAIRS!$A:$A,$A2)</f>
        <v/>
      </c>
      <c r="H2" t="n">
        <v>26527.2353154625</v>
      </c>
      <c r="I2" t="n">
        <v>21670.10314395437</v>
      </c>
      <c r="J2">
        <f>H2+I2</f>
        <v/>
      </c>
      <c r="K2">
        <f>SUMIFS(ALL_PAIRS!$S:$S,ALL_PAIRS!$A:$A,$A2)</f>
        <v/>
      </c>
      <c r="L2">
        <f>K2-F2-G2</f>
        <v/>
      </c>
      <c r="M2" t="n">
        <v>-52427.3731307643</v>
      </c>
      <c r="N2" t="n">
        <v>7.275957614183426e-12</v>
      </c>
    </row>
    <row r="3">
      <c r="A3" s="1" t="n">
        <v>44930</v>
      </c>
      <c r="B3">
        <f>SUMIFS(ALL_PAIRS!$H:$H,ALL_PAIRS!$A:$A,$A3)</f>
        <v/>
      </c>
      <c r="C3">
        <f>AVERAGEIFS(ALL_PAIRS!$Q:$Q,ALL_PAIRS!$A:$A,$A3)</f>
        <v/>
      </c>
      <c r="D3" t="n">
        <v>0.0045</v>
      </c>
      <c r="E3">
        <f>C3+D3</f>
        <v/>
      </c>
      <c r="F3">
        <f>B3*E3/252</f>
        <v/>
      </c>
      <c r="G3">
        <f>SUMIFS(ALL_PAIRS!$R:$R,ALL_PAIRS!$A:$A,$A3)</f>
        <v/>
      </c>
      <c r="H3" t="n">
        <v>-130876.6210139994</v>
      </c>
      <c r="I3" t="n">
        <v>-106913.1344740041</v>
      </c>
      <c r="J3">
        <f>H3+I3</f>
        <v/>
      </c>
      <c r="K3">
        <f>SUMIFS(ALL_PAIRS!$S:$S,ALL_PAIRS!$A:$A,$A3)</f>
        <v/>
      </c>
      <c r="L3">
        <f>K3-F3-G3</f>
        <v/>
      </c>
      <c r="M3" t="n">
        <v>258659.35</v>
      </c>
      <c r="N3" t="n">
        <v>-2.91038304567337e-11</v>
      </c>
    </row>
    <row r="4">
      <c r="A4" s="1" t="n">
        <v>44931</v>
      </c>
      <c r="B4">
        <f>SUMIFS(ALL_PAIRS!$H:$H,ALL_PAIRS!$A:$A,$A4)</f>
        <v/>
      </c>
      <c r="C4">
        <f>AVERAGEIFS(ALL_PAIRS!$Q:$Q,ALL_PAIRS!$A:$A,$A4)</f>
        <v/>
      </c>
      <c r="D4" t="n">
        <v>0.0045</v>
      </c>
      <c r="E4">
        <f>C4+D4</f>
        <v/>
      </c>
      <c r="F4">
        <f>B4*E4/252</f>
        <v/>
      </c>
      <c r="G4">
        <f>SUMIFS(ALL_PAIRS!$R:$R,ALL_PAIRS!$A:$A,$A4)</f>
        <v/>
      </c>
      <c r="H4" t="n">
        <v>-15963.14141104037</v>
      </c>
      <c r="I4" t="n">
        <v>-13040.29299567221</v>
      </c>
      <c r="J4">
        <f>H4+I4</f>
        <v/>
      </c>
      <c r="K4">
        <f>SUMIFS(ALL_PAIRS!$S:$S,ALL_PAIRS!$A:$A,$A4)</f>
        <v/>
      </c>
      <c r="L4">
        <f>K4-F4-G4</f>
        <v/>
      </c>
      <c r="M4" t="n">
        <v>-177017.7</v>
      </c>
      <c r="N4" t="n">
        <v>0</v>
      </c>
    </row>
    <row r="5">
      <c r="A5" s="1" t="n">
        <v>44932</v>
      </c>
      <c r="B5">
        <f>SUMIFS(ALL_PAIRS!$H:$H,ALL_PAIRS!$A:$A,$A5)</f>
        <v/>
      </c>
      <c r="C5">
        <f>AVERAGEIFS(ALL_PAIRS!$Q:$Q,ALL_PAIRS!$A:$A,$A5)</f>
        <v/>
      </c>
      <c r="D5" t="n">
        <v>0.0045</v>
      </c>
      <c r="E5">
        <f>C5+D5</f>
        <v/>
      </c>
      <c r="F5">
        <f>B5*E5/252</f>
        <v/>
      </c>
      <c r="G5">
        <f>SUMIFS(ALL_PAIRS!$R:$R,ALL_PAIRS!$A:$A,$A5)</f>
        <v/>
      </c>
      <c r="H5" t="n">
        <v>15475.4177244575</v>
      </c>
      <c r="I5" t="n">
        <v>12641.87143125686</v>
      </c>
      <c r="J5">
        <f>H5+I5</f>
        <v/>
      </c>
      <c r="K5">
        <f>SUMIFS(ALL_PAIRS!$S:$S,ALL_PAIRS!$A:$A,$A5)</f>
        <v/>
      </c>
      <c r="L5">
        <f>K5-F5-G5</f>
        <v/>
      </c>
      <c r="M5" t="n">
        <v>137451.17</v>
      </c>
      <c r="N5" t="n">
        <v>-5.820766091346741e-11</v>
      </c>
    </row>
    <row r="6">
      <c r="A6" s="1" t="n">
        <v>44935</v>
      </c>
      <c r="B6">
        <f>SUMIFS(ALL_PAIRS!$H:$H,ALL_PAIRS!$A:$A,$A6)</f>
        <v/>
      </c>
      <c r="C6">
        <f>AVERAGEIFS(ALL_PAIRS!$Q:$Q,ALL_PAIRS!$A:$A,$A6)</f>
        <v/>
      </c>
      <c r="D6" t="n">
        <v>0.0045</v>
      </c>
      <c r="E6">
        <f>C6+D6</f>
        <v/>
      </c>
      <c r="F6">
        <f>B6*E6/252</f>
        <v/>
      </c>
      <c r="G6">
        <f>SUMIFS(ALL_PAIRS!$R:$R,ALL_PAIRS!$A:$A,$A6)</f>
        <v/>
      </c>
      <c r="H6" t="n">
        <v>21692.21201339932</v>
      </c>
      <c r="I6" t="n">
        <v>17720.3717673846</v>
      </c>
      <c r="J6">
        <f>H6+I6</f>
        <v/>
      </c>
      <c r="K6">
        <f>SUMIFS(ALL_PAIRS!$S:$S,ALL_PAIRS!$A:$A,$A6)</f>
        <v/>
      </c>
      <c r="L6">
        <f>K6-F6-G6</f>
        <v/>
      </c>
      <c r="M6" t="n">
        <v>162639.96</v>
      </c>
      <c r="N6" t="n">
        <v>2.91038304567337e-11</v>
      </c>
    </row>
    <row r="7">
      <c r="A7" s="1" t="n">
        <v>44936</v>
      </c>
      <c r="B7">
        <f>SUMIFS(ALL_PAIRS!$H:$H,ALL_PAIRS!$A:$A,$A7)</f>
        <v/>
      </c>
      <c r="C7">
        <f>AVERAGEIFS(ALL_PAIRS!$Q:$Q,ALL_PAIRS!$A:$A,$A7)</f>
        <v/>
      </c>
      <c r="D7" t="n">
        <v>0.0045</v>
      </c>
      <c r="E7">
        <f>C7+D7</f>
        <v/>
      </c>
      <c r="F7">
        <f>B7*E7/252</f>
        <v/>
      </c>
      <c r="G7">
        <f>SUMIFS(ALL_PAIRS!$R:$R,ALL_PAIRS!$A:$A,$A7)</f>
        <v/>
      </c>
      <c r="H7" t="n">
        <v>20215.26482893047</v>
      </c>
      <c r="I7" t="n">
        <v>16513.85335545807</v>
      </c>
      <c r="J7">
        <f>H7+I7</f>
        <v/>
      </c>
      <c r="K7">
        <f>SUMIFS(ALL_PAIRS!$S:$S,ALL_PAIRS!$A:$A,$A7)</f>
        <v/>
      </c>
      <c r="L7">
        <f>K7-F7-G7</f>
        <v/>
      </c>
      <c r="M7" t="n">
        <v>196102.83</v>
      </c>
      <c r="N7" t="n">
        <v>-2.91038304567337e-11</v>
      </c>
    </row>
    <row r="8">
      <c r="A8" s="1" t="n">
        <v>44937</v>
      </c>
      <c r="B8">
        <f>SUMIFS(ALL_PAIRS!$H:$H,ALL_PAIRS!$A:$A,$A8)</f>
        <v/>
      </c>
      <c r="C8">
        <f>AVERAGEIFS(ALL_PAIRS!$Q:$Q,ALL_PAIRS!$A:$A,$A8)</f>
        <v/>
      </c>
      <c r="D8" t="n">
        <v>0.0045</v>
      </c>
      <c r="E8">
        <f>C8+D8</f>
        <v/>
      </c>
      <c r="F8">
        <f>B8*E8/252</f>
        <v/>
      </c>
      <c r="G8">
        <f>SUMIFS(ALL_PAIRS!$R:$R,ALL_PAIRS!$A:$A,$A8)</f>
        <v/>
      </c>
      <c r="H8" t="n">
        <v>12382.76339900016</v>
      </c>
      <c r="I8" t="n">
        <v>10115.48157478386</v>
      </c>
      <c r="J8">
        <f>H8+I8</f>
        <v/>
      </c>
      <c r="K8">
        <f>SUMIFS(ALL_PAIRS!$S:$S,ALL_PAIRS!$A:$A,$A8)</f>
        <v/>
      </c>
      <c r="L8">
        <f>K8-F8-G8</f>
        <v/>
      </c>
      <c r="M8" t="n">
        <v>71240.64999999999</v>
      </c>
      <c r="N8" t="n">
        <v>2.91038304567337e-11</v>
      </c>
    </row>
    <row r="9">
      <c r="A9" s="1" t="n">
        <v>44938</v>
      </c>
      <c r="B9">
        <f>SUMIFS(ALL_PAIRS!$H:$H,ALL_PAIRS!$A:$A,$A9)</f>
        <v/>
      </c>
      <c r="C9">
        <f>AVERAGEIFS(ALL_PAIRS!$Q:$Q,ALL_PAIRS!$A:$A,$A9)</f>
        <v/>
      </c>
      <c r="D9" t="n">
        <v>0.0045</v>
      </c>
      <c r="E9">
        <f>C9+D9</f>
        <v/>
      </c>
      <c r="F9">
        <f>B9*E9/252</f>
        <v/>
      </c>
      <c r="G9">
        <f>SUMIFS(ALL_PAIRS!$R:$R,ALL_PAIRS!$A:$A,$A9)</f>
        <v/>
      </c>
      <c r="H9" t="n">
        <v>18544.79515802672</v>
      </c>
      <c r="I9" t="n">
        <v>15149.24639069716</v>
      </c>
      <c r="J9">
        <f>H9+I9</f>
        <v/>
      </c>
      <c r="K9">
        <f>SUMIFS(ALL_PAIRS!$S:$S,ALL_PAIRS!$A:$A,$A9)</f>
        <v/>
      </c>
      <c r="L9">
        <f>K9-F9-G9</f>
        <v/>
      </c>
      <c r="M9" t="n">
        <v>110098.36</v>
      </c>
      <c r="N9" t="n">
        <v>-8.731149137020111e-11</v>
      </c>
    </row>
    <row r="10">
      <c r="A10" s="1" t="n">
        <v>44939</v>
      </c>
      <c r="B10">
        <f>SUMIFS(ALL_PAIRS!$H:$H,ALL_PAIRS!$A:$A,$A10)</f>
        <v/>
      </c>
      <c r="C10">
        <f>AVERAGEIFS(ALL_PAIRS!$Q:$Q,ALL_PAIRS!$A:$A,$A10)</f>
        <v/>
      </c>
      <c r="D10" t="n">
        <v>0.0045</v>
      </c>
      <c r="E10">
        <f>C10+D10</f>
        <v/>
      </c>
      <c r="F10">
        <f>B10*E10/252</f>
        <v/>
      </c>
      <c r="G10">
        <f>SUMIFS(ALL_PAIRS!$R:$R,ALL_PAIRS!$A:$A,$A10)</f>
        <v/>
      </c>
      <c r="H10" t="n">
        <v>18263.59476861504</v>
      </c>
      <c r="I10" t="n">
        <v>14919.53374366834</v>
      </c>
      <c r="J10">
        <f>H10+I10</f>
        <v/>
      </c>
      <c r="K10">
        <f>SUMIFS(ALL_PAIRS!$S:$S,ALL_PAIRS!$A:$A,$A10)</f>
        <v/>
      </c>
      <c r="L10">
        <f>K10-F10-G10</f>
        <v/>
      </c>
      <c r="M10" t="n">
        <v>95583.98</v>
      </c>
      <c r="N10" t="n">
        <v>1.455191522836685e-11</v>
      </c>
    </row>
    <row r="11">
      <c r="A11" s="1" t="n">
        <v>44943</v>
      </c>
      <c r="B11">
        <f>SUMIFS(ALL_PAIRS!$H:$H,ALL_PAIRS!$A:$A,$A11)</f>
        <v/>
      </c>
      <c r="C11">
        <f>AVERAGEIFS(ALL_PAIRS!$Q:$Q,ALL_PAIRS!$A:$A,$A11)</f>
        <v/>
      </c>
      <c r="D11" t="n">
        <v>0.0045</v>
      </c>
      <c r="E11">
        <f>C11+D11</f>
        <v/>
      </c>
      <c r="F11">
        <f>B11*E11/252</f>
        <v/>
      </c>
      <c r="G11">
        <f>SUMIFS(ALL_PAIRS!$R:$R,ALL_PAIRS!$A:$A,$A11)</f>
        <v/>
      </c>
      <c r="H11" t="n">
        <v>9477.531624552863</v>
      </c>
      <c r="I11" t="n">
        <v>7742.197232835501</v>
      </c>
      <c r="J11">
        <f>H11+I11</f>
        <v/>
      </c>
      <c r="K11">
        <f>SUMIFS(ALL_PAIRS!$S:$S,ALL_PAIRS!$A:$A,$A11)</f>
        <v/>
      </c>
      <c r="L11">
        <f>K11-F11-G11</f>
        <v/>
      </c>
      <c r="M11" t="n">
        <v>121405.74</v>
      </c>
      <c r="N11" t="n">
        <v>2.91038304567337e-11</v>
      </c>
    </row>
    <row r="12">
      <c r="A12" s="1" t="n">
        <v>44944</v>
      </c>
      <c r="B12">
        <f>SUMIFS(ALL_PAIRS!$H:$H,ALL_PAIRS!$A:$A,$A12)</f>
        <v/>
      </c>
      <c r="C12">
        <f>AVERAGEIFS(ALL_PAIRS!$Q:$Q,ALL_PAIRS!$A:$A,$A12)</f>
        <v/>
      </c>
      <c r="D12" t="n">
        <v>0.0045</v>
      </c>
      <c r="E12">
        <f>C12+D12</f>
        <v/>
      </c>
      <c r="F12">
        <f>B12*E12/252</f>
        <v/>
      </c>
      <c r="G12">
        <f>SUMIFS(ALL_PAIRS!$R:$R,ALL_PAIRS!$A:$A,$A12)</f>
        <v/>
      </c>
      <c r="H12" t="n">
        <v>-12399.89559199361</v>
      </c>
      <c r="I12" t="n">
        <v>-10129.47686622056</v>
      </c>
      <c r="J12">
        <f>H12+I12</f>
        <v/>
      </c>
      <c r="K12">
        <f>SUMIFS(ALL_PAIRS!$S:$S,ALL_PAIRS!$A:$A,$A12)</f>
        <v/>
      </c>
      <c r="L12">
        <f>K12-F12-G12</f>
        <v/>
      </c>
      <c r="M12" t="n">
        <v>-124165.81</v>
      </c>
      <c r="N12" t="n">
        <v>-5.820766091346741e-11</v>
      </c>
    </row>
    <row r="13">
      <c r="A13" s="1" t="n">
        <v>44945</v>
      </c>
      <c r="B13">
        <f>SUMIFS(ALL_PAIRS!$H:$H,ALL_PAIRS!$A:$A,$A13)</f>
        <v/>
      </c>
      <c r="C13">
        <f>AVERAGEIFS(ALL_PAIRS!$Q:$Q,ALL_PAIRS!$A:$A,$A13)</f>
        <v/>
      </c>
      <c r="D13" t="n">
        <v>0.0045</v>
      </c>
      <c r="E13">
        <f>C13+D13</f>
        <v/>
      </c>
      <c r="F13">
        <f>B13*E13/252</f>
        <v/>
      </c>
      <c r="G13">
        <f>SUMIFS(ALL_PAIRS!$R:$R,ALL_PAIRS!$A:$A,$A13)</f>
        <v/>
      </c>
      <c r="H13" t="n">
        <v>-487.7486484549372</v>
      </c>
      <c r="I13" t="n">
        <v>-398.4419557729761</v>
      </c>
      <c r="J13">
        <f>H13+I13</f>
        <v/>
      </c>
      <c r="K13">
        <f>SUMIFS(ALL_PAIRS!$S:$S,ALL_PAIRS!$A:$A,$A13)</f>
        <v/>
      </c>
      <c r="L13">
        <f>K13-F13-G13</f>
        <v/>
      </c>
      <c r="M13" t="n">
        <v>-41244.9</v>
      </c>
      <c r="N13" t="n">
        <v>0</v>
      </c>
    </row>
    <row r="14">
      <c r="A14" s="1" t="n">
        <v>44946</v>
      </c>
      <c r="B14">
        <f>SUMIFS(ALL_PAIRS!$H:$H,ALL_PAIRS!$A:$A,$A14)</f>
        <v/>
      </c>
      <c r="C14">
        <f>AVERAGEIFS(ALL_PAIRS!$Q:$Q,ALL_PAIRS!$A:$A,$A14)</f>
        <v/>
      </c>
      <c r="D14" t="n">
        <v>0.0045</v>
      </c>
      <c r="E14">
        <f>C14+D14</f>
        <v/>
      </c>
      <c r="F14">
        <f>B14*E14/252</f>
        <v/>
      </c>
      <c r="G14">
        <f>SUMIFS(ALL_PAIRS!$R:$R,ALL_PAIRS!$A:$A,$A14)</f>
        <v/>
      </c>
      <c r="H14" t="n">
        <v>29549.65327307356</v>
      </c>
      <c r="I14" t="n">
        <v>24139.11689931524</v>
      </c>
      <c r="J14">
        <f>H14+I14</f>
        <v/>
      </c>
      <c r="K14">
        <f>SUMIFS(ALL_PAIRS!$S:$S,ALL_PAIRS!$A:$A,$A14)</f>
        <v/>
      </c>
      <c r="L14">
        <f>K14-F14-G14</f>
        <v/>
      </c>
      <c r="M14" t="n">
        <v>309925.66</v>
      </c>
      <c r="N14" t="n">
        <v>0</v>
      </c>
    </row>
    <row r="15">
      <c r="A15" s="1" t="n">
        <v>44949</v>
      </c>
      <c r="B15">
        <f>SUMIFS(ALL_PAIRS!$H:$H,ALL_PAIRS!$A:$A,$A15)</f>
        <v/>
      </c>
      <c r="C15">
        <f>AVERAGEIFS(ALL_PAIRS!$Q:$Q,ALL_PAIRS!$A:$A,$A15)</f>
        <v/>
      </c>
      <c r="D15" t="n">
        <v>0.0045</v>
      </c>
      <c r="E15">
        <f>C15+D15</f>
        <v/>
      </c>
      <c r="F15">
        <f>B15*E15/252</f>
        <v/>
      </c>
      <c r="G15">
        <f>SUMIFS(ALL_PAIRS!$R:$R,ALL_PAIRS!$A:$A,$A15)</f>
        <v/>
      </c>
      <c r="H15" t="n">
        <v>19365.8984073045</v>
      </c>
      <c r="I15" t="n">
        <v>15820.00577787363</v>
      </c>
      <c r="J15">
        <f>H15+I15</f>
        <v/>
      </c>
      <c r="K15">
        <f>SUMIFS(ALL_PAIRS!$S:$S,ALL_PAIRS!$A:$A,$A15)</f>
        <v/>
      </c>
      <c r="L15">
        <f>K15-F15-G15</f>
        <v/>
      </c>
      <c r="M15" t="n">
        <v>186626.52</v>
      </c>
      <c r="N15" t="n">
        <v>8.731149137020111e-11</v>
      </c>
    </row>
    <row r="16">
      <c r="A16" s="1" t="n">
        <v>44950</v>
      </c>
      <c r="B16">
        <f>SUMIFS(ALL_PAIRS!$H:$H,ALL_PAIRS!$A:$A,$A16)</f>
        <v/>
      </c>
      <c r="C16">
        <f>AVERAGEIFS(ALL_PAIRS!$Q:$Q,ALL_PAIRS!$A:$A,$A16)</f>
        <v/>
      </c>
      <c r="D16" t="n">
        <v>0.0045</v>
      </c>
      <c r="E16">
        <f>C16+D16</f>
        <v/>
      </c>
      <c r="F16">
        <f>B16*E16/252</f>
        <v/>
      </c>
      <c r="G16">
        <f>SUMIFS(ALL_PAIRS!$R:$R,ALL_PAIRS!$A:$A,$A16)</f>
        <v/>
      </c>
      <c r="H16" t="n">
        <v>-1533.156413173241</v>
      </c>
      <c r="I16" t="n">
        <v>-1252.435740633457</v>
      </c>
      <c r="J16">
        <f>H16+I16</f>
        <v/>
      </c>
      <c r="K16">
        <f>SUMIFS(ALL_PAIRS!$S:$S,ALL_PAIRS!$A:$A,$A16)</f>
        <v/>
      </c>
      <c r="L16">
        <f>K16-F16-G16</f>
        <v/>
      </c>
      <c r="M16" t="n">
        <v>-80588.47</v>
      </c>
      <c r="N16" t="n">
        <v>0</v>
      </c>
    </row>
    <row r="17">
      <c r="A17" s="1" t="n">
        <v>44951</v>
      </c>
      <c r="B17">
        <f>SUMIFS(ALL_PAIRS!$H:$H,ALL_PAIRS!$A:$A,$A17)</f>
        <v/>
      </c>
      <c r="C17">
        <f>AVERAGEIFS(ALL_PAIRS!$Q:$Q,ALL_PAIRS!$A:$A,$A17)</f>
        <v/>
      </c>
      <c r="D17" t="n">
        <v>0.0045</v>
      </c>
      <c r="E17">
        <f>C17+D17</f>
        <v/>
      </c>
      <c r="F17">
        <f>B17*E17/252</f>
        <v/>
      </c>
      <c r="G17">
        <f>SUMIFS(ALL_PAIRS!$R:$R,ALL_PAIRS!$A:$A,$A17)</f>
        <v/>
      </c>
      <c r="H17" t="n">
        <v>477.7423521580604</v>
      </c>
      <c r="I17" t="n">
        <v>390.2678105873347</v>
      </c>
      <c r="J17">
        <f>H17+I17</f>
        <v/>
      </c>
      <c r="K17">
        <f>SUMIFS(ALL_PAIRS!$S:$S,ALL_PAIRS!$A:$A,$A17)</f>
        <v/>
      </c>
      <c r="L17">
        <f>K17-F17-G17</f>
        <v/>
      </c>
      <c r="M17" t="n">
        <v>-31680.71</v>
      </c>
      <c r="N17" t="n">
        <v>-7.275957614183426e-12</v>
      </c>
    </row>
    <row r="18">
      <c r="A18" s="1" t="n">
        <v>44952</v>
      </c>
      <c r="B18">
        <f>SUMIFS(ALL_PAIRS!$H:$H,ALL_PAIRS!$A:$A,$A18)</f>
        <v/>
      </c>
      <c r="C18">
        <f>AVERAGEIFS(ALL_PAIRS!$Q:$Q,ALL_PAIRS!$A:$A,$A18)</f>
        <v/>
      </c>
      <c r="D18" t="n">
        <v>0.0045</v>
      </c>
      <c r="E18">
        <f>C18+D18</f>
        <v/>
      </c>
      <c r="F18">
        <f>B18*E18/252</f>
        <v/>
      </c>
      <c r="G18">
        <f>SUMIFS(ALL_PAIRS!$R:$R,ALL_PAIRS!$A:$A,$A18)</f>
        <v/>
      </c>
      <c r="H18" t="n">
        <v>17452.87446670313</v>
      </c>
      <c r="I18" t="n">
        <v>14257.25618800131</v>
      </c>
      <c r="J18">
        <f>H18+I18</f>
        <v/>
      </c>
      <c r="K18">
        <f>SUMIFS(ALL_PAIRS!$S:$S,ALL_PAIRS!$A:$A,$A18)</f>
        <v/>
      </c>
      <c r="L18">
        <f>K18-F18-G18</f>
        <v/>
      </c>
      <c r="M18" t="n">
        <v>112812.23</v>
      </c>
      <c r="N18" t="n">
        <v>-7.275957614183426e-11</v>
      </c>
    </row>
    <row r="19">
      <c r="A19" s="1" t="n">
        <v>44953</v>
      </c>
      <c r="B19">
        <f>SUMIFS(ALL_PAIRS!$H:$H,ALL_PAIRS!$A:$A,$A19)</f>
        <v/>
      </c>
      <c r="C19">
        <f>AVERAGEIFS(ALL_PAIRS!$Q:$Q,ALL_PAIRS!$A:$A,$A19)</f>
        <v/>
      </c>
      <c r="D19" t="n">
        <v>0.0045</v>
      </c>
      <c r="E19">
        <f>C19+D19</f>
        <v/>
      </c>
      <c r="F19">
        <f>B19*E19/252</f>
        <v/>
      </c>
      <c r="G19">
        <f>SUMIFS(ALL_PAIRS!$R:$R,ALL_PAIRS!$A:$A,$A19)</f>
        <v/>
      </c>
      <c r="H19" t="n">
        <v>30874.74606227275</v>
      </c>
      <c r="I19" t="n">
        <v>25221.58542932896</v>
      </c>
      <c r="J19">
        <f>H19+I19</f>
        <v/>
      </c>
      <c r="K19">
        <f>SUMIFS(ALL_PAIRS!$S:$S,ALL_PAIRS!$A:$A,$A19)</f>
        <v/>
      </c>
      <c r="L19">
        <f>K19-F19-G19</f>
        <v/>
      </c>
      <c r="M19" t="n">
        <v>208143</v>
      </c>
      <c r="N19" t="n">
        <v>2.619344741106033e-10</v>
      </c>
    </row>
    <row r="20">
      <c r="A20" s="1" t="n">
        <v>44956</v>
      </c>
      <c r="B20">
        <f>SUMIFS(ALL_PAIRS!$H:$H,ALL_PAIRS!$A:$A,$A20)</f>
        <v/>
      </c>
      <c r="C20">
        <f>AVERAGEIFS(ALL_PAIRS!$Q:$Q,ALL_PAIRS!$A:$A,$A20)</f>
        <v/>
      </c>
      <c r="D20" t="n">
        <v>0.0045</v>
      </c>
      <c r="E20">
        <f>C20+D20</f>
        <v/>
      </c>
      <c r="F20">
        <f>B20*E20/252</f>
        <v/>
      </c>
      <c r="G20">
        <f>SUMIFS(ALL_PAIRS!$R:$R,ALL_PAIRS!$A:$A,$A20)</f>
        <v/>
      </c>
      <c r="H20" t="n">
        <v>-24910.37701240912</v>
      </c>
      <c r="I20" t="n">
        <v>-20349.2913149168</v>
      </c>
      <c r="J20">
        <f>H20+I20</f>
        <v/>
      </c>
      <c r="K20">
        <f>SUMIFS(ALL_PAIRS!$S:$S,ALL_PAIRS!$A:$A,$A20)</f>
        <v/>
      </c>
      <c r="L20">
        <f>K20-F20-G20</f>
        <v/>
      </c>
      <c r="M20" t="n">
        <v>-260217.76</v>
      </c>
      <c r="N20" t="n">
        <v>5.820766091346741e-11</v>
      </c>
    </row>
    <row r="21">
      <c r="A21" s="1" t="n">
        <v>44957</v>
      </c>
      <c r="B21">
        <f>SUMIFS(ALL_PAIRS!$H:$H,ALL_PAIRS!$A:$A,$A21)</f>
        <v/>
      </c>
      <c r="C21">
        <f>AVERAGEIFS(ALL_PAIRS!$Q:$Q,ALL_PAIRS!$A:$A,$A21)</f>
        <v/>
      </c>
      <c r="D21" t="n">
        <v>0.0045</v>
      </c>
      <c r="E21">
        <f>C21+D21</f>
        <v/>
      </c>
      <c r="F21">
        <f>B21*E21/252</f>
        <v/>
      </c>
      <c r="G21">
        <f>SUMIFS(ALL_PAIRS!$R:$R,ALL_PAIRS!$A:$A,$A21)</f>
        <v/>
      </c>
      <c r="H21" t="n">
        <v>11816.33069711451</v>
      </c>
      <c r="I21" t="n">
        <v>9652.762602075221</v>
      </c>
      <c r="J21">
        <f>H21+I21</f>
        <v/>
      </c>
      <c r="K21">
        <f>SUMIFS(ALL_PAIRS!$S:$S,ALL_PAIRS!$A:$A,$A21)</f>
        <v/>
      </c>
      <c r="L21">
        <f>K21-F21-G21</f>
        <v/>
      </c>
      <c r="M21" t="n">
        <v>174193.43</v>
      </c>
      <c r="N21" t="n">
        <v>5.820766091346741e-11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2026-04-22T14:26:39Z</dcterms:created>
  <dcterms:modified xmlns:dcterms="http://purl.org/dc/terms/" xmlns:xsi="http://www.w3.org/2001/XMLSchema-instance" xsi:type="dcterms:W3CDTF">2026-04-22T14:26:41Z</dcterms:modified>
</cp:coreProperties>
</file>