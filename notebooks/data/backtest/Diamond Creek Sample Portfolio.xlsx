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werdn\Documents\Investing\ls-algo\notebooks\data\backtest\"/>
    </mc:Choice>
  </mc:AlternateContent>
  <xr:revisionPtr revIDLastSave="0" documentId="13_ncr:1_{84B0C2BF-ACD7-4E19-B00D-FF0A1B271F67}" xr6:coauthVersionLast="47" xr6:coauthVersionMax="47" xr10:uidLastSave="{00000000-0000-0000-0000-000000000000}"/>
  <bookViews>
    <workbookView xWindow="-110" yWindow="-110" windowWidth="22780" windowHeight="14540" xr2:uid="{00000000-000D-0000-FFFF-FFFF00000000}"/>
  </bookViews>
  <sheets>
    <sheet name="2026-03-30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457" i="1" l="1"/>
  <c r="E456" i="1"/>
  <c r="E455" i="1"/>
  <c r="E454" i="1"/>
  <c r="E453" i="1"/>
  <c r="E452" i="1"/>
  <c r="E451" i="1"/>
  <c r="E450" i="1"/>
  <c r="E449" i="1"/>
  <c r="E448" i="1"/>
  <c r="E447" i="1"/>
  <c r="E446" i="1"/>
  <c r="E445" i="1"/>
  <c r="E444" i="1"/>
  <c r="E443" i="1"/>
  <c r="E442" i="1"/>
  <c r="E441" i="1"/>
  <c r="E440" i="1"/>
  <c r="E439" i="1"/>
  <c r="E438" i="1"/>
  <c r="E437" i="1"/>
  <c r="E436" i="1"/>
  <c r="E435" i="1"/>
  <c r="E434" i="1"/>
  <c r="E433" i="1"/>
  <c r="E432" i="1"/>
  <c r="E431" i="1"/>
  <c r="E430" i="1"/>
  <c r="E429" i="1"/>
  <c r="E428" i="1"/>
  <c r="E427" i="1"/>
  <c r="E426" i="1"/>
  <c r="E425" i="1"/>
  <c r="E424" i="1"/>
  <c r="E423" i="1"/>
  <c r="E422" i="1"/>
  <c r="E421" i="1"/>
  <c r="E420" i="1"/>
  <c r="E419" i="1"/>
  <c r="E418" i="1"/>
  <c r="E417" i="1"/>
  <c r="E416" i="1"/>
  <c r="E415" i="1"/>
  <c r="E414" i="1"/>
  <c r="E413" i="1"/>
  <c r="E412" i="1"/>
  <c r="E411" i="1"/>
  <c r="E410" i="1"/>
  <c r="E409" i="1"/>
  <c r="E408" i="1"/>
  <c r="E407" i="1"/>
  <c r="E406" i="1"/>
  <c r="E405" i="1"/>
  <c r="E404" i="1"/>
  <c r="E403" i="1"/>
  <c r="E402" i="1"/>
  <c r="E401" i="1"/>
  <c r="E400" i="1"/>
  <c r="E399" i="1"/>
  <c r="E398" i="1"/>
  <c r="E397" i="1"/>
  <c r="E396" i="1"/>
  <c r="E395" i="1"/>
  <c r="E394" i="1"/>
  <c r="E393" i="1"/>
  <c r="E392" i="1"/>
  <c r="E391" i="1"/>
  <c r="E390" i="1"/>
  <c r="E389" i="1"/>
  <c r="E388" i="1"/>
  <c r="E387" i="1"/>
  <c r="E386" i="1"/>
  <c r="E385" i="1"/>
  <c r="E384" i="1"/>
  <c r="E383" i="1"/>
  <c r="E382" i="1"/>
  <c r="E381" i="1"/>
  <c r="E380" i="1"/>
  <c r="E379" i="1"/>
  <c r="E378" i="1"/>
  <c r="E377" i="1"/>
  <c r="E376" i="1"/>
  <c r="E375" i="1"/>
  <c r="E374" i="1"/>
  <c r="E373" i="1"/>
  <c r="E372" i="1"/>
  <c r="E371" i="1"/>
  <c r="E370" i="1"/>
  <c r="E369" i="1"/>
  <c r="E368" i="1"/>
  <c r="E367" i="1"/>
  <c r="E366" i="1"/>
  <c r="E365" i="1"/>
  <c r="E364" i="1"/>
  <c r="E363" i="1"/>
  <c r="E362" i="1"/>
  <c r="E361" i="1"/>
  <c r="E360" i="1"/>
  <c r="E359" i="1"/>
  <c r="E358" i="1"/>
  <c r="E357" i="1"/>
  <c r="E356" i="1"/>
  <c r="E355" i="1"/>
  <c r="E354" i="1"/>
  <c r="E353" i="1"/>
  <c r="E352" i="1"/>
  <c r="E351" i="1"/>
  <c r="E350" i="1"/>
  <c r="E349" i="1"/>
  <c r="E348" i="1"/>
  <c r="E347" i="1"/>
  <c r="E346" i="1"/>
  <c r="E345" i="1"/>
  <c r="E344" i="1"/>
  <c r="E343" i="1"/>
  <c r="E342" i="1"/>
  <c r="E341" i="1"/>
  <c r="E340" i="1"/>
  <c r="E339" i="1"/>
  <c r="E338" i="1"/>
  <c r="E337" i="1"/>
  <c r="E336" i="1"/>
  <c r="E335" i="1"/>
  <c r="E334" i="1"/>
  <c r="E333" i="1"/>
  <c r="E332" i="1"/>
  <c r="E331" i="1"/>
  <c r="E330" i="1"/>
  <c r="E329" i="1"/>
  <c r="E328" i="1"/>
  <c r="E327" i="1"/>
  <c r="E326" i="1"/>
  <c r="E325" i="1"/>
  <c r="E324" i="1"/>
  <c r="E323" i="1"/>
  <c r="E322" i="1"/>
  <c r="E321" i="1"/>
  <c r="E320" i="1"/>
  <c r="E319" i="1"/>
  <c r="E318" i="1"/>
  <c r="E317" i="1"/>
  <c r="E316" i="1"/>
  <c r="E315" i="1"/>
  <c r="E314" i="1"/>
  <c r="E313" i="1"/>
  <c r="E312" i="1"/>
  <c r="E311" i="1"/>
  <c r="E310" i="1"/>
  <c r="E309" i="1"/>
  <c r="E308" i="1"/>
  <c r="E307" i="1"/>
  <c r="E306" i="1"/>
  <c r="E305" i="1"/>
  <c r="E304" i="1"/>
  <c r="E303" i="1"/>
  <c r="E302" i="1"/>
  <c r="E301" i="1"/>
  <c r="E300" i="1"/>
  <c r="E299" i="1"/>
  <c r="E298" i="1"/>
  <c r="E297" i="1"/>
  <c r="E296" i="1"/>
  <c r="E295" i="1"/>
  <c r="E294" i="1"/>
  <c r="E293" i="1"/>
  <c r="E292" i="1"/>
  <c r="E291" i="1"/>
  <c r="E290" i="1"/>
  <c r="E289" i="1"/>
  <c r="E288" i="1"/>
  <c r="E287" i="1"/>
  <c r="E286" i="1"/>
  <c r="E285" i="1"/>
  <c r="E284" i="1"/>
  <c r="E283" i="1"/>
  <c r="E282" i="1"/>
  <c r="E281" i="1"/>
  <c r="E280" i="1"/>
  <c r="E279" i="1"/>
  <c r="E278" i="1"/>
  <c r="E277" i="1"/>
  <c r="E276" i="1"/>
  <c r="E275" i="1"/>
  <c r="E274" i="1"/>
  <c r="E273" i="1"/>
  <c r="E272" i="1"/>
  <c r="E271" i="1"/>
  <c r="E270" i="1"/>
  <c r="E269" i="1"/>
  <c r="E268" i="1"/>
  <c r="E267" i="1"/>
  <c r="E266" i="1"/>
  <c r="E265" i="1"/>
  <c r="E264" i="1"/>
  <c r="E263" i="1"/>
  <c r="E262" i="1"/>
  <c r="E261" i="1"/>
  <c r="E260" i="1"/>
  <c r="E259" i="1"/>
  <c r="E258" i="1"/>
  <c r="E257" i="1"/>
  <c r="E256" i="1"/>
  <c r="E255" i="1"/>
  <c r="E254" i="1"/>
  <c r="E253" i="1"/>
  <c r="E252" i="1"/>
  <c r="E251" i="1"/>
  <c r="E250" i="1"/>
  <c r="E249" i="1"/>
  <c r="E248" i="1"/>
  <c r="E247" i="1"/>
  <c r="E246" i="1"/>
  <c r="E245" i="1"/>
  <c r="E244" i="1"/>
  <c r="E243" i="1"/>
  <c r="E242" i="1"/>
  <c r="E241" i="1"/>
  <c r="E240" i="1"/>
  <c r="E239" i="1"/>
  <c r="E238" i="1"/>
  <c r="E237" i="1"/>
  <c r="E236" i="1"/>
  <c r="E235" i="1"/>
  <c r="E234" i="1"/>
  <c r="E233" i="1"/>
  <c r="E232" i="1"/>
  <c r="E231" i="1"/>
  <c r="E230" i="1"/>
  <c r="E229" i="1"/>
  <c r="E228" i="1"/>
  <c r="E227" i="1"/>
  <c r="E226" i="1"/>
  <c r="E225" i="1"/>
  <c r="E224" i="1"/>
  <c r="E223" i="1"/>
  <c r="E222" i="1"/>
  <c r="E221" i="1"/>
  <c r="E220" i="1"/>
  <c r="E219" i="1"/>
  <c r="E218" i="1"/>
  <c r="E217" i="1"/>
  <c r="E216" i="1"/>
  <c r="E215" i="1"/>
  <c r="E214" i="1"/>
  <c r="E213" i="1"/>
  <c r="E212" i="1"/>
  <c r="E211" i="1"/>
  <c r="E210" i="1"/>
  <c r="E209" i="1"/>
  <c r="E208" i="1"/>
  <c r="E207" i="1"/>
  <c r="E206" i="1"/>
  <c r="E205" i="1"/>
  <c r="E204" i="1"/>
  <c r="E203" i="1"/>
  <c r="E202" i="1"/>
  <c r="E201" i="1"/>
  <c r="E200" i="1"/>
  <c r="E199" i="1"/>
  <c r="E198" i="1"/>
  <c r="E197" i="1"/>
  <c r="E196" i="1"/>
  <c r="E195" i="1"/>
  <c r="E194" i="1"/>
  <c r="E193" i="1"/>
  <c r="E192" i="1"/>
  <c r="E191" i="1"/>
  <c r="E190" i="1"/>
  <c r="E189" i="1"/>
  <c r="E188" i="1"/>
  <c r="E187" i="1"/>
  <c r="E186" i="1"/>
  <c r="E185" i="1"/>
  <c r="E184" i="1"/>
  <c r="E183" i="1"/>
  <c r="E182" i="1"/>
  <c r="E181" i="1"/>
  <c r="E180" i="1"/>
  <c r="E179" i="1"/>
  <c r="E178" i="1"/>
  <c r="E177" i="1"/>
  <c r="E176" i="1"/>
  <c r="E175" i="1"/>
  <c r="E174" i="1"/>
  <c r="E173" i="1"/>
  <c r="E172" i="1"/>
  <c r="E171" i="1"/>
  <c r="E170" i="1"/>
  <c r="E169" i="1"/>
  <c r="E168" i="1"/>
  <c r="E167" i="1"/>
  <c r="E166" i="1"/>
  <c r="E165" i="1"/>
  <c r="E164" i="1"/>
  <c r="E163" i="1"/>
  <c r="E162" i="1"/>
  <c r="E161" i="1"/>
  <c r="E160" i="1"/>
  <c r="E159" i="1"/>
  <c r="E158" i="1"/>
  <c r="E157" i="1"/>
  <c r="E156" i="1"/>
  <c r="E155" i="1"/>
  <c r="E154" i="1"/>
  <c r="E153" i="1"/>
  <c r="E152" i="1"/>
  <c r="E151" i="1"/>
  <c r="E150" i="1"/>
  <c r="E149" i="1"/>
  <c r="E148" i="1"/>
  <c r="E147" i="1"/>
  <c r="E146" i="1"/>
  <c r="E145" i="1"/>
  <c r="E144" i="1"/>
  <c r="E143" i="1"/>
  <c r="E142" i="1"/>
  <c r="E141" i="1"/>
  <c r="E140" i="1"/>
  <c r="E139" i="1"/>
  <c r="E138" i="1"/>
  <c r="E137" i="1"/>
  <c r="E136" i="1"/>
  <c r="E135" i="1"/>
  <c r="E134" i="1"/>
  <c r="E133" i="1"/>
  <c r="E132" i="1"/>
  <c r="E131" i="1"/>
  <c r="E130" i="1"/>
  <c r="E129" i="1"/>
  <c r="E128" i="1"/>
  <c r="E127" i="1"/>
  <c r="E126" i="1"/>
  <c r="E125" i="1"/>
  <c r="E124" i="1"/>
  <c r="E123" i="1"/>
  <c r="E122" i="1"/>
  <c r="E121" i="1"/>
  <c r="E120" i="1"/>
  <c r="E119" i="1"/>
  <c r="E118" i="1"/>
  <c r="E117" i="1"/>
  <c r="E116" i="1"/>
  <c r="E115" i="1"/>
  <c r="E114" i="1"/>
  <c r="E113" i="1"/>
  <c r="E112" i="1"/>
  <c r="E111" i="1"/>
  <c r="E110" i="1"/>
  <c r="E109" i="1"/>
  <c r="E108" i="1"/>
  <c r="E107" i="1"/>
  <c r="E106" i="1"/>
  <c r="E105" i="1"/>
  <c r="E104" i="1"/>
  <c r="E103" i="1"/>
  <c r="E102" i="1"/>
  <c r="E101" i="1"/>
  <c r="E100" i="1"/>
  <c r="E99" i="1"/>
  <c r="E98" i="1"/>
  <c r="E97" i="1"/>
  <c r="E96" i="1"/>
  <c r="E95" i="1"/>
  <c r="E94" i="1"/>
  <c r="E93" i="1"/>
  <c r="E92" i="1"/>
  <c r="E91" i="1"/>
  <c r="E90" i="1"/>
  <c r="E89" i="1"/>
  <c r="E88" i="1"/>
  <c r="E87" i="1"/>
  <c r="E86" i="1"/>
  <c r="E85" i="1"/>
  <c r="E84" i="1"/>
  <c r="E83" i="1"/>
  <c r="E82" i="1"/>
  <c r="E81" i="1"/>
  <c r="E80" i="1"/>
  <c r="E79" i="1"/>
  <c r="E78" i="1"/>
  <c r="E77" i="1"/>
  <c r="E76" i="1"/>
  <c r="E75" i="1"/>
  <c r="E74" i="1"/>
  <c r="E73" i="1"/>
  <c r="E72" i="1"/>
  <c r="E71" i="1"/>
  <c r="E70" i="1"/>
  <c r="E69" i="1"/>
  <c r="E68" i="1"/>
  <c r="E67" i="1"/>
  <c r="E66" i="1"/>
  <c r="E65" i="1"/>
  <c r="E64" i="1"/>
  <c r="E63" i="1"/>
  <c r="E62" i="1"/>
  <c r="E61" i="1"/>
  <c r="E60" i="1"/>
  <c r="E59" i="1"/>
  <c r="E58" i="1"/>
  <c r="E57" i="1"/>
  <c r="E56" i="1"/>
  <c r="E55" i="1"/>
  <c r="E54" i="1"/>
  <c r="E53" i="1"/>
  <c r="E52" i="1"/>
  <c r="E51" i="1"/>
  <c r="E50" i="1"/>
  <c r="E49" i="1"/>
  <c r="E48" i="1"/>
  <c r="E47" i="1"/>
  <c r="E46" i="1"/>
  <c r="E45" i="1"/>
  <c r="E44" i="1"/>
  <c r="E43" i="1"/>
  <c r="E42" i="1"/>
  <c r="E41" i="1"/>
  <c r="E40" i="1"/>
  <c r="E39" i="1"/>
  <c r="E38" i="1"/>
  <c r="E37" i="1"/>
  <c r="E36" i="1"/>
  <c r="E35" i="1"/>
  <c r="E34" i="1"/>
  <c r="E33" i="1"/>
  <c r="E32" i="1"/>
  <c r="E31" i="1"/>
  <c r="E30" i="1"/>
  <c r="E29" i="1"/>
  <c r="E28" i="1"/>
  <c r="E27" i="1"/>
  <c r="E26" i="1"/>
  <c r="E25" i="1"/>
  <c r="E24" i="1"/>
  <c r="E23" i="1"/>
  <c r="E22" i="1"/>
  <c r="E21" i="1"/>
  <c r="E20" i="1"/>
  <c r="E19" i="1"/>
  <c r="E18" i="1"/>
  <c r="E17" i="1"/>
  <c r="E16" i="1"/>
  <c r="E15" i="1"/>
  <c r="E14" i="1"/>
  <c r="E13" i="1"/>
  <c r="E12" i="1"/>
  <c r="E11" i="1"/>
  <c r="E10" i="1"/>
  <c r="E9" i="1"/>
  <c r="E8" i="1"/>
  <c r="E7" i="1"/>
  <c r="E6" i="1"/>
  <c r="E5" i="1"/>
  <c r="E4" i="1"/>
  <c r="E3" i="1"/>
  <c r="E459" i="1" l="1" a="1"/>
  <c r="E459" i="1" s="1"/>
  <c r="F45" i="1" l="1"/>
  <c r="F189" i="1"/>
  <c r="F432" i="1"/>
  <c r="F295" i="1"/>
  <c r="F275" i="1"/>
  <c r="F393" i="1"/>
  <c r="F356" i="1"/>
  <c r="F271" i="1"/>
  <c r="F376" i="1"/>
  <c r="F116" i="1"/>
  <c r="F388" i="1"/>
  <c r="F284" i="1"/>
  <c r="F200" i="1"/>
  <c r="F403" i="1"/>
  <c r="F227" i="1"/>
  <c r="F112" i="1"/>
  <c r="F428" i="1"/>
  <c r="F303" i="1"/>
  <c r="F219" i="1"/>
  <c r="F237" i="1"/>
  <c r="F256" i="1"/>
  <c r="F99" i="1"/>
  <c r="F398" i="1"/>
  <c r="F254" i="1"/>
  <c r="F110" i="1"/>
  <c r="F421" i="1"/>
  <c r="F277" i="1"/>
  <c r="F133" i="1"/>
  <c r="F11" i="1"/>
  <c r="F23" i="1"/>
  <c r="F322" i="1"/>
  <c r="F178" i="1"/>
  <c r="F34" i="1"/>
  <c r="F67" i="1"/>
  <c r="F366" i="1"/>
  <c r="F222" i="1"/>
  <c r="F78" i="1"/>
  <c r="F377" i="1"/>
  <c r="F233" i="1"/>
  <c r="F89" i="1"/>
  <c r="F88" i="1"/>
  <c r="F213" i="1"/>
  <c r="F333" i="1"/>
  <c r="F232" i="1"/>
  <c r="F208" i="1"/>
  <c r="F315" i="1"/>
  <c r="F80" i="1"/>
  <c r="F347" i="1"/>
  <c r="F243" i="1"/>
  <c r="F159" i="1"/>
  <c r="F340" i="1"/>
  <c r="F187" i="1"/>
  <c r="F76" i="1"/>
  <c r="F387" i="1"/>
  <c r="F261" i="1"/>
  <c r="F177" i="1"/>
  <c r="F176" i="1"/>
  <c r="F236" i="1"/>
  <c r="F87" i="1"/>
  <c r="F386" i="1"/>
  <c r="F242" i="1"/>
  <c r="F98" i="1"/>
  <c r="F409" i="1"/>
  <c r="F265" i="1"/>
  <c r="F121" i="1"/>
  <c r="F155" i="1"/>
  <c r="F454" i="1"/>
  <c r="F310" i="1"/>
  <c r="F166" i="1"/>
  <c r="F22" i="1"/>
  <c r="F55" i="1"/>
  <c r="F354" i="1"/>
  <c r="F210" i="1"/>
  <c r="F66" i="1"/>
  <c r="F365" i="1"/>
  <c r="F221" i="1"/>
  <c r="F77" i="1"/>
  <c r="F415" i="1"/>
  <c r="F151" i="1"/>
  <c r="F272" i="1"/>
  <c r="F171" i="1"/>
  <c r="F144" i="1"/>
  <c r="F252" i="1"/>
  <c r="F431" i="1"/>
  <c r="F307" i="1"/>
  <c r="F201" i="1"/>
  <c r="F104" i="1"/>
  <c r="F375" i="1"/>
  <c r="F312" i="1"/>
  <c r="F251" i="1"/>
  <c r="F292" i="1"/>
  <c r="F52" i="1"/>
  <c r="F211" i="1"/>
  <c r="F355" i="1"/>
  <c r="F16" i="1"/>
  <c r="F191" i="1"/>
  <c r="F391" i="1"/>
  <c r="F264" i="1"/>
  <c r="F160" i="1"/>
  <c r="F32" i="1"/>
  <c r="F216" i="1"/>
  <c r="F44" i="1"/>
  <c r="F408" i="1"/>
  <c r="F304" i="1"/>
  <c r="F179" i="1"/>
  <c r="F100" i="1"/>
  <c r="F441" i="1"/>
  <c r="F195" i="1"/>
  <c r="F63" i="1"/>
  <c r="F362" i="1"/>
  <c r="F218" i="1"/>
  <c r="F74" i="1"/>
  <c r="F385" i="1"/>
  <c r="F241" i="1"/>
  <c r="F97" i="1"/>
  <c r="F131" i="1"/>
  <c r="F430" i="1"/>
  <c r="F286" i="1"/>
  <c r="F142" i="1"/>
  <c r="F9" i="1"/>
  <c r="F31" i="1"/>
  <c r="F330" i="1"/>
  <c r="F186" i="1"/>
  <c r="F42" i="1"/>
  <c r="F341" i="1"/>
  <c r="F197" i="1"/>
  <c r="F53" i="1"/>
  <c r="F395" i="1"/>
  <c r="F33" i="1"/>
  <c r="F327" i="1"/>
  <c r="F443" i="1"/>
  <c r="F152" i="1"/>
  <c r="F338" i="1"/>
  <c r="F50" i="1"/>
  <c r="F217" i="1"/>
  <c r="F107" i="1"/>
  <c r="F262" i="1"/>
  <c r="F7" i="1"/>
  <c r="F306" i="1"/>
  <c r="F18" i="1"/>
  <c r="F173" i="1"/>
  <c r="F291" i="1"/>
  <c r="F456" i="1"/>
  <c r="F371" i="1"/>
  <c r="F139" i="1"/>
  <c r="F343" i="1"/>
  <c r="F369" i="1"/>
  <c r="F180" i="1"/>
  <c r="F423" i="1"/>
  <c r="F128" i="1"/>
  <c r="F326" i="1"/>
  <c r="F38" i="1"/>
  <c r="F205" i="1"/>
  <c r="F95" i="1"/>
  <c r="F250" i="1"/>
  <c r="F6" i="1"/>
  <c r="F120" i="1"/>
  <c r="F168" i="1"/>
  <c r="F453" i="1"/>
  <c r="F147" i="1"/>
  <c r="F231" i="1"/>
  <c r="F436" i="1"/>
  <c r="F123" i="1"/>
  <c r="F348" i="1"/>
  <c r="F224" i="1"/>
  <c r="F105" i="1"/>
  <c r="F424" i="1"/>
  <c r="F196" i="1"/>
  <c r="F452" i="1"/>
  <c r="F368" i="1"/>
  <c r="F263" i="1"/>
  <c r="F135" i="1"/>
  <c r="F28" i="1"/>
  <c r="F420" i="1"/>
  <c r="F175" i="1"/>
  <c r="F51" i="1"/>
  <c r="F350" i="1"/>
  <c r="F206" i="1"/>
  <c r="F62" i="1"/>
  <c r="F373" i="1"/>
  <c r="F229" i="1"/>
  <c r="F85" i="1"/>
  <c r="F119" i="1"/>
  <c r="F418" i="1"/>
  <c r="F274" i="1"/>
  <c r="F130" i="1"/>
  <c r="F8" i="1"/>
  <c r="F19" i="1"/>
  <c r="F318" i="1"/>
  <c r="F174" i="1"/>
  <c r="F30" i="1"/>
  <c r="F329" i="1"/>
  <c r="F185" i="1"/>
  <c r="F41" i="1"/>
  <c r="F399" i="1"/>
  <c r="F20" i="1"/>
  <c r="F84" i="1"/>
  <c r="F379" i="1"/>
  <c r="F412" i="1"/>
  <c r="F308" i="1"/>
  <c r="F183" i="1"/>
  <c r="F383" i="1"/>
  <c r="F153" i="1"/>
  <c r="F411" i="1"/>
  <c r="F223" i="1"/>
  <c r="F68" i="1"/>
  <c r="F400" i="1"/>
  <c r="F39" i="1"/>
  <c r="F194" i="1"/>
  <c r="F361" i="1"/>
  <c r="F73" i="1"/>
  <c r="F406" i="1"/>
  <c r="F118" i="1"/>
  <c r="F450" i="1"/>
  <c r="F162" i="1"/>
  <c r="F317" i="1"/>
  <c r="F29" i="1"/>
  <c r="F335" i="1"/>
  <c r="F419" i="1"/>
  <c r="F316" i="1"/>
  <c r="F267" i="1"/>
  <c r="F447" i="1"/>
  <c r="F129" i="1"/>
  <c r="F285" i="1"/>
  <c r="F444" i="1"/>
  <c r="F380" i="1"/>
  <c r="F27" i="1"/>
  <c r="F182" i="1"/>
  <c r="F349" i="1"/>
  <c r="F61" i="1"/>
  <c r="F394" i="1"/>
  <c r="F106" i="1"/>
  <c r="F372" i="1"/>
  <c r="F249" i="1"/>
  <c r="F117" i="1"/>
  <c r="F417" i="1"/>
  <c r="F296" i="1"/>
  <c r="F172" i="1"/>
  <c r="F396" i="1"/>
  <c r="F48" i="1"/>
  <c r="F235" i="1"/>
  <c r="F392" i="1"/>
  <c r="F3" i="1"/>
  <c r="F207" i="1"/>
  <c r="F40" i="1"/>
  <c r="F367" i="1"/>
  <c r="F283" i="1"/>
  <c r="F156" i="1"/>
  <c r="F309" i="1"/>
  <c r="F204" i="1"/>
  <c r="F108" i="1"/>
  <c r="F384" i="1"/>
  <c r="F416" i="1"/>
  <c r="F92" i="1"/>
  <c r="F165" i="1"/>
  <c r="F240" i="1"/>
  <c r="F287" i="1"/>
  <c r="F344" i="1"/>
  <c r="F279" i="1"/>
  <c r="F111" i="1"/>
  <c r="F266" i="1"/>
  <c r="F433" i="1"/>
  <c r="F145" i="1"/>
  <c r="F35" i="1"/>
  <c r="F190" i="1"/>
  <c r="F79" i="1"/>
  <c r="F258" i="1"/>
  <c r="F437" i="1"/>
  <c r="F209" i="1"/>
  <c r="F352" i="1"/>
  <c r="F225" i="1"/>
  <c r="F300" i="1"/>
  <c r="F220" i="1"/>
  <c r="F96" i="1"/>
  <c r="F75" i="1"/>
  <c r="F230" i="1"/>
  <c r="F397" i="1"/>
  <c r="F109" i="1"/>
  <c r="F154" i="1"/>
  <c r="F43" i="1"/>
  <c r="F246" i="1"/>
  <c r="F425" i="1"/>
  <c r="F161" i="1"/>
  <c r="F255" i="1"/>
  <c r="F203" i="1"/>
  <c r="F297" i="1"/>
  <c r="F301" i="1"/>
  <c r="F346" i="1"/>
  <c r="F138" i="1"/>
  <c r="F212" i="1"/>
  <c r="F60" i="1"/>
  <c r="F410" i="1"/>
  <c r="F12" i="1"/>
  <c r="F126" i="1"/>
  <c r="F148" i="1"/>
  <c r="F132" i="1"/>
  <c r="F253" i="1"/>
  <c r="F378" i="1"/>
  <c r="F65" i="1"/>
  <c r="F228" i="1"/>
  <c r="F247" i="1"/>
  <c r="F442" i="1"/>
  <c r="F72" i="1"/>
  <c r="F134" i="1"/>
  <c r="F402" i="1"/>
  <c r="F448" i="1"/>
  <c r="F276" i="1"/>
  <c r="F289" i="1"/>
  <c r="F46" i="1"/>
  <c r="F101" i="1"/>
  <c r="F407" i="1"/>
  <c r="F215" i="1"/>
  <c r="F143" i="1"/>
  <c r="F114" i="1"/>
  <c r="F56" i="1"/>
  <c r="F167" i="1"/>
  <c r="F184" i="1"/>
  <c r="F260" i="1"/>
  <c r="F164" i="1"/>
  <c r="F404" i="1"/>
  <c r="F359" i="1"/>
  <c r="F15" i="1"/>
  <c r="F170" i="1"/>
  <c r="F337" i="1"/>
  <c r="F49" i="1"/>
  <c r="F382" i="1"/>
  <c r="F94" i="1"/>
  <c r="F438" i="1"/>
  <c r="F234" i="1"/>
  <c r="F413" i="1"/>
  <c r="F149" i="1"/>
  <c r="F455" i="1"/>
  <c r="F439" i="1"/>
  <c r="F140" i="1"/>
  <c r="F199" i="1"/>
  <c r="F451" i="1"/>
  <c r="F363" i="1"/>
  <c r="F339" i="1"/>
  <c r="F446" i="1"/>
  <c r="F158" i="1"/>
  <c r="F325" i="1"/>
  <c r="F37" i="1"/>
  <c r="F370" i="1"/>
  <c r="F82" i="1"/>
  <c r="F426" i="1"/>
  <c r="F198" i="1"/>
  <c r="F401" i="1"/>
  <c r="F137" i="1"/>
  <c r="F336" i="1"/>
  <c r="F332" i="1"/>
  <c r="F429" i="1"/>
  <c r="F64" i="1"/>
  <c r="F244" i="1"/>
  <c r="F321" i="1"/>
  <c r="F319" i="1"/>
  <c r="F434" i="1"/>
  <c r="F146" i="1"/>
  <c r="F313" i="1"/>
  <c r="F25" i="1"/>
  <c r="F358" i="1"/>
  <c r="F70" i="1"/>
  <c r="F414" i="1"/>
  <c r="F150" i="1"/>
  <c r="F389" i="1"/>
  <c r="F125" i="1"/>
  <c r="F273" i="1"/>
  <c r="F280" i="1"/>
  <c r="F422" i="1"/>
  <c r="F13" i="1"/>
  <c r="F58" i="1"/>
  <c r="F353" i="1"/>
  <c r="F113" i="1"/>
  <c r="F192" i="1"/>
  <c r="F163" i="1"/>
  <c r="F122" i="1"/>
  <c r="F334" i="1"/>
  <c r="F305" i="1"/>
  <c r="F124" i="1"/>
  <c r="F36" i="1"/>
  <c r="F86" i="1"/>
  <c r="F298" i="1"/>
  <c r="F293" i="1"/>
  <c r="F259" i="1"/>
  <c r="F440" i="1"/>
  <c r="F435" i="1"/>
  <c r="F324" i="1"/>
  <c r="F351" i="1"/>
  <c r="F345" i="1"/>
  <c r="F381" i="1"/>
  <c r="F93" i="1"/>
  <c r="F314" i="1"/>
  <c r="F26" i="1"/>
  <c r="F193" i="1"/>
  <c r="F83" i="1"/>
  <c r="F238" i="1"/>
  <c r="F127" i="1"/>
  <c r="F342" i="1"/>
  <c r="F102" i="1"/>
  <c r="F281" i="1"/>
  <c r="F17" i="1"/>
  <c r="F311" i="1"/>
  <c r="F331" i="1"/>
  <c r="F405" i="1"/>
  <c r="F268" i="1"/>
  <c r="F136" i="1"/>
  <c r="F360" i="1"/>
  <c r="F57" i="1"/>
  <c r="F302" i="1"/>
  <c r="F14" i="1"/>
  <c r="F181" i="1"/>
  <c r="F71" i="1"/>
  <c r="F226" i="1"/>
  <c r="F115" i="1"/>
  <c r="F294" i="1"/>
  <c r="F90" i="1"/>
  <c r="F269" i="1"/>
  <c r="F5" i="1"/>
  <c r="F188" i="1"/>
  <c r="F288" i="1"/>
  <c r="F364" i="1"/>
  <c r="F141" i="1"/>
  <c r="F69" i="1"/>
  <c r="F320" i="1"/>
  <c r="F21" i="1"/>
  <c r="F290" i="1"/>
  <c r="F457" i="1"/>
  <c r="F169" i="1"/>
  <c r="F59" i="1"/>
  <c r="F214" i="1"/>
  <c r="F103" i="1"/>
  <c r="F282" i="1"/>
  <c r="F54" i="1"/>
  <c r="F257" i="1"/>
  <c r="F4" i="1"/>
  <c r="F357" i="1"/>
  <c r="F248" i="1"/>
  <c r="F323" i="1"/>
  <c r="F328" i="1"/>
  <c r="F427" i="1"/>
  <c r="F299" i="1"/>
  <c r="F81" i="1"/>
  <c r="F278" i="1"/>
  <c r="F445" i="1"/>
  <c r="F157" i="1"/>
  <c r="F47" i="1"/>
  <c r="F202" i="1"/>
  <c r="F91" i="1"/>
  <c r="F270" i="1"/>
  <c r="F449" i="1"/>
  <c r="F245" i="1"/>
  <c r="F239" i="1"/>
  <c r="F390" i="1"/>
  <c r="F24" i="1"/>
  <c r="F374" i="1"/>
  <c r="F10" i="1"/>
  <c r="F459" i="1" l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<sst xmlns="http://schemas.openxmlformats.org/spreadsheetml/2006/main" count="917" uniqueCount="462">
  <si>
    <t>Underlying</t>
  </si>
  <si>
    <t>Ticker</t>
  </si>
  <si>
    <t>Shares</t>
  </si>
  <si>
    <t>Notional USD</t>
  </si>
  <si>
    <t>% of total gross</t>
  </si>
  <si>
    <t>AAL</t>
  </si>
  <si>
    <t>AALG</t>
  </si>
  <si>
    <t>AAOI</t>
  </si>
  <si>
    <t>AAOX</t>
  </si>
  <si>
    <t>AAPL</t>
  </si>
  <si>
    <t>AAPB</t>
  </si>
  <si>
    <t>AAPU</t>
  </si>
  <si>
    <t>AAPX</t>
  </si>
  <si>
    <t>ABNB</t>
  </si>
  <si>
    <t>ABNG</t>
  </si>
  <si>
    <t>ACHR</t>
  </si>
  <si>
    <t>ARCX</t>
  </si>
  <si>
    <t>ADBE</t>
  </si>
  <si>
    <t>ADBG</t>
  </si>
  <si>
    <t>AFRM</t>
  </si>
  <si>
    <t>AFRU</t>
  </si>
  <si>
    <t>AI</t>
  </si>
  <si>
    <t>AIYY</t>
  </si>
  <si>
    <t>ALAB</t>
  </si>
  <si>
    <t>LABX</t>
  </si>
  <si>
    <t>AMD</t>
  </si>
  <si>
    <t>AMDG</t>
  </si>
  <si>
    <t>AMDL</t>
  </si>
  <si>
    <t>AMUU</t>
  </si>
  <si>
    <t>AMZN</t>
  </si>
  <si>
    <t>AMZU</t>
  </si>
  <si>
    <t>AMZZ</t>
  </si>
  <si>
    <t>APH</t>
  </si>
  <si>
    <t>APHU</t>
  </si>
  <si>
    <t>APLD</t>
  </si>
  <si>
    <t>APLX</t>
  </si>
  <si>
    <t>APLZ</t>
  </si>
  <si>
    <t>APP</t>
  </si>
  <si>
    <t>APPX</t>
  </si>
  <si>
    <t>ARKK</t>
  </si>
  <si>
    <t>TARK</t>
  </si>
  <si>
    <t>ARM</t>
  </si>
  <si>
    <t>ARMG</t>
  </si>
  <si>
    <t>ASHR</t>
  </si>
  <si>
    <t>CHAU</t>
  </si>
  <si>
    <t>ASML</t>
  </si>
  <si>
    <t>ASMG</t>
  </si>
  <si>
    <t>ASMU</t>
  </si>
  <si>
    <t>ASTS</t>
  </si>
  <si>
    <t>ASTN</t>
  </si>
  <si>
    <t>ASTX</t>
  </si>
  <si>
    <t>AVGO</t>
  </si>
  <si>
    <t>AVGG</t>
  </si>
  <si>
    <t>AVGU</t>
  </si>
  <si>
    <t>AVL</t>
  </si>
  <si>
    <t>AXP</t>
  </si>
  <si>
    <t>AXPG</t>
  </si>
  <si>
    <t>BA</t>
  </si>
  <si>
    <t>BOEG</t>
  </si>
  <si>
    <t>BOEU</t>
  </si>
  <si>
    <t>BABA</t>
  </si>
  <si>
    <t>BABU</t>
  </si>
  <si>
    <t>BABX</t>
  </si>
  <si>
    <t>BBAI</t>
  </si>
  <si>
    <t>BAIG</t>
  </si>
  <si>
    <t>BE</t>
  </si>
  <si>
    <t>BEG</t>
  </si>
  <si>
    <t>BEX</t>
  </si>
  <si>
    <t>BEZ</t>
  </si>
  <si>
    <t>BIDU</t>
  </si>
  <si>
    <t>BIDG</t>
  </si>
  <si>
    <t>BLSH</t>
  </si>
  <si>
    <t>BLSG</t>
  </si>
  <si>
    <t>BMNR</t>
  </si>
  <si>
    <t>BMNG</t>
  </si>
  <si>
    <t>BMNU</t>
  </si>
  <si>
    <t>BRK-B</t>
  </si>
  <si>
    <t>BRKU</t>
  </si>
  <si>
    <t>BULL</t>
  </si>
  <si>
    <t>BULG</t>
  </si>
  <si>
    <t>BULX</t>
  </si>
  <si>
    <t>CEG</t>
  </si>
  <si>
    <t>CEGX</t>
  </si>
  <si>
    <t>CIFR</t>
  </si>
  <si>
    <t>CIFG</t>
  </si>
  <si>
    <t>CIFU</t>
  </si>
  <si>
    <t>CLS</t>
  </si>
  <si>
    <t>CSEX</t>
  </si>
  <si>
    <t>CLSK</t>
  </si>
  <si>
    <t>CLSX</t>
  </si>
  <si>
    <t>CLSZ</t>
  </si>
  <si>
    <t>CMG</t>
  </si>
  <si>
    <t>CMGG</t>
  </si>
  <si>
    <t>CNC</t>
  </si>
  <si>
    <t>CNCG</t>
  </si>
  <si>
    <t>COHR</t>
  </si>
  <si>
    <t>COHX</t>
  </si>
  <si>
    <t>COIN</t>
  </si>
  <si>
    <t>COIA</t>
  </si>
  <si>
    <t>COIG</t>
  </si>
  <si>
    <t>CONL</t>
  </si>
  <si>
    <t>CONX</t>
  </si>
  <si>
    <t>COYY</t>
  </si>
  <si>
    <t>COPX</t>
  </si>
  <si>
    <t>COPZ</t>
  </si>
  <si>
    <t>CORZ</t>
  </si>
  <si>
    <t>COZX</t>
  </si>
  <si>
    <t>COST</t>
  </si>
  <si>
    <t>COTG</t>
  </si>
  <si>
    <t>CRCL</t>
  </si>
  <si>
    <t>CCUP</t>
  </si>
  <si>
    <t>CRCA</t>
  </si>
  <si>
    <t>CRCG</t>
  </si>
  <si>
    <t>CRDO</t>
  </si>
  <si>
    <t>CRDU</t>
  </si>
  <si>
    <t>CRM</t>
  </si>
  <si>
    <t>CRMG</t>
  </si>
  <si>
    <t>CRML</t>
  </si>
  <si>
    <t>CRMU</t>
  </si>
  <si>
    <t>CRWD</t>
  </si>
  <si>
    <t>CRWL</t>
  </si>
  <si>
    <t>CRWV</t>
  </si>
  <si>
    <t>CORD</t>
  </si>
  <si>
    <t>CRWG</t>
  </si>
  <si>
    <t>CRWU</t>
  </si>
  <si>
    <t>CWVX</t>
  </si>
  <si>
    <t>CSCO</t>
  </si>
  <si>
    <t>CSCL</t>
  </si>
  <si>
    <t>DDOG</t>
  </si>
  <si>
    <t>DOGD</t>
  </si>
  <si>
    <t>DELL</t>
  </si>
  <si>
    <t>DLLL</t>
  </si>
  <si>
    <t>DJT</t>
  </si>
  <si>
    <t>DJTU</t>
  </si>
  <si>
    <t>DKNG</t>
  </si>
  <si>
    <t>DRAY</t>
  </si>
  <si>
    <t>DNN</t>
  </si>
  <si>
    <t>DNNG</t>
  </si>
  <si>
    <t>DUOL</t>
  </si>
  <si>
    <t>DUOG</t>
  </si>
  <si>
    <t>ETHA</t>
  </si>
  <si>
    <t>ETHT</t>
  </si>
  <si>
    <t>ETHU</t>
  </si>
  <si>
    <t>ETU</t>
  </si>
  <si>
    <t>ETOR</t>
  </si>
  <si>
    <t>ETRL</t>
  </si>
  <si>
    <t>EWW</t>
  </si>
  <si>
    <t>MEXX</t>
  </si>
  <si>
    <t>EWY</t>
  </si>
  <si>
    <t>KORU</t>
  </si>
  <si>
    <t>FCX</t>
  </si>
  <si>
    <t>FCXG</t>
  </si>
  <si>
    <t>FIG</t>
  </si>
  <si>
    <t>FIGG</t>
  </si>
  <si>
    <t>FIGR</t>
  </si>
  <si>
    <t>FGRU</t>
  </si>
  <si>
    <t>FLY</t>
  </si>
  <si>
    <t>FLYT</t>
  </si>
  <si>
    <t>FUTU</t>
  </si>
  <si>
    <t>FUTG</t>
  </si>
  <si>
    <t>FXI</t>
  </si>
  <si>
    <t>YINN</t>
  </si>
  <si>
    <t>GDX</t>
  </si>
  <si>
    <t>GDXU</t>
  </si>
  <si>
    <t>NUGT</t>
  </si>
  <si>
    <t>GDXJ</t>
  </si>
  <si>
    <t>JNUG</t>
  </si>
  <si>
    <t>GEMI</t>
  </si>
  <si>
    <t>GEMG</t>
  </si>
  <si>
    <t>GEV</t>
  </si>
  <si>
    <t>GEVG</t>
  </si>
  <si>
    <t>GEVX</t>
  </si>
  <si>
    <t>GLW</t>
  </si>
  <si>
    <t>GLWG</t>
  </si>
  <si>
    <t>GLXY</t>
  </si>
  <si>
    <t>GLGG</t>
  </si>
  <si>
    <t>GLXU</t>
  </si>
  <si>
    <t>GME</t>
  </si>
  <si>
    <t>GMEU</t>
  </si>
  <si>
    <t>GMEY</t>
  </si>
  <si>
    <t>GOOGL</t>
  </si>
  <si>
    <t>GGLL</t>
  </si>
  <si>
    <t>GOOX</t>
  </si>
  <si>
    <t>GOU</t>
  </si>
  <si>
    <t>GRAB</t>
  </si>
  <si>
    <t>GRAG</t>
  </si>
  <si>
    <t>GSOL</t>
  </si>
  <si>
    <t>SOLX</t>
  </si>
  <si>
    <t>HIMS</t>
  </si>
  <si>
    <t>HMYY</t>
  </si>
  <si>
    <t>HL</t>
  </si>
  <si>
    <t>HLXX</t>
  </si>
  <si>
    <t>HOOD</t>
  </si>
  <si>
    <t>HODU</t>
  </si>
  <si>
    <t>HOOG</t>
  </si>
  <si>
    <t>ROBN</t>
  </si>
  <si>
    <t>HUT</t>
  </si>
  <si>
    <t>HUTG</t>
  </si>
  <si>
    <t>IBIT</t>
  </si>
  <si>
    <t>BITU</t>
  </si>
  <si>
    <t>BITX</t>
  </si>
  <si>
    <t>BTCL</t>
  </si>
  <si>
    <t>XBTY</t>
  </si>
  <si>
    <t>INTC</t>
  </si>
  <si>
    <t>INTW</t>
  </si>
  <si>
    <t>LINT</t>
  </si>
  <si>
    <t>IONQ</t>
  </si>
  <si>
    <t>IONL</t>
  </si>
  <si>
    <t>IOYY</t>
  </si>
  <si>
    <t>IREN</t>
  </si>
  <si>
    <t>IREG</t>
  </si>
  <si>
    <t>IREX</t>
  </si>
  <si>
    <t>IREZ</t>
  </si>
  <si>
    <t>ISRG</t>
  </si>
  <si>
    <t>ISUL</t>
  </si>
  <si>
    <t>JOBY</t>
  </si>
  <si>
    <t>JOBX</t>
  </si>
  <si>
    <t>KLAC</t>
  </si>
  <si>
    <t>KLAG</t>
  </si>
  <si>
    <t>KTOS</t>
  </si>
  <si>
    <t>KTUP</t>
  </si>
  <si>
    <t>KWEB</t>
  </si>
  <si>
    <t>CWEB</t>
  </si>
  <si>
    <t>LAC</t>
  </si>
  <si>
    <t>LACG</t>
  </si>
  <si>
    <t>LCID</t>
  </si>
  <si>
    <t>LCDL</t>
  </si>
  <si>
    <t>LEU</t>
  </si>
  <si>
    <t>LEUX</t>
  </si>
  <si>
    <t>LITE</t>
  </si>
  <si>
    <t>LITX</t>
  </si>
  <si>
    <t>LLY</t>
  </si>
  <si>
    <t>ELIL</t>
  </si>
  <si>
    <t>LMT</t>
  </si>
  <si>
    <t>LMTL</t>
  </si>
  <si>
    <t>LRCX</t>
  </si>
  <si>
    <t>LRCU</t>
  </si>
  <si>
    <t>LULU</t>
  </si>
  <si>
    <t>LULG</t>
  </si>
  <si>
    <t>LUNR</t>
  </si>
  <si>
    <t>LUNL</t>
  </si>
  <si>
    <t>MARA</t>
  </si>
  <si>
    <t>MAAY</t>
  </si>
  <si>
    <t>MRAL</t>
  </si>
  <si>
    <t>META</t>
  </si>
  <si>
    <t>FBL</t>
  </si>
  <si>
    <t>FBYY</t>
  </si>
  <si>
    <t>METU</t>
  </si>
  <si>
    <t>MP</t>
  </si>
  <si>
    <t>MPG</t>
  </si>
  <si>
    <t>MRNA</t>
  </si>
  <si>
    <t>MRNX</t>
  </si>
  <si>
    <t>MRVL</t>
  </si>
  <si>
    <t>MRVU</t>
  </si>
  <si>
    <t>MVLL</t>
  </si>
  <si>
    <t>MSFT</t>
  </si>
  <si>
    <t>MSFL</t>
  </si>
  <si>
    <t>MSFU</t>
  </si>
  <si>
    <t>MSFX</t>
  </si>
  <si>
    <t>MSTR</t>
  </si>
  <si>
    <t>MSTP</t>
  </si>
  <si>
    <t>MSTU</t>
  </si>
  <si>
    <t>MSTZ</t>
  </si>
  <si>
    <t>MTYY</t>
  </si>
  <si>
    <t>MU</t>
  </si>
  <si>
    <t>MULL</t>
  </si>
  <si>
    <t>MUU</t>
  </si>
  <si>
    <t>NBIS</t>
  </si>
  <si>
    <t>NBIG</t>
  </si>
  <si>
    <t>NBIL</t>
  </si>
  <si>
    <t>NBIZ</t>
  </si>
  <si>
    <t>NEBX</t>
  </si>
  <si>
    <t>NEM</t>
  </si>
  <si>
    <t>NEMG</t>
  </si>
  <si>
    <t>NET</t>
  </si>
  <si>
    <t>NETG</t>
  </si>
  <si>
    <t>NFLX</t>
  </si>
  <si>
    <t>NFLU</t>
  </si>
  <si>
    <t>NFXL</t>
  </si>
  <si>
    <t>NIO</t>
  </si>
  <si>
    <t>NIOG</t>
  </si>
  <si>
    <t>NOK</t>
  </si>
  <si>
    <t>LNOK</t>
  </si>
  <si>
    <t>NOW</t>
  </si>
  <si>
    <t>NOWL</t>
  </si>
  <si>
    <t>NU</t>
  </si>
  <si>
    <t>NUG</t>
  </si>
  <si>
    <t>NVDA</t>
  </si>
  <si>
    <t>NVDB</t>
  </si>
  <si>
    <t>NVDG</t>
  </si>
  <si>
    <t>NVDL</t>
  </si>
  <si>
    <t>NVDQ</t>
  </si>
  <si>
    <t>NVDU</t>
  </si>
  <si>
    <t>NVDX</t>
  </si>
  <si>
    <t>NVTS</t>
  </si>
  <si>
    <t>NVTX</t>
  </si>
  <si>
    <t>OKLO</t>
  </si>
  <si>
    <t>OKLL</t>
  </si>
  <si>
    <t>OKTA</t>
  </si>
  <si>
    <t>OKTG</t>
  </si>
  <si>
    <t>ONDS</t>
  </si>
  <si>
    <t>ONDG</t>
  </si>
  <si>
    <t>OPEN</t>
  </si>
  <si>
    <t>OPEG</t>
  </si>
  <si>
    <t>OPEX</t>
  </si>
  <si>
    <t>ORCL</t>
  </si>
  <si>
    <t>ORCU</t>
  </si>
  <si>
    <t>ORLY</t>
  </si>
  <si>
    <t>ORLG</t>
  </si>
  <si>
    <t>OSCR</t>
  </si>
  <si>
    <t>OSCG</t>
  </si>
  <si>
    <t>PAAS</t>
  </si>
  <si>
    <t>PAAU</t>
  </si>
  <si>
    <t>PANW</t>
  </si>
  <si>
    <t>PALU</t>
  </si>
  <si>
    <t>PANG</t>
  </si>
  <si>
    <t>PBR</t>
  </si>
  <si>
    <t>PBRG</t>
  </si>
  <si>
    <t>PDD</t>
  </si>
  <si>
    <t>PDDL</t>
  </si>
  <si>
    <t>PLTR</t>
  </si>
  <si>
    <t>PLTA</t>
  </si>
  <si>
    <t>PLTG</t>
  </si>
  <si>
    <t>PLTU</t>
  </si>
  <si>
    <t>PTIR</t>
  </si>
  <si>
    <t>PLUG</t>
  </si>
  <si>
    <t>PLUL</t>
  </si>
  <si>
    <t>PONY</t>
  </si>
  <si>
    <t>PONX</t>
  </si>
  <si>
    <t>PYPL</t>
  </si>
  <si>
    <t>PYPG</t>
  </si>
  <si>
    <t>PYPU</t>
  </si>
  <si>
    <t>QBTS</t>
  </si>
  <si>
    <t>QBTX</t>
  </si>
  <si>
    <t>QBY</t>
  </si>
  <si>
    <t>QCOM</t>
  </si>
  <si>
    <t>QCML</t>
  </si>
  <si>
    <t>QCMU</t>
  </si>
  <si>
    <t>QUBT</t>
  </si>
  <si>
    <t>QUBX</t>
  </si>
  <si>
    <t>RBLX</t>
  </si>
  <si>
    <t>RBLU</t>
  </si>
  <si>
    <t>RCAT</t>
  </si>
  <si>
    <t>RCAX</t>
  </si>
  <si>
    <t>RDDT</t>
  </si>
  <si>
    <t>RDTL</t>
  </si>
  <si>
    <t>RDYY</t>
  </si>
  <si>
    <t>RDW</t>
  </si>
  <si>
    <t>RDWU</t>
  </si>
  <si>
    <t>RGTI</t>
  </si>
  <si>
    <t>RGTU</t>
  </si>
  <si>
    <t>RIVN</t>
  </si>
  <si>
    <t>RVNL</t>
  </si>
  <si>
    <t>RKT</t>
  </si>
  <si>
    <t>RKTL</t>
  </si>
  <si>
    <t>RTX</t>
  </si>
  <si>
    <t>RTXG</t>
  </si>
  <si>
    <t>SATS</t>
  </si>
  <si>
    <t>SATG</t>
  </si>
  <si>
    <t>SBET</t>
  </si>
  <si>
    <t>SBTU</t>
  </si>
  <si>
    <t>SBUX</t>
  </si>
  <si>
    <t>SBU</t>
  </si>
  <si>
    <t>SHOP</t>
  </si>
  <si>
    <t>SHPU</t>
  </si>
  <si>
    <t>SMCI</t>
  </si>
  <si>
    <t>SMCL</t>
  </si>
  <si>
    <t>SMYY</t>
  </si>
  <si>
    <t>SMR</t>
  </si>
  <si>
    <t>SMU</t>
  </si>
  <si>
    <t>SMZ</t>
  </si>
  <si>
    <t>SNAP</t>
  </si>
  <si>
    <t>SNAG</t>
  </si>
  <si>
    <t>SNDK</t>
  </si>
  <si>
    <t>SNDU</t>
  </si>
  <si>
    <t>SNXX</t>
  </si>
  <si>
    <t>SNOW</t>
  </si>
  <si>
    <t>SNOU</t>
  </si>
  <si>
    <t>SNPS</t>
  </si>
  <si>
    <t>SNPX</t>
  </si>
  <si>
    <t>SOEZ</t>
  </si>
  <si>
    <t>SOLT</t>
  </si>
  <si>
    <t>SOFI</t>
  </si>
  <si>
    <t>SOFA</t>
  </si>
  <si>
    <t>SOXX</t>
  </si>
  <si>
    <t>SOXL</t>
  </si>
  <si>
    <t>SOXS</t>
  </si>
  <si>
    <t>SPHB</t>
  </si>
  <si>
    <t>HIBL</t>
  </si>
  <si>
    <t>SPOT</t>
  </si>
  <si>
    <t>SPOG</t>
  </si>
  <si>
    <t>SRPT</t>
  </si>
  <si>
    <t>SRPU</t>
  </si>
  <si>
    <t>TEM</t>
  </si>
  <si>
    <t>TEMT</t>
  </si>
  <si>
    <t>TER</t>
  </si>
  <si>
    <t>TERG</t>
  </si>
  <si>
    <t>TSLA</t>
  </si>
  <si>
    <t>TSLG</t>
  </si>
  <si>
    <t>TSLI</t>
  </si>
  <si>
    <t>TSLL</t>
  </si>
  <si>
    <t>TSLQ</t>
  </si>
  <si>
    <t>TSLR</t>
  </si>
  <si>
    <t>TSLT</t>
  </si>
  <si>
    <t>TSM</t>
  </si>
  <si>
    <t>TSMG</t>
  </si>
  <si>
    <t>TSMU</t>
  </si>
  <si>
    <t>TSMX</t>
  </si>
  <si>
    <t>TTD</t>
  </si>
  <si>
    <t>TTDU</t>
  </si>
  <si>
    <t>TXN</t>
  </si>
  <si>
    <t>TXNU</t>
  </si>
  <si>
    <t>U</t>
  </si>
  <si>
    <t>UNX</t>
  </si>
  <si>
    <t>UBER</t>
  </si>
  <si>
    <t>UBRL</t>
  </si>
  <si>
    <t>UEC</t>
  </si>
  <si>
    <t>UECG</t>
  </si>
  <si>
    <t>UNH</t>
  </si>
  <si>
    <t>UNHG</t>
  </si>
  <si>
    <t>UNHU</t>
  </si>
  <si>
    <t>UPS</t>
  </si>
  <si>
    <t>UPSG</t>
  </si>
  <si>
    <t>UPST</t>
  </si>
  <si>
    <t>UPSX</t>
  </si>
  <si>
    <t>URA</t>
  </si>
  <si>
    <t>URAA</t>
  </si>
  <si>
    <t>USAR</t>
  </si>
  <si>
    <t>USGG</t>
  </si>
  <si>
    <t>UUUU</t>
  </si>
  <si>
    <t>UUUG</t>
  </si>
  <si>
    <t>VALE</t>
  </si>
  <si>
    <t>VALG</t>
  </si>
  <si>
    <t>VOYG</t>
  </si>
  <si>
    <t>VOYX</t>
  </si>
  <si>
    <t>VRT</t>
  </si>
  <si>
    <t>VRTL</t>
  </si>
  <si>
    <t>WDC</t>
  </si>
  <si>
    <t>WDCX</t>
  </si>
  <si>
    <t>WULF</t>
  </si>
  <si>
    <t>WULX</t>
  </si>
  <si>
    <t>XBI</t>
  </si>
  <si>
    <t>LABU</t>
  </si>
  <si>
    <t>XLE</t>
  </si>
  <si>
    <t>ERX</t>
  </si>
  <si>
    <t>XOM</t>
  </si>
  <si>
    <t>XOMX</t>
  </si>
  <si>
    <t>XOP</t>
  </si>
  <si>
    <t>GUSH</t>
  </si>
  <si>
    <t>XPEV</t>
  </si>
  <si>
    <t>XPEG</t>
  </si>
  <si>
    <t>XRPZ</t>
  </si>
  <si>
    <t>UXRP</t>
  </si>
  <si>
    <t>XRPK</t>
  </si>
  <si>
    <t>XRPT</t>
  </si>
  <si>
    <t>XXRP</t>
  </si>
  <si>
    <t>XYZ</t>
  </si>
  <si>
    <t>XYZG</t>
  </si>
  <si>
    <t>ZETA</t>
  </si>
  <si>
    <t>ZETX</t>
  </si>
  <si>
    <t>Total</t>
  </si>
  <si>
    <t>Price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</si>
</sst>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* #,##0_);_(* \(#,##0\);_(* &quot;-&quot;??_);_(@_)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0">
    <xf numFmtId="0" fontId="0" fillId="0" borderId="0" xfId="0"/>
    <xf numFmtId="10" fontId="0" fillId="0" borderId="0" xfId="0" applyNumberFormat="1"/>
    <xf numFmtId="2" fontId="0" fillId="0" borderId="0" xfId="0" applyNumberFormat="1"/>
    <xf numFmtId="0" fontId="0" fillId="2" borderId="1" xfId="0" applyFill="1" applyBorder="1"/>
    <xf numFmtId="164" fontId="0" fillId="2" borderId="1" xfId="0" applyNumberFormat="1" applyFill="1" applyBorder="1"/>
    <xf numFmtId="9" fontId="0" fillId="2" borderId="1" xfId="2" applyFont="1" applyFill="1" applyBorder="1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1" fontId="0" fillId="0" borderId="0" xfId="0" applyNumberFormat="1"/>
    <xf numFmtId="43" fontId="0" fillId="0" borderId="0" xfId="1" applyNumberFormat="1" applyFont="1"/>
  </cellXfs>
  <cellStyles count="3">
    <cellStyle name="Currency" xfId="1" builtinId="4"/>
    <cellStyle name="Normal" xfId="0" builtinId="0"/>
    <cellStyle name="Percent" xfId="2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G459"/>
  <sheetViews>
    <sheetView tabSelected="1" workbookViewId="0">
      <pane ySplit="2" topLeftCell="A3" activePane="bottomLeft" state="frozen"/>
      <selection pane="bottomLeft" activeCell="H11" sqref="H11"/>
    </sheetView>
  </sheetViews>
  <sheetFormatPr defaultRowHeight="14.5" x14ac:dyDescent="0.35"/>
  <cols>
    <col min="1" max="1" width="9.81640625" bestFit="1" customWidth="1"/>
    <col min="2" max="2" width="6.90625" bestFit="1" customWidth="1"/>
    <col min="3" max="3" width="15.08984375" bestFit="1" customWidth="1"/>
    <col min="4" max="4" width="16.36328125" bestFit="1" customWidth="1"/>
    <col min="5" max="5" width="14.26953125" bestFit="1" customWidth="1"/>
    <col min="6" max="6" width="13.6328125" bestFit="1" customWidth="1"/>
  </cols>
  <sheetData>
    <row r="2" spans="1:7" x14ac:dyDescent="0.35">
      <c r="A2" s="6" t="s">
        <v>0</v>
      </c>
      <c r="B2" s="6" t="s">
        <v>1</v>
      </c>
      <c r="C2" s="6" t="s">
        <v>2</v>
      </c>
      <c r="D2" s="6" t="s">
        <v>461</v>
      </c>
      <c r="E2" s="6" t="s">
        <v>3</v>
      </c>
      <c r="F2" s="6" t="s">
        <v>4</v>
      </c>
    </row>
    <row r="3" spans="1:7" x14ac:dyDescent="0.35">
      <c r="A3" s="7" t="s">
        <v>5</v>
      </c>
      <c r="B3" t="s">
        <v>5</v>
      </c>
      <c r="C3" s="8">
        <v>4405</v>
      </c>
      <c r="D3" s="2">
        <v>10.180000305175779</v>
      </c>
      <c r="E3" s="9">
        <f t="shared" ref="E3:E66" si="0">C3*D3</f>
        <v>44842.901344299309</v>
      </c>
      <c r="F3" s="1">
        <f t="shared" ref="F3:F66" si="1">IF($E$459=0,"",ABS(E3)/$E$459)</f>
        <v>6.3140829483357387E-4</v>
      </c>
      <c r="G3" s="8"/>
    </row>
    <row r="4" spans="1:7" x14ac:dyDescent="0.35">
      <c r="A4" s="7" t="s">
        <v>5</v>
      </c>
      <c r="B4" t="s">
        <v>6</v>
      </c>
      <c r="C4" s="8">
        <v>-3111</v>
      </c>
      <c r="D4" s="2">
        <v>7.1739997863769531</v>
      </c>
      <c r="E4" s="9">
        <f t="shared" si="0"/>
        <v>-22318.313335418701</v>
      </c>
      <c r="F4" s="1">
        <f t="shared" si="1"/>
        <v>3.1425192715523495E-4</v>
      </c>
      <c r="G4" s="8"/>
    </row>
    <row r="5" spans="1:7" x14ac:dyDescent="0.35">
      <c r="A5" s="7" t="s">
        <v>7</v>
      </c>
      <c r="B5" t="s">
        <v>7</v>
      </c>
      <c r="C5" s="8">
        <v>468</v>
      </c>
      <c r="D5" s="2">
        <v>85.19000244140625</v>
      </c>
      <c r="E5" s="9">
        <f t="shared" si="0"/>
        <v>39868.921142578125</v>
      </c>
      <c r="F5" s="1">
        <f t="shared" si="1"/>
        <v>5.613724081367827E-4</v>
      </c>
      <c r="G5" s="8"/>
    </row>
    <row r="6" spans="1:7" x14ac:dyDescent="0.35">
      <c r="A6" s="7" t="s">
        <v>7</v>
      </c>
      <c r="B6" t="s">
        <v>8</v>
      </c>
      <c r="C6" s="8">
        <v>-937</v>
      </c>
      <c r="D6" s="2">
        <v>18.25</v>
      </c>
      <c r="E6" s="9">
        <f t="shared" si="0"/>
        <v>-17100.25</v>
      </c>
      <c r="F6" s="1">
        <f t="shared" si="1"/>
        <v>2.4077923974694893E-4</v>
      </c>
      <c r="G6" s="8"/>
    </row>
    <row r="7" spans="1:7" x14ac:dyDescent="0.35">
      <c r="A7" s="7" t="s">
        <v>9</v>
      </c>
      <c r="B7" t="s">
        <v>9</v>
      </c>
      <c r="C7" s="8">
        <v>3555</v>
      </c>
      <c r="D7" s="2">
        <v>246.6300048828125</v>
      </c>
      <c r="E7" s="9">
        <f t="shared" si="0"/>
        <v>876769.66735839844</v>
      </c>
      <c r="F7" s="1">
        <f t="shared" si="1"/>
        <v>1.2345312725822165E-2</v>
      </c>
      <c r="G7" s="8"/>
    </row>
    <row r="8" spans="1:7" x14ac:dyDescent="0.35">
      <c r="A8" s="7" t="s">
        <v>9</v>
      </c>
      <c r="B8" t="s">
        <v>10</v>
      </c>
      <c r="C8" s="8">
        <v>-8402</v>
      </c>
      <c r="D8" s="2">
        <v>25.64999961853027</v>
      </c>
      <c r="E8" s="9">
        <f t="shared" si="0"/>
        <v>-215511.29679489133</v>
      </c>
      <c r="F8" s="1">
        <f t="shared" si="1"/>
        <v>3.0344963494190439E-3</v>
      </c>
      <c r="G8" s="8"/>
    </row>
    <row r="9" spans="1:7" x14ac:dyDescent="0.35">
      <c r="A9" s="7" t="s">
        <v>9</v>
      </c>
      <c r="B9" t="s">
        <v>11</v>
      </c>
      <c r="C9" s="8">
        <v>-7419</v>
      </c>
      <c r="D9" s="2">
        <v>26.530000686645511</v>
      </c>
      <c r="E9" s="9">
        <f t="shared" si="0"/>
        <v>-196826.07509422305</v>
      </c>
      <c r="F9" s="1">
        <f t="shared" si="1"/>
        <v>2.7713999926061257E-3</v>
      </c>
      <c r="G9" s="8"/>
    </row>
    <row r="10" spans="1:7" x14ac:dyDescent="0.35">
      <c r="A10" s="7" t="s">
        <v>9</v>
      </c>
      <c r="B10" t="s">
        <v>12</v>
      </c>
      <c r="C10" s="8">
        <v>-1023</v>
      </c>
      <c r="D10" s="2">
        <v>24.079999923706051</v>
      </c>
      <c r="E10" s="9">
        <f t="shared" si="0"/>
        <v>-24633.83992195129</v>
      </c>
      <c r="F10" s="1">
        <f t="shared" si="1"/>
        <v>3.4685558681630217E-4</v>
      </c>
      <c r="G10" s="8"/>
    </row>
    <row r="11" spans="1:7" x14ac:dyDescent="0.35">
      <c r="A11" s="7" t="s">
        <v>13</v>
      </c>
      <c r="B11" t="s">
        <v>13</v>
      </c>
      <c r="C11" s="8">
        <v>62</v>
      </c>
      <c r="D11" s="2">
        <v>123.09999847412109</v>
      </c>
      <c r="E11" s="9">
        <f t="shared" si="0"/>
        <v>7632.1999053955078</v>
      </c>
      <c r="F11" s="1">
        <f t="shared" si="1"/>
        <v>1.0746482015279694E-4</v>
      </c>
      <c r="G11" s="8"/>
    </row>
    <row r="12" spans="1:7" x14ac:dyDescent="0.35">
      <c r="A12" s="7" t="s">
        <v>13</v>
      </c>
      <c r="B12" t="s">
        <v>14</v>
      </c>
      <c r="C12" s="8">
        <v>-274</v>
      </c>
      <c r="D12" s="2">
        <v>14.02000045776367</v>
      </c>
      <c r="E12" s="9">
        <f t="shared" si="0"/>
        <v>-3841.4801254272456</v>
      </c>
      <c r="F12" s="1">
        <f t="shared" si="1"/>
        <v>5.4089774366069866E-5</v>
      </c>
      <c r="G12" s="8"/>
    </row>
    <row r="13" spans="1:7" x14ac:dyDescent="0.35">
      <c r="A13" s="7" t="s">
        <v>15</v>
      </c>
      <c r="B13" t="s">
        <v>15</v>
      </c>
      <c r="C13" s="8">
        <v>18454</v>
      </c>
      <c r="D13" s="2">
        <v>4.940000057220459</v>
      </c>
      <c r="E13" s="9">
        <f t="shared" si="0"/>
        <v>91162.76105594635</v>
      </c>
      <c r="F13" s="1">
        <f t="shared" si="1"/>
        <v>1.2836128302383604E-3</v>
      </c>
      <c r="G13" s="8"/>
    </row>
    <row r="14" spans="1:7" x14ac:dyDescent="0.35">
      <c r="A14" s="7" t="s">
        <v>15</v>
      </c>
      <c r="B14" t="s">
        <v>16</v>
      </c>
      <c r="C14" s="8">
        <v>-3318</v>
      </c>
      <c r="D14" s="2">
        <v>13.38000011444092</v>
      </c>
      <c r="E14" s="9">
        <f t="shared" si="0"/>
        <v>-44394.840379714973</v>
      </c>
      <c r="F14" s="1">
        <f t="shared" si="1"/>
        <v>6.2509939417932021E-4</v>
      </c>
      <c r="G14" s="8"/>
    </row>
    <row r="15" spans="1:7" x14ac:dyDescent="0.35">
      <c r="A15" s="7" t="s">
        <v>17</v>
      </c>
      <c r="B15" t="s">
        <v>17</v>
      </c>
      <c r="C15" s="8">
        <v>504</v>
      </c>
      <c r="D15" s="2">
        <v>241.1300048828125</v>
      </c>
      <c r="E15" s="9">
        <f t="shared" si="0"/>
        <v>121529.5224609375</v>
      </c>
      <c r="F15" s="1">
        <f t="shared" si="1"/>
        <v>1.7111905396093206E-3</v>
      </c>
      <c r="G15" s="8"/>
    </row>
    <row r="16" spans="1:7" x14ac:dyDescent="0.35">
      <c r="A16" s="7" t="s">
        <v>17</v>
      </c>
      <c r="B16" t="s">
        <v>18</v>
      </c>
      <c r="C16" s="8">
        <v>-13902</v>
      </c>
      <c r="D16" s="2">
        <v>4.5199999809265137</v>
      </c>
      <c r="E16" s="9">
        <f t="shared" si="0"/>
        <v>-62837.039734840393</v>
      </c>
      <c r="F16" s="1">
        <f t="shared" si="1"/>
        <v>8.847738866568437E-4</v>
      </c>
      <c r="G16" s="8"/>
    </row>
    <row r="17" spans="1:7" x14ac:dyDescent="0.35">
      <c r="A17" s="7" t="s">
        <v>19</v>
      </c>
      <c r="B17" t="s">
        <v>19</v>
      </c>
      <c r="C17" s="8">
        <v>3173</v>
      </c>
      <c r="D17" s="2">
        <v>43.029998779296882</v>
      </c>
      <c r="E17" s="9">
        <f t="shared" si="0"/>
        <v>136534.18612670901</v>
      </c>
      <c r="F17" s="1">
        <f t="shared" si="1"/>
        <v>1.9224629777376014E-3</v>
      </c>
      <c r="G17" s="8"/>
    </row>
    <row r="18" spans="1:7" x14ac:dyDescent="0.35">
      <c r="A18" s="7" t="s">
        <v>19</v>
      </c>
      <c r="B18" t="s">
        <v>20</v>
      </c>
      <c r="C18" s="8">
        <v>-16752</v>
      </c>
      <c r="D18" s="2">
        <v>4.2100000381469727</v>
      </c>
      <c r="E18" s="9">
        <f t="shared" si="0"/>
        <v>-70525.920639038086</v>
      </c>
      <c r="F18" s="1">
        <f t="shared" si="1"/>
        <v>9.9303680086087879E-4</v>
      </c>
      <c r="G18" s="8"/>
    </row>
    <row r="19" spans="1:7" x14ac:dyDescent="0.35">
      <c r="A19" s="7" t="s">
        <v>21</v>
      </c>
      <c r="B19" t="s">
        <v>21</v>
      </c>
      <c r="C19" s="8">
        <v>47868</v>
      </c>
      <c r="D19" s="2">
        <v>7.7899999618530273</v>
      </c>
      <c r="E19" s="9">
        <f t="shared" si="0"/>
        <v>372891.71817398071</v>
      </c>
      <c r="F19" s="1">
        <f t="shared" si="1"/>
        <v>5.2504837303469021E-3</v>
      </c>
      <c r="G19" s="8"/>
    </row>
    <row r="20" spans="1:7" x14ac:dyDescent="0.35">
      <c r="A20" s="7" t="s">
        <v>21</v>
      </c>
      <c r="B20" t="s">
        <v>22</v>
      </c>
      <c r="C20" s="8">
        <v>-53355</v>
      </c>
      <c r="D20" s="2">
        <v>9.0699348449707031</v>
      </c>
      <c r="E20" s="9">
        <f t="shared" si="0"/>
        <v>-483926.37365341187</v>
      </c>
      <c r="F20" s="1">
        <f t="shared" si="1"/>
        <v>6.8139018050476716E-3</v>
      </c>
      <c r="G20" s="8"/>
    </row>
    <row r="21" spans="1:7" x14ac:dyDescent="0.35">
      <c r="A21" s="7" t="s">
        <v>23</v>
      </c>
      <c r="B21" t="s">
        <v>23</v>
      </c>
      <c r="C21" s="8">
        <v>2283</v>
      </c>
      <c r="D21" s="2">
        <v>100.26999664306641</v>
      </c>
      <c r="E21" s="9">
        <f t="shared" si="0"/>
        <v>228916.40233612061</v>
      </c>
      <c r="F21" s="1">
        <f t="shared" si="1"/>
        <v>3.2232462870483065E-3</v>
      </c>
      <c r="G21" s="8"/>
    </row>
    <row r="22" spans="1:7" x14ac:dyDescent="0.35">
      <c r="A22" s="7" t="s">
        <v>23</v>
      </c>
      <c r="B22" t="s">
        <v>24</v>
      </c>
      <c r="C22" s="8">
        <v>-7948</v>
      </c>
      <c r="D22" s="2">
        <v>12.569999694824221</v>
      </c>
      <c r="E22" s="9">
        <f t="shared" si="0"/>
        <v>-99906.357574462905</v>
      </c>
      <c r="F22" s="1">
        <f t="shared" si="1"/>
        <v>1.4067266164334445E-3</v>
      </c>
      <c r="G22" s="8"/>
    </row>
    <row r="23" spans="1:7" x14ac:dyDescent="0.35">
      <c r="A23" s="7" t="s">
        <v>25</v>
      </c>
      <c r="B23" t="s">
        <v>25</v>
      </c>
      <c r="C23" s="8">
        <v>3391</v>
      </c>
      <c r="D23" s="2">
        <v>196.03999328613281</v>
      </c>
      <c r="E23" s="9">
        <f t="shared" si="0"/>
        <v>664771.61723327637</v>
      </c>
      <c r="F23" s="1">
        <f t="shared" si="1"/>
        <v>9.3602844755356213E-3</v>
      </c>
      <c r="G23" s="8"/>
    </row>
    <row r="24" spans="1:7" x14ac:dyDescent="0.35">
      <c r="A24" s="7" t="s">
        <v>25</v>
      </c>
      <c r="B24" t="s">
        <v>26</v>
      </c>
      <c r="C24" s="8">
        <v>-5595</v>
      </c>
      <c r="D24" s="2">
        <v>19.257999420166019</v>
      </c>
      <c r="E24" s="9">
        <f t="shared" si="0"/>
        <v>-107748.50675582887</v>
      </c>
      <c r="F24" s="1">
        <f t="shared" si="1"/>
        <v>1.5171476171715306E-3</v>
      </c>
      <c r="G24" s="8"/>
    </row>
    <row r="25" spans="1:7" x14ac:dyDescent="0.35">
      <c r="A25" s="7" t="s">
        <v>25</v>
      </c>
      <c r="B25" t="s">
        <v>27</v>
      </c>
      <c r="C25" s="8">
        <v>-12501</v>
      </c>
      <c r="D25" s="2">
        <v>11.35999965667725</v>
      </c>
      <c r="E25" s="9">
        <f t="shared" si="0"/>
        <v>-142011.35570812231</v>
      </c>
      <c r="F25" s="1">
        <f t="shared" si="1"/>
        <v>1.9995839980605679E-3</v>
      </c>
      <c r="G25" s="8"/>
    </row>
    <row r="26" spans="1:7" x14ac:dyDescent="0.35">
      <c r="A26" s="7" t="s">
        <v>25</v>
      </c>
      <c r="B26" t="s">
        <v>28</v>
      </c>
      <c r="C26" s="8">
        <v>-1811</v>
      </c>
      <c r="D26" s="2">
        <v>39.682998657226563</v>
      </c>
      <c r="E26" s="9">
        <f t="shared" si="0"/>
        <v>-71865.910568237305</v>
      </c>
      <c r="F26" s="1">
        <f t="shared" si="1"/>
        <v>1.0119044639898482E-3</v>
      </c>
      <c r="G26" s="8"/>
    </row>
    <row r="27" spans="1:7" x14ac:dyDescent="0.35">
      <c r="A27" s="7" t="s">
        <v>29</v>
      </c>
      <c r="B27" t="s">
        <v>29</v>
      </c>
      <c r="C27" s="8">
        <v>6127</v>
      </c>
      <c r="D27" s="2">
        <v>200.94999694824219</v>
      </c>
      <c r="E27" s="9">
        <f t="shared" si="0"/>
        <v>1231220.6313018799</v>
      </c>
      <c r="F27" s="1">
        <f t="shared" si="1"/>
        <v>1.7336142311698669E-2</v>
      </c>
      <c r="G27" s="8"/>
    </row>
    <row r="28" spans="1:7" x14ac:dyDescent="0.35">
      <c r="A28" s="7" t="s">
        <v>29</v>
      </c>
      <c r="B28" t="s">
        <v>30</v>
      </c>
      <c r="C28" s="8">
        <v>-20661</v>
      </c>
      <c r="D28" s="2">
        <v>25.020000457763668</v>
      </c>
      <c r="E28" s="9">
        <f t="shared" si="0"/>
        <v>-516938.22945785517</v>
      </c>
      <c r="F28" s="1">
        <f t="shared" si="1"/>
        <v>7.278723637665894E-3</v>
      </c>
      <c r="G28" s="8"/>
    </row>
    <row r="29" spans="1:7" x14ac:dyDescent="0.35">
      <c r="A29" s="7" t="s">
        <v>29</v>
      </c>
      <c r="B29" t="s">
        <v>31</v>
      </c>
      <c r="C29" s="8">
        <v>-4630</v>
      </c>
      <c r="D29" s="2">
        <v>22.8390007019043</v>
      </c>
      <c r="E29" s="9">
        <f t="shared" si="0"/>
        <v>-105744.57324981691</v>
      </c>
      <c r="F29" s="1">
        <f t="shared" si="1"/>
        <v>1.4889313287499578E-3</v>
      </c>
      <c r="G29" s="8"/>
    </row>
    <row r="30" spans="1:7" x14ac:dyDescent="0.35">
      <c r="A30" s="7" t="s">
        <v>32</v>
      </c>
      <c r="B30" t="s">
        <v>32</v>
      </c>
      <c r="C30" s="8">
        <v>1490</v>
      </c>
      <c r="D30" s="2">
        <v>119.15000152587891</v>
      </c>
      <c r="E30" s="9">
        <f t="shared" si="0"/>
        <v>177533.50227355957</v>
      </c>
      <c r="F30" s="1">
        <f t="shared" si="1"/>
        <v>2.4997518578407274E-3</v>
      </c>
      <c r="G30" s="8"/>
    </row>
    <row r="31" spans="1:7" x14ac:dyDescent="0.35">
      <c r="A31" s="7" t="s">
        <v>32</v>
      </c>
      <c r="B31" t="s">
        <v>33</v>
      </c>
      <c r="C31" s="8">
        <v>-5494</v>
      </c>
      <c r="D31" s="2">
        <v>15.52000045776367</v>
      </c>
      <c r="E31" s="9">
        <f t="shared" si="0"/>
        <v>-85266.882514953599</v>
      </c>
      <c r="F31" s="1">
        <f t="shared" si="1"/>
        <v>1.2005961987422956E-3</v>
      </c>
      <c r="G31" s="8"/>
    </row>
    <row r="32" spans="1:7" x14ac:dyDescent="0.35">
      <c r="A32" s="7" t="s">
        <v>34</v>
      </c>
      <c r="B32" t="s">
        <v>34</v>
      </c>
      <c r="C32" s="8">
        <v>15187</v>
      </c>
      <c r="D32" s="2">
        <v>20.545000076293949</v>
      </c>
      <c r="E32" s="9">
        <f t="shared" si="0"/>
        <v>312016.91615867621</v>
      </c>
      <c r="F32" s="1">
        <f t="shared" si="1"/>
        <v>4.3933390366148774E-3</v>
      </c>
      <c r="G32" s="8"/>
    </row>
    <row r="33" spans="1:7" x14ac:dyDescent="0.35">
      <c r="A33" s="7" t="s">
        <v>34</v>
      </c>
      <c r="B33" t="s">
        <v>35</v>
      </c>
      <c r="C33" s="8">
        <v>-16047</v>
      </c>
      <c r="D33" s="2">
        <v>8.3400001525878906</v>
      </c>
      <c r="E33" s="9">
        <f t="shared" si="0"/>
        <v>-133831.98244857788</v>
      </c>
      <c r="F33" s="1">
        <f t="shared" si="1"/>
        <v>1.8844147300650922E-3</v>
      </c>
      <c r="G33" s="8"/>
    </row>
    <row r="34" spans="1:7" x14ac:dyDescent="0.35">
      <c r="A34" s="7" t="s">
        <v>34</v>
      </c>
      <c r="B34" t="s">
        <v>36</v>
      </c>
      <c r="C34" s="8">
        <v>-101</v>
      </c>
      <c r="D34" s="2">
        <v>30.270000457763668</v>
      </c>
      <c r="E34" s="9">
        <f t="shared" si="0"/>
        <v>-3057.2700462341304</v>
      </c>
      <c r="F34" s="1">
        <f t="shared" si="1"/>
        <v>4.3047742426769974E-5</v>
      </c>
      <c r="G34" s="8"/>
    </row>
    <row r="35" spans="1:7" x14ac:dyDescent="0.35">
      <c r="A35" s="7" t="s">
        <v>37</v>
      </c>
      <c r="B35" t="s">
        <v>37</v>
      </c>
      <c r="C35" s="8">
        <v>588</v>
      </c>
      <c r="D35" s="2">
        <v>372.07998657226563</v>
      </c>
      <c r="E35" s="9">
        <f t="shared" si="0"/>
        <v>218783.03210449219</v>
      </c>
      <c r="F35" s="1">
        <f t="shared" si="1"/>
        <v>3.0805638595723423E-3</v>
      </c>
      <c r="G35" s="8"/>
    </row>
    <row r="36" spans="1:7" x14ac:dyDescent="0.35">
      <c r="A36" s="7" t="s">
        <v>37</v>
      </c>
      <c r="B36" t="s">
        <v>38</v>
      </c>
      <c r="C36" s="8">
        <v>-4472</v>
      </c>
      <c r="D36" s="2">
        <v>24.069999694824219</v>
      </c>
      <c r="E36" s="9">
        <f t="shared" si="0"/>
        <v>-107641.03863525391</v>
      </c>
      <c r="F36" s="1">
        <f t="shared" si="1"/>
        <v>1.5156344175183633E-3</v>
      </c>
      <c r="G36" s="8"/>
    </row>
    <row r="37" spans="1:7" x14ac:dyDescent="0.35">
      <c r="A37" s="7" t="s">
        <v>39</v>
      </c>
      <c r="B37" t="s">
        <v>39</v>
      </c>
      <c r="C37" s="8">
        <v>3642</v>
      </c>
      <c r="D37" s="2">
        <v>63.520000457763672</v>
      </c>
      <c r="E37" s="9">
        <f t="shared" si="0"/>
        <v>231339.84166717529</v>
      </c>
      <c r="F37" s="1">
        <f t="shared" si="1"/>
        <v>3.2573694068684378E-3</v>
      </c>
      <c r="G37" s="8"/>
    </row>
    <row r="38" spans="1:7" x14ac:dyDescent="0.35">
      <c r="A38" s="7" t="s">
        <v>39</v>
      </c>
      <c r="B38" t="s">
        <v>40</v>
      </c>
      <c r="C38" s="8">
        <v>-3666</v>
      </c>
      <c r="D38" s="2">
        <v>31.304000854492191</v>
      </c>
      <c r="E38" s="9">
        <f t="shared" si="0"/>
        <v>-114760.46713256837</v>
      </c>
      <c r="F38" s="1">
        <f t="shared" si="1"/>
        <v>1.6158791847595522E-3</v>
      </c>
      <c r="G38" s="8"/>
    </row>
    <row r="39" spans="1:7" x14ac:dyDescent="0.35">
      <c r="A39" s="7" t="s">
        <v>41</v>
      </c>
      <c r="B39" t="s">
        <v>41</v>
      </c>
      <c r="C39" s="8">
        <v>760</v>
      </c>
      <c r="D39" s="2">
        <v>136.96000671386719</v>
      </c>
      <c r="E39" s="9">
        <f t="shared" si="0"/>
        <v>104089.60510253906</v>
      </c>
      <c r="F39" s="1">
        <f t="shared" si="1"/>
        <v>1.465628630116489E-3</v>
      </c>
      <c r="G39" s="8"/>
    </row>
    <row r="40" spans="1:7" x14ac:dyDescent="0.35">
      <c r="A40" s="7" t="s">
        <v>41</v>
      </c>
      <c r="B40" t="s">
        <v>42</v>
      </c>
      <c r="C40" s="8">
        <v>-6151</v>
      </c>
      <c r="D40" s="2">
        <v>8.0399999618530273</v>
      </c>
      <c r="E40" s="9">
        <f t="shared" si="0"/>
        <v>-49454.039765357971</v>
      </c>
      <c r="F40" s="1">
        <f t="shared" si="1"/>
        <v>6.9633520545712914E-4</v>
      </c>
      <c r="G40" s="8"/>
    </row>
    <row r="41" spans="1:7" x14ac:dyDescent="0.35">
      <c r="A41" s="7" t="s">
        <v>43</v>
      </c>
      <c r="B41" t="s">
        <v>43</v>
      </c>
      <c r="C41" s="8">
        <v>2947</v>
      </c>
      <c r="D41" s="2">
        <v>32.209999084472663</v>
      </c>
      <c r="E41" s="9">
        <f t="shared" si="0"/>
        <v>94922.867301940933</v>
      </c>
      <c r="F41" s="1">
        <f t="shared" si="1"/>
        <v>1.3365568236465464E-3</v>
      </c>
      <c r="G41" s="8"/>
    </row>
    <row r="42" spans="1:7" x14ac:dyDescent="0.35">
      <c r="A42" s="7" t="s">
        <v>43</v>
      </c>
      <c r="B42" t="s">
        <v>44</v>
      </c>
      <c r="C42" s="8">
        <v>-2459</v>
      </c>
      <c r="D42" s="2">
        <v>19.719999313354489</v>
      </c>
      <c r="E42" s="9">
        <f t="shared" si="0"/>
        <v>-48491.478311538689</v>
      </c>
      <c r="F42" s="1">
        <f t="shared" si="1"/>
        <v>6.8278190564804303E-4</v>
      </c>
      <c r="G42" s="8"/>
    </row>
    <row r="43" spans="1:7" x14ac:dyDescent="0.35">
      <c r="A43" s="7" t="s">
        <v>45</v>
      </c>
      <c r="B43" t="s">
        <v>45</v>
      </c>
      <c r="C43" s="8">
        <v>155</v>
      </c>
      <c r="D43" s="2">
        <v>1251.22705078125</v>
      </c>
      <c r="E43" s="9">
        <f t="shared" si="0"/>
        <v>193940.19287109375</v>
      </c>
      <c r="F43" s="1">
        <f t="shared" si="1"/>
        <v>2.7307654681000917E-3</v>
      </c>
      <c r="G43" s="8"/>
    </row>
    <row r="44" spans="1:7" x14ac:dyDescent="0.35">
      <c r="A44" s="7" t="s">
        <v>45</v>
      </c>
      <c r="B44" t="s">
        <v>46</v>
      </c>
      <c r="C44" s="8">
        <v>-2855</v>
      </c>
      <c r="D44" s="2">
        <v>28.75</v>
      </c>
      <c r="E44" s="9">
        <f t="shared" si="0"/>
        <v>-82081.25</v>
      </c>
      <c r="F44" s="1">
        <f t="shared" si="1"/>
        <v>1.1557410548079269E-3</v>
      </c>
      <c r="G44" s="8"/>
    </row>
    <row r="45" spans="1:7" x14ac:dyDescent="0.35">
      <c r="A45" s="7" t="s">
        <v>45</v>
      </c>
      <c r="B45" t="s">
        <v>47</v>
      </c>
      <c r="C45" s="8">
        <v>-644</v>
      </c>
      <c r="D45" s="2">
        <v>18.870000839233398</v>
      </c>
      <c r="E45" s="9">
        <f t="shared" si="0"/>
        <v>-12152.280540466309</v>
      </c>
      <c r="F45" s="1">
        <f t="shared" si="1"/>
        <v>1.711095960424625E-4</v>
      </c>
      <c r="G45" s="8"/>
    </row>
    <row r="46" spans="1:7" x14ac:dyDescent="0.35">
      <c r="A46" s="7" t="s">
        <v>48</v>
      </c>
      <c r="B46" t="s">
        <v>48</v>
      </c>
      <c r="C46" s="8">
        <v>8202</v>
      </c>
      <c r="D46" s="2">
        <v>73.819999694824219</v>
      </c>
      <c r="E46" s="9">
        <f t="shared" si="0"/>
        <v>605471.63749694824</v>
      </c>
      <c r="F46" s="1">
        <f t="shared" si="1"/>
        <v>8.5253139904302826E-3</v>
      </c>
      <c r="G46" s="8"/>
    </row>
    <row r="47" spans="1:7" x14ac:dyDescent="0.35">
      <c r="A47" s="7" t="s">
        <v>48</v>
      </c>
      <c r="B47" t="s">
        <v>49</v>
      </c>
      <c r="C47" s="8">
        <v>-5311</v>
      </c>
      <c r="D47" s="2">
        <v>20.14999961853027</v>
      </c>
      <c r="E47" s="9">
        <f t="shared" si="0"/>
        <v>-107016.64797401427</v>
      </c>
      <c r="F47" s="1">
        <f t="shared" si="1"/>
        <v>1.5068427151328206E-3</v>
      </c>
      <c r="G47" s="8"/>
    </row>
    <row r="48" spans="1:7" x14ac:dyDescent="0.35">
      <c r="A48" s="7" t="s">
        <v>48</v>
      </c>
      <c r="B48" t="s">
        <v>50</v>
      </c>
      <c r="C48" s="8">
        <v>-6940</v>
      </c>
      <c r="D48" s="2">
        <v>29.29999923706055</v>
      </c>
      <c r="E48" s="9">
        <f t="shared" si="0"/>
        <v>-203341.99470520022</v>
      </c>
      <c r="F48" s="1">
        <f t="shared" si="1"/>
        <v>2.8631470822792779E-3</v>
      </c>
      <c r="G48" s="8"/>
    </row>
    <row r="49" spans="1:7" x14ac:dyDescent="0.35">
      <c r="A49" s="7" t="s">
        <v>51</v>
      </c>
      <c r="B49" t="s">
        <v>51</v>
      </c>
      <c r="C49" s="8">
        <v>1581</v>
      </c>
      <c r="D49" s="2">
        <v>293.41000366210938</v>
      </c>
      <c r="E49" s="9">
        <f t="shared" si="0"/>
        <v>463881.21578979492</v>
      </c>
      <c r="F49" s="1">
        <f t="shared" si="1"/>
        <v>6.5316569331300527E-3</v>
      </c>
      <c r="G49" s="8"/>
    </row>
    <row r="50" spans="1:7" x14ac:dyDescent="0.35">
      <c r="A50" s="7" t="s">
        <v>51</v>
      </c>
      <c r="B50" t="s">
        <v>52</v>
      </c>
      <c r="C50" s="8">
        <v>-4159</v>
      </c>
      <c r="D50" s="2">
        <v>18.329999923706051</v>
      </c>
      <c r="E50" s="9">
        <f t="shared" si="0"/>
        <v>-76234.469682693467</v>
      </c>
      <c r="F50" s="1">
        <f t="shared" si="1"/>
        <v>1.0734157484662949E-3</v>
      </c>
      <c r="G50" s="8"/>
    </row>
    <row r="51" spans="1:7" x14ac:dyDescent="0.35">
      <c r="A51" s="7" t="s">
        <v>51</v>
      </c>
      <c r="B51" t="s">
        <v>53</v>
      </c>
      <c r="C51" s="8">
        <v>-1520</v>
      </c>
      <c r="D51" s="2">
        <v>23.520999908447269</v>
      </c>
      <c r="E51" s="9">
        <f t="shared" si="0"/>
        <v>-35751.919860839851</v>
      </c>
      <c r="F51" s="1">
        <f t="shared" si="1"/>
        <v>5.0340317150842024E-4</v>
      </c>
      <c r="G51" s="8"/>
    </row>
    <row r="52" spans="1:7" x14ac:dyDescent="0.35">
      <c r="A52" s="7" t="s">
        <v>51</v>
      </c>
      <c r="B52" t="s">
        <v>54</v>
      </c>
      <c r="C52" s="8">
        <v>-3878</v>
      </c>
      <c r="D52" s="2">
        <v>29.680000305175781</v>
      </c>
      <c r="E52" s="9">
        <f t="shared" si="0"/>
        <v>-115099.04118347168</v>
      </c>
      <c r="F52" s="1">
        <f t="shared" si="1"/>
        <v>1.62064646024234E-3</v>
      </c>
      <c r="G52" s="8"/>
    </row>
    <row r="53" spans="1:7" x14ac:dyDescent="0.35">
      <c r="A53" s="7" t="s">
        <v>55</v>
      </c>
      <c r="B53" t="s">
        <v>55</v>
      </c>
      <c r="C53" s="8">
        <v>634</v>
      </c>
      <c r="D53" s="2">
        <v>296.552490234375</v>
      </c>
      <c r="E53" s="9">
        <f t="shared" si="0"/>
        <v>188014.27880859375</v>
      </c>
      <c r="F53" s="1">
        <f t="shared" si="1"/>
        <v>2.6473259229019513E-3</v>
      </c>
      <c r="G53" s="8"/>
    </row>
    <row r="54" spans="1:7" x14ac:dyDescent="0.35">
      <c r="A54" s="7" t="s">
        <v>55</v>
      </c>
      <c r="B54" t="s">
        <v>56</v>
      </c>
      <c r="C54" s="8">
        <v>-8819</v>
      </c>
      <c r="D54" s="2">
        <v>10.739999771118161</v>
      </c>
      <c r="E54" s="9">
        <f t="shared" si="0"/>
        <v>-94716.05798149106</v>
      </c>
      <c r="F54" s="1">
        <f t="shared" si="1"/>
        <v>1.3336448550524905E-3</v>
      </c>
      <c r="G54" s="8"/>
    </row>
    <row r="55" spans="1:7" x14ac:dyDescent="0.35">
      <c r="A55" s="7" t="s">
        <v>57</v>
      </c>
      <c r="B55" t="s">
        <v>57</v>
      </c>
      <c r="C55" s="8">
        <v>880</v>
      </c>
      <c r="D55" s="2">
        <v>189.21000671386719</v>
      </c>
      <c r="E55" s="9">
        <f t="shared" si="0"/>
        <v>166504.80590820313</v>
      </c>
      <c r="F55" s="1">
        <f t="shared" si="1"/>
        <v>2.3444628342153147E-3</v>
      </c>
      <c r="G55" s="8"/>
    </row>
    <row r="56" spans="1:7" x14ac:dyDescent="0.35">
      <c r="A56" s="7" t="s">
        <v>57</v>
      </c>
      <c r="B56" t="s">
        <v>58</v>
      </c>
      <c r="C56" s="8">
        <v>-2450</v>
      </c>
      <c r="D56" s="2">
        <v>10.90499973297119</v>
      </c>
      <c r="E56" s="9">
        <f t="shared" si="0"/>
        <v>-26717.249345779415</v>
      </c>
      <c r="F56" s="1">
        <f t="shared" si="1"/>
        <v>3.7619093203938164E-4</v>
      </c>
      <c r="G56" s="8"/>
    </row>
    <row r="57" spans="1:7" x14ac:dyDescent="0.35">
      <c r="A57" s="7" t="s">
        <v>57</v>
      </c>
      <c r="B57" t="s">
        <v>59</v>
      </c>
      <c r="C57" s="8">
        <v>-2034</v>
      </c>
      <c r="D57" s="2">
        <v>27.5359992980957</v>
      </c>
      <c r="E57" s="9">
        <f t="shared" si="0"/>
        <v>-56008.222572326653</v>
      </c>
      <c r="F57" s="1">
        <f t="shared" si="1"/>
        <v>7.8862105820340139E-4</v>
      </c>
      <c r="G57" s="8"/>
    </row>
    <row r="58" spans="1:7" x14ac:dyDescent="0.35">
      <c r="A58" s="7" t="s">
        <v>60</v>
      </c>
      <c r="B58" t="s">
        <v>60</v>
      </c>
      <c r="C58" s="8">
        <v>2251</v>
      </c>
      <c r="D58" s="2">
        <v>121.98000335693359</v>
      </c>
      <c r="E58" s="9">
        <f t="shared" si="0"/>
        <v>274576.98755645752</v>
      </c>
      <c r="F58" s="1">
        <f t="shared" si="1"/>
        <v>3.8661679399921811E-3</v>
      </c>
      <c r="G58" s="8"/>
    </row>
    <row r="59" spans="1:7" x14ac:dyDescent="0.35">
      <c r="A59" s="7" t="s">
        <v>60</v>
      </c>
      <c r="B59" t="s">
        <v>61</v>
      </c>
      <c r="C59" s="8">
        <v>-331</v>
      </c>
      <c r="D59" s="2">
        <v>12.89999961853027</v>
      </c>
      <c r="E59" s="9">
        <f t="shared" si="0"/>
        <v>-4269.8998737335196</v>
      </c>
      <c r="F59" s="1">
        <f t="shared" si="1"/>
        <v>6.0122117828286141E-5</v>
      </c>
      <c r="G59" s="8"/>
    </row>
    <row r="60" spans="1:7" x14ac:dyDescent="0.35">
      <c r="A60" s="7" t="s">
        <v>60</v>
      </c>
      <c r="B60" t="s">
        <v>62</v>
      </c>
      <c r="C60" s="8">
        <v>-5643</v>
      </c>
      <c r="D60" s="2">
        <v>23.35000038146973</v>
      </c>
      <c r="E60" s="9">
        <f t="shared" si="0"/>
        <v>-131764.0521526337</v>
      </c>
      <c r="F60" s="1">
        <f t="shared" si="1"/>
        <v>1.8552973379505253E-3</v>
      </c>
      <c r="G60" s="8"/>
    </row>
    <row r="61" spans="1:7" x14ac:dyDescent="0.35">
      <c r="A61" s="7" t="s">
        <v>63</v>
      </c>
      <c r="B61" t="s">
        <v>63</v>
      </c>
      <c r="C61" s="8">
        <v>28600</v>
      </c>
      <c r="D61" s="2">
        <v>3.0399999618530269</v>
      </c>
      <c r="E61" s="9">
        <f t="shared" si="0"/>
        <v>86943.998908996567</v>
      </c>
      <c r="F61" s="1">
        <f t="shared" si="1"/>
        <v>1.224210754688835E-3</v>
      </c>
      <c r="G61" s="8"/>
    </row>
    <row r="62" spans="1:7" x14ac:dyDescent="0.35">
      <c r="A62" s="7" t="s">
        <v>63</v>
      </c>
      <c r="B62" t="s">
        <v>64</v>
      </c>
      <c r="C62" s="8">
        <v>-19002</v>
      </c>
      <c r="D62" s="2">
        <v>2.220000028610229</v>
      </c>
      <c r="E62" s="9">
        <f t="shared" si="0"/>
        <v>-42184.440543651574</v>
      </c>
      <c r="F62" s="1">
        <f t="shared" si="1"/>
        <v>5.9397596662334143E-4</v>
      </c>
      <c r="G62" s="8"/>
    </row>
    <row r="63" spans="1:7" x14ac:dyDescent="0.35">
      <c r="A63" s="7" t="s">
        <v>65</v>
      </c>
      <c r="B63" t="s">
        <v>65</v>
      </c>
      <c r="C63" s="8">
        <v>3992</v>
      </c>
      <c r="D63" s="2">
        <v>119.5100021362305</v>
      </c>
      <c r="E63" s="9">
        <f t="shared" si="0"/>
        <v>477083.92852783215</v>
      </c>
      <c r="F63" s="1">
        <f t="shared" si="1"/>
        <v>6.7175570887220443E-3</v>
      </c>
      <c r="G63" s="8"/>
    </row>
    <row r="64" spans="1:7" x14ac:dyDescent="0.35">
      <c r="A64" s="7" t="s">
        <v>65</v>
      </c>
      <c r="B64" t="s">
        <v>66</v>
      </c>
      <c r="C64" s="8">
        <v>-5948</v>
      </c>
      <c r="D64" s="2">
        <v>18.7859992980957</v>
      </c>
      <c r="E64" s="9">
        <f t="shared" si="0"/>
        <v>-111739.12382507323</v>
      </c>
      <c r="F64" s="1">
        <f t="shared" si="1"/>
        <v>1.5733373070330153E-3</v>
      </c>
      <c r="G64" s="8"/>
    </row>
    <row r="65" spans="1:7" x14ac:dyDescent="0.35">
      <c r="A65" s="7" t="s">
        <v>65</v>
      </c>
      <c r="B65" t="s">
        <v>67</v>
      </c>
      <c r="C65" s="8">
        <v>-8238</v>
      </c>
      <c r="D65" s="2">
        <v>13.159999847412109</v>
      </c>
      <c r="E65" s="9">
        <f t="shared" si="0"/>
        <v>-108412.07874298096</v>
      </c>
      <c r="F65" s="1">
        <f t="shared" si="1"/>
        <v>1.5264910103139613E-3</v>
      </c>
      <c r="G65" s="8"/>
    </row>
    <row r="66" spans="1:7" x14ac:dyDescent="0.35">
      <c r="A66" s="7" t="s">
        <v>65</v>
      </c>
      <c r="B66" t="s">
        <v>68</v>
      </c>
      <c r="C66" s="8">
        <v>-440</v>
      </c>
      <c r="D66" s="2">
        <v>24.64999961853027</v>
      </c>
      <c r="E66" s="9">
        <f t="shared" si="0"/>
        <v>-10845.999832153318</v>
      </c>
      <c r="F66" s="1">
        <f t="shared" si="1"/>
        <v>1.5271657396128194E-4</v>
      </c>
      <c r="G66" s="8"/>
    </row>
    <row r="67" spans="1:7" x14ac:dyDescent="0.35">
      <c r="A67" s="7" t="s">
        <v>69</v>
      </c>
      <c r="B67" t="s">
        <v>69</v>
      </c>
      <c r="C67" s="8">
        <v>171</v>
      </c>
      <c r="D67" s="2">
        <v>106.59999847412109</v>
      </c>
      <c r="E67" s="9">
        <f t="shared" ref="E67:E130" si="2">C67*D67</f>
        <v>18228.599739074707</v>
      </c>
      <c r="F67" s="1">
        <f t="shared" ref="F67:F130" si="3">IF($E$459=0,"",ABS(E67)/$E$459)</f>
        <v>2.5666691345599272E-4</v>
      </c>
      <c r="G67" s="8"/>
    </row>
    <row r="68" spans="1:7" x14ac:dyDescent="0.35">
      <c r="A68" s="7" t="s">
        <v>69</v>
      </c>
      <c r="B68" t="s">
        <v>70</v>
      </c>
      <c r="C68" s="8">
        <v>-819</v>
      </c>
      <c r="D68" s="2">
        <v>10.871999740600589</v>
      </c>
      <c r="E68" s="9">
        <f t="shared" si="2"/>
        <v>-8904.1677875518835</v>
      </c>
      <c r="F68" s="1">
        <f t="shared" si="3"/>
        <v>1.2537470215148987E-4</v>
      </c>
      <c r="G68" s="8"/>
    </row>
    <row r="69" spans="1:7" x14ac:dyDescent="0.35">
      <c r="A69" s="7" t="s">
        <v>71</v>
      </c>
      <c r="B69" t="s">
        <v>71</v>
      </c>
      <c r="C69" s="8">
        <v>471</v>
      </c>
      <c r="D69" s="2">
        <v>33.270000457763672</v>
      </c>
      <c r="E69" s="9">
        <f t="shared" si="2"/>
        <v>15670.170215606689</v>
      </c>
      <c r="F69" s="1">
        <f t="shared" si="3"/>
        <v>2.2064307078662951E-4</v>
      </c>
      <c r="G69" s="8"/>
    </row>
    <row r="70" spans="1:7" x14ac:dyDescent="0.35">
      <c r="A70" s="7" t="s">
        <v>71</v>
      </c>
      <c r="B70" t="s">
        <v>72</v>
      </c>
      <c r="C70" s="8">
        <v>-1780</v>
      </c>
      <c r="D70" s="2">
        <v>4.1999998092651367</v>
      </c>
      <c r="E70" s="9">
        <f t="shared" si="2"/>
        <v>-7475.9996604919434</v>
      </c>
      <c r="F70" s="1">
        <f t="shared" si="3"/>
        <v>1.0526545018942403E-4</v>
      </c>
      <c r="G70" s="8"/>
    </row>
    <row r="71" spans="1:7" x14ac:dyDescent="0.35">
      <c r="A71" s="7" t="s">
        <v>73</v>
      </c>
      <c r="B71" t="s">
        <v>73</v>
      </c>
      <c r="C71" s="8">
        <v>28809</v>
      </c>
      <c r="D71" s="2">
        <v>18.29999923706055</v>
      </c>
      <c r="E71" s="9">
        <f t="shared" si="2"/>
        <v>527204.67802047741</v>
      </c>
      <c r="F71" s="1">
        <f t="shared" si="3"/>
        <v>7.4232798681192116E-3</v>
      </c>
      <c r="G71" s="8"/>
    </row>
    <row r="72" spans="1:7" x14ac:dyDescent="0.35">
      <c r="A72" s="7" t="s">
        <v>73</v>
      </c>
      <c r="B72" t="s">
        <v>74</v>
      </c>
      <c r="C72" s="8">
        <v>-75897</v>
      </c>
      <c r="D72" s="2">
        <v>1.049999952316284</v>
      </c>
      <c r="E72" s="9">
        <f t="shared" si="2"/>
        <v>-79691.846380949006</v>
      </c>
      <c r="F72" s="1">
        <f t="shared" si="3"/>
        <v>1.1220971731779094E-3</v>
      </c>
      <c r="G72" s="8"/>
    </row>
    <row r="73" spans="1:7" x14ac:dyDescent="0.35">
      <c r="A73" s="7" t="s">
        <v>73</v>
      </c>
      <c r="B73" t="s">
        <v>75</v>
      </c>
      <c r="C73" s="8">
        <v>-122703</v>
      </c>
      <c r="D73" s="2">
        <v>1.5199999809265139</v>
      </c>
      <c r="E73" s="9">
        <f t="shared" si="2"/>
        <v>-186508.55765962604</v>
      </c>
      <c r="F73" s="1">
        <f t="shared" si="3"/>
        <v>2.626124689380842E-3</v>
      </c>
      <c r="G73" s="8"/>
    </row>
    <row r="74" spans="1:7" x14ac:dyDescent="0.35">
      <c r="A74" s="7" t="s">
        <v>76</v>
      </c>
      <c r="B74" t="s">
        <v>76</v>
      </c>
      <c r="C74" s="8">
        <v>57</v>
      </c>
      <c r="D74" s="2">
        <v>474.66000366210938</v>
      </c>
      <c r="E74" s="9">
        <f t="shared" si="2"/>
        <v>27055.620208740234</v>
      </c>
      <c r="F74" s="1">
        <f t="shared" si="3"/>
        <v>3.8095534654421199E-4</v>
      </c>
      <c r="G74" s="8"/>
    </row>
    <row r="75" spans="1:7" x14ac:dyDescent="0.35">
      <c r="A75" s="7" t="s">
        <v>76</v>
      </c>
      <c r="B75" t="s">
        <v>77</v>
      </c>
      <c r="C75" s="8">
        <v>-662</v>
      </c>
      <c r="D75" s="2">
        <v>21.375</v>
      </c>
      <c r="E75" s="9">
        <f t="shared" si="2"/>
        <v>-14150.25</v>
      </c>
      <c r="F75" s="1">
        <f t="shared" si="3"/>
        <v>1.9924190799720847E-4</v>
      </c>
      <c r="G75" s="8"/>
    </row>
    <row r="76" spans="1:7" x14ac:dyDescent="0.35">
      <c r="A76" s="7" t="s">
        <v>78</v>
      </c>
      <c r="B76" t="s">
        <v>78</v>
      </c>
      <c r="C76" s="8">
        <v>40059</v>
      </c>
      <c r="D76" s="2">
        <v>4.630000114440918</v>
      </c>
      <c r="E76" s="9">
        <f t="shared" si="2"/>
        <v>185473.17458438873</v>
      </c>
      <c r="F76" s="1">
        <f t="shared" si="3"/>
        <v>2.6115460282675543E-3</v>
      </c>
      <c r="G76" s="8"/>
    </row>
    <row r="77" spans="1:7" x14ac:dyDescent="0.35">
      <c r="A77" s="7" t="s">
        <v>78</v>
      </c>
      <c r="B77" t="s">
        <v>79</v>
      </c>
      <c r="C77" s="8">
        <v>-4159</v>
      </c>
      <c r="D77" s="2">
        <v>19.79999923706055</v>
      </c>
      <c r="E77" s="9">
        <f t="shared" si="2"/>
        <v>-82348.196826934829</v>
      </c>
      <c r="F77" s="1">
        <f t="shared" si="3"/>
        <v>1.1594997866418023E-3</v>
      </c>
      <c r="G77" s="8"/>
    </row>
    <row r="78" spans="1:7" x14ac:dyDescent="0.35">
      <c r="A78" s="7" t="s">
        <v>78</v>
      </c>
      <c r="B78" t="s">
        <v>80</v>
      </c>
      <c r="C78" s="8">
        <v>-3300</v>
      </c>
      <c r="D78" s="2">
        <v>2.187000036239624</v>
      </c>
      <c r="E78" s="9">
        <f t="shared" si="2"/>
        <v>-7217.1001195907593</v>
      </c>
      <c r="F78" s="1">
        <f t="shared" si="3"/>
        <v>1.0162002777577387E-4</v>
      </c>
      <c r="G78" s="8"/>
    </row>
    <row r="79" spans="1:7" x14ac:dyDescent="0.35">
      <c r="A79" s="7" t="s">
        <v>81</v>
      </c>
      <c r="B79" t="s">
        <v>81</v>
      </c>
      <c r="C79" s="8">
        <v>445</v>
      </c>
      <c r="D79" s="2">
        <v>298.6099853515625</v>
      </c>
      <c r="E79" s="9">
        <f t="shared" si="2"/>
        <v>132881.44348144531</v>
      </c>
      <c r="F79" s="1">
        <f t="shared" si="3"/>
        <v>1.8710307122959935E-3</v>
      </c>
      <c r="G79" s="8"/>
    </row>
    <row r="80" spans="1:7" x14ac:dyDescent="0.35">
      <c r="A80" s="7" t="s">
        <v>81</v>
      </c>
      <c r="B80" t="s">
        <v>82</v>
      </c>
      <c r="C80" s="8">
        <v>-3623</v>
      </c>
      <c r="D80" s="2">
        <v>18.190000534057621</v>
      </c>
      <c r="E80" s="9">
        <f t="shared" si="2"/>
        <v>-65902.371934890762</v>
      </c>
      <c r="F80" s="1">
        <f t="shared" si="3"/>
        <v>9.2793514784892978E-4</v>
      </c>
      <c r="G80" s="8"/>
    </row>
    <row r="81" spans="1:7" x14ac:dyDescent="0.35">
      <c r="A81" s="7" t="s">
        <v>83</v>
      </c>
      <c r="B81" t="s">
        <v>83</v>
      </c>
      <c r="C81" s="8">
        <v>11139</v>
      </c>
      <c r="D81" s="2">
        <v>12.01500034332275</v>
      </c>
      <c r="E81" s="9">
        <f t="shared" si="2"/>
        <v>133835.08882427213</v>
      </c>
      <c r="F81" s="1">
        <f t="shared" si="3"/>
        <v>1.8844584692372112E-3</v>
      </c>
      <c r="G81" s="8"/>
    </row>
    <row r="82" spans="1:7" x14ac:dyDescent="0.35">
      <c r="A82" s="7" t="s">
        <v>83</v>
      </c>
      <c r="B82" t="s">
        <v>84</v>
      </c>
      <c r="C82" s="8">
        <v>-2108</v>
      </c>
      <c r="D82" s="2">
        <v>4.4039998054504386</v>
      </c>
      <c r="E82" s="9">
        <f t="shared" si="2"/>
        <v>-9283.6315898895245</v>
      </c>
      <c r="F82" s="1">
        <f t="shared" si="3"/>
        <v>1.3071772379376668E-4</v>
      </c>
      <c r="G82" s="8"/>
    </row>
    <row r="83" spans="1:7" x14ac:dyDescent="0.35">
      <c r="A83" s="7" t="s">
        <v>83</v>
      </c>
      <c r="B83" t="s">
        <v>85</v>
      </c>
      <c r="C83" s="8">
        <v>-4592</v>
      </c>
      <c r="D83" s="2">
        <v>10.539999961853029</v>
      </c>
      <c r="E83" s="9">
        <f t="shared" si="2"/>
        <v>-48399.679824829109</v>
      </c>
      <c r="F83" s="1">
        <f t="shared" si="3"/>
        <v>6.8148934151360913E-4</v>
      </c>
      <c r="G83" s="8"/>
    </row>
    <row r="84" spans="1:7" x14ac:dyDescent="0.35">
      <c r="A84" s="7" t="s">
        <v>86</v>
      </c>
      <c r="B84" t="s">
        <v>86</v>
      </c>
      <c r="C84" s="8">
        <v>890</v>
      </c>
      <c r="D84" s="2">
        <v>257.26998901367188</v>
      </c>
      <c r="E84" s="9">
        <f t="shared" si="2"/>
        <v>228970.29022216797</v>
      </c>
      <c r="F84" s="1">
        <f t="shared" si="3"/>
        <v>3.2240050528110323E-3</v>
      </c>
      <c r="G84" s="8"/>
    </row>
    <row r="85" spans="1:7" x14ac:dyDescent="0.35">
      <c r="A85" s="7" t="s">
        <v>86</v>
      </c>
      <c r="B85" t="s">
        <v>87</v>
      </c>
      <c r="C85" s="8">
        <v>-9259</v>
      </c>
      <c r="D85" s="2">
        <v>11.27000045776367</v>
      </c>
      <c r="E85" s="9">
        <f t="shared" si="2"/>
        <v>-104348.93423843382</v>
      </c>
      <c r="F85" s="1">
        <f t="shared" si="3"/>
        <v>1.4692801014215852E-3</v>
      </c>
      <c r="G85" s="8"/>
    </row>
    <row r="86" spans="1:7" x14ac:dyDescent="0.35">
      <c r="A86" s="7" t="s">
        <v>88</v>
      </c>
      <c r="B86" t="s">
        <v>88</v>
      </c>
      <c r="C86" s="8">
        <v>27872</v>
      </c>
      <c r="D86" s="2">
        <v>8.1800003051757813</v>
      </c>
      <c r="E86" s="9">
        <f t="shared" si="2"/>
        <v>227992.96850585938</v>
      </c>
      <c r="F86" s="1">
        <f t="shared" si="3"/>
        <v>3.2102439218427152E-3</v>
      </c>
      <c r="G86" s="8"/>
    </row>
    <row r="87" spans="1:7" x14ac:dyDescent="0.35">
      <c r="A87" s="7" t="s">
        <v>88</v>
      </c>
      <c r="B87" t="s">
        <v>89</v>
      </c>
      <c r="C87" s="8">
        <v>-14151</v>
      </c>
      <c r="D87" s="2">
        <v>7.8299999237060547</v>
      </c>
      <c r="E87" s="9">
        <f t="shared" si="2"/>
        <v>-110802.32892036438</v>
      </c>
      <c r="F87" s="1">
        <f t="shared" si="3"/>
        <v>1.5601468118674703E-3</v>
      </c>
      <c r="G87" s="8"/>
    </row>
    <row r="88" spans="1:7" x14ac:dyDescent="0.35">
      <c r="A88" s="7" t="s">
        <v>88</v>
      </c>
      <c r="B88" t="s">
        <v>90</v>
      </c>
      <c r="C88" s="8">
        <v>-203</v>
      </c>
      <c r="D88" s="2">
        <v>25.110000610351559</v>
      </c>
      <c r="E88" s="9">
        <f t="shared" si="2"/>
        <v>-5097.3301239013663</v>
      </c>
      <c r="F88" s="1">
        <f t="shared" si="3"/>
        <v>7.1772709286249732E-5</v>
      </c>
      <c r="G88" s="8"/>
    </row>
    <row r="89" spans="1:7" x14ac:dyDescent="0.35">
      <c r="A89" s="7" t="s">
        <v>91</v>
      </c>
      <c r="B89" t="s">
        <v>91</v>
      </c>
      <c r="C89" s="8">
        <v>111</v>
      </c>
      <c r="D89" s="2">
        <v>31.159999847412109</v>
      </c>
      <c r="E89" s="9">
        <f t="shared" si="2"/>
        <v>3458.7599830627441</v>
      </c>
      <c r="F89" s="1">
        <f t="shared" si="3"/>
        <v>4.8700901986170817E-5</v>
      </c>
      <c r="G89" s="8"/>
    </row>
    <row r="90" spans="1:7" x14ac:dyDescent="0.35">
      <c r="A90" s="7" t="s">
        <v>91</v>
      </c>
      <c r="B90" t="s">
        <v>92</v>
      </c>
      <c r="C90" s="8">
        <v>-132</v>
      </c>
      <c r="D90" s="2">
        <v>13.416000366210939</v>
      </c>
      <c r="E90" s="9">
        <f t="shared" si="2"/>
        <v>-1770.912048339844</v>
      </c>
      <c r="F90" s="1">
        <f t="shared" si="3"/>
        <v>2.493524110220492E-5</v>
      </c>
      <c r="G90" s="8"/>
    </row>
    <row r="91" spans="1:7" x14ac:dyDescent="0.35">
      <c r="A91" s="7" t="s">
        <v>93</v>
      </c>
      <c r="B91" t="s">
        <v>93</v>
      </c>
      <c r="C91" s="8">
        <v>371</v>
      </c>
      <c r="D91" s="2">
        <v>31.79999923706055</v>
      </c>
      <c r="E91" s="9">
        <f t="shared" si="2"/>
        <v>11797.799716949465</v>
      </c>
      <c r="F91" s="1">
        <f t="shared" si="3"/>
        <v>1.6611834602031322E-4</v>
      </c>
      <c r="G91" s="8"/>
    </row>
    <row r="92" spans="1:7" x14ac:dyDescent="0.35">
      <c r="A92" s="7" t="s">
        <v>93</v>
      </c>
      <c r="B92" t="s">
        <v>94</v>
      </c>
      <c r="C92" s="8">
        <v>-662</v>
      </c>
      <c r="D92" s="2">
        <v>8.8350000381469727</v>
      </c>
      <c r="E92" s="9">
        <f t="shared" si="2"/>
        <v>-5848.7700252532959</v>
      </c>
      <c r="F92" s="1">
        <f t="shared" si="3"/>
        <v>8.2353322327757302E-5</v>
      </c>
      <c r="G92" s="8"/>
    </row>
    <row r="93" spans="1:7" x14ac:dyDescent="0.35">
      <c r="A93" s="7" t="s">
        <v>95</v>
      </c>
      <c r="B93" t="s">
        <v>95</v>
      </c>
      <c r="C93" s="8">
        <v>156</v>
      </c>
      <c r="D93" s="2">
        <v>219.6499938964844</v>
      </c>
      <c r="E93" s="9">
        <f t="shared" si="2"/>
        <v>34265.39904785157</v>
      </c>
      <c r="F93" s="1">
        <f t="shared" si="3"/>
        <v>4.8247228738571241E-4</v>
      </c>
      <c r="G93" s="8"/>
    </row>
    <row r="94" spans="1:7" x14ac:dyDescent="0.35">
      <c r="A94" s="7" t="s">
        <v>95</v>
      </c>
      <c r="B94" t="s">
        <v>96</v>
      </c>
      <c r="C94" s="8">
        <v>-697</v>
      </c>
      <c r="D94" s="2">
        <v>21.45000076293945</v>
      </c>
      <c r="E94" s="9">
        <f t="shared" si="2"/>
        <v>-14950.650531768797</v>
      </c>
      <c r="F94" s="1">
        <f t="shared" si="3"/>
        <v>2.105119088178014E-4</v>
      </c>
      <c r="G94" s="8"/>
    </row>
    <row r="95" spans="1:7" x14ac:dyDescent="0.35">
      <c r="A95" s="7" t="s">
        <v>97</v>
      </c>
      <c r="B95" t="s">
        <v>97</v>
      </c>
      <c r="C95" s="8">
        <v>12911</v>
      </c>
      <c r="D95" s="2">
        <v>160.78999328613281</v>
      </c>
      <c r="E95" s="9">
        <f t="shared" si="2"/>
        <v>2075959.6033172607</v>
      </c>
      <c r="F95" s="1">
        <f t="shared" si="3"/>
        <v>2.9230448387135143E-2</v>
      </c>
      <c r="G95" s="8"/>
    </row>
    <row r="96" spans="1:7" x14ac:dyDescent="0.35">
      <c r="A96" s="7" t="s">
        <v>97</v>
      </c>
      <c r="B96" t="s">
        <v>98</v>
      </c>
      <c r="C96" s="8">
        <v>-6332</v>
      </c>
      <c r="D96" s="2">
        <v>4.630000114440918</v>
      </c>
      <c r="E96" s="9">
        <f t="shared" si="2"/>
        <v>-29317.160724639893</v>
      </c>
      <c r="F96" s="1">
        <f t="shared" si="3"/>
        <v>4.1279885795926394E-4</v>
      </c>
      <c r="G96" s="8"/>
    </row>
    <row r="97" spans="1:7" x14ac:dyDescent="0.35">
      <c r="A97" s="7" t="s">
        <v>97</v>
      </c>
      <c r="B97" t="s">
        <v>99</v>
      </c>
      <c r="C97" s="8">
        <v>-3777</v>
      </c>
      <c r="D97" s="2">
        <v>5.9000000953674316</v>
      </c>
      <c r="E97" s="9">
        <f t="shared" si="2"/>
        <v>-22284.300360202789</v>
      </c>
      <c r="F97" s="1">
        <f t="shared" si="3"/>
        <v>3.137730091093573E-4</v>
      </c>
      <c r="G97" s="8"/>
    </row>
    <row r="98" spans="1:7" x14ac:dyDescent="0.35">
      <c r="A98" s="7" t="s">
        <v>97</v>
      </c>
      <c r="B98" t="s">
        <v>100</v>
      </c>
      <c r="C98" s="8">
        <v>-134812</v>
      </c>
      <c r="D98" s="2">
        <v>6</v>
      </c>
      <c r="E98" s="9">
        <f t="shared" si="2"/>
        <v>-808872</v>
      </c>
      <c r="F98" s="1">
        <f t="shared" si="3"/>
        <v>1.1389282917652904E-2</v>
      </c>
      <c r="G98" s="8"/>
    </row>
    <row r="99" spans="1:7" x14ac:dyDescent="0.35">
      <c r="A99" s="7" t="s">
        <v>97</v>
      </c>
      <c r="B99" t="s">
        <v>101</v>
      </c>
      <c r="C99" s="8">
        <v>-4336</v>
      </c>
      <c r="D99" s="2">
        <v>7.2109999656677246</v>
      </c>
      <c r="E99" s="9">
        <f t="shared" si="2"/>
        <v>-31266.895851135254</v>
      </c>
      <c r="F99" s="1">
        <f t="shared" si="3"/>
        <v>4.4025200872989449E-4</v>
      </c>
      <c r="G99" s="8"/>
    </row>
    <row r="100" spans="1:7" x14ac:dyDescent="0.35">
      <c r="A100" s="7" t="s">
        <v>97</v>
      </c>
      <c r="B100" t="s">
        <v>102</v>
      </c>
      <c r="C100" s="8">
        <v>-165568</v>
      </c>
      <c r="D100" s="2">
        <v>3.88222336769104</v>
      </c>
      <c r="E100" s="9">
        <f t="shared" si="2"/>
        <v>-642771.95854187012</v>
      </c>
      <c r="F100" s="1">
        <f t="shared" si="3"/>
        <v>9.0505193496217221E-3</v>
      </c>
      <c r="G100" s="8"/>
    </row>
    <row r="101" spans="1:7" x14ac:dyDescent="0.35">
      <c r="A101" s="7" t="s">
        <v>103</v>
      </c>
      <c r="B101" t="s">
        <v>103</v>
      </c>
      <c r="C101" s="8">
        <v>197</v>
      </c>
      <c r="D101" s="2">
        <v>70.75</v>
      </c>
      <c r="E101" s="9">
        <f t="shared" si="2"/>
        <v>13937.75</v>
      </c>
      <c r="F101" s="1">
        <f t="shared" si="3"/>
        <v>1.9624981206608309E-4</v>
      </c>
      <c r="G101" s="8"/>
    </row>
    <row r="102" spans="1:7" x14ac:dyDescent="0.35">
      <c r="A102" s="7" t="s">
        <v>103</v>
      </c>
      <c r="B102" t="s">
        <v>104</v>
      </c>
      <c r="C102" s="8">
        <v>-521</v>
      </c>
      <c r="D102" s="2">
        <v>13.14999961853027</v>
      </c>
      <c r="E102" s="9">
        <f t="shared" si="2"/>
        <v>-6851.1498012542706</v>
      </c>
      <c r="F102" s="1">
        <f t="shared" si="3"/>
        <v>9.6467282088768492E-5</v>
      </c>
      <c r="G102" s="8"/>
    </row>
    <row r="103" spans="1:7" x14ac:dyDescent="0.35">
      <c r="A103" s="7" t="s">
        <v>105</v>
      </c>
      <c r="B103" t="s">
        <v>105</v>
      </c>
      <c r="C103" s="8">
        <v>5071</v>
      </c>
      <c r="D103" s="2">
        <v>13.909999847412109</v>
      </c>
      <c r="E103" s="9">
        <f t="shared" si="2"/>
        <v>70537.609226226807</v>
      </c>
      <c r="F103" s="1">
        <f t="shared" si="3"/>
        <v>9.9320138144519876E-4</v>
      </c>
      <c r="G103" s="8"/>
    </row>
    <row r="104" spans="1:7" x14ac:dyDescent="0.35">
      <c r="A104" s="7" t="s">
        <v>105</v>
      </c>
      <c r="B104" t="s">
        <v>106</v>
      </c>
      <c r="C104" s="8">
        <v>-4203</v>
      </c>
      <c r="D104" s="2">
        <v>7.5180001258850098</v>
      </c>
      <c r="E104" s="9">
        <f t="shared" si="2"/>
        <v>-31598.154529094696</v>
      </c>
      <c r="F104" s="1">
        <f t="shared" si="3"/>
        <v>4.4491628045917645E-4</v>
      </c>
      <c r="G104" s="8"/>
    </row>
    <row r="105" spans="1:7" x14ac:dyDescent="0.35">
      <c r="A105" s="7" t="s">
        <v>107</v>
      </c>
      <c r="B105" t="s">
        <v>107</v>
      </c>
      <c r="C105" s="8">
        <v>47</v>
      </c>
      <c r="D105" s="2">
        <v>996.58001708984375</v>
      </c>
      <c r="E105" s="9">
        <f t="shared" si="2"/>
        <v>46839.260803222656</v>
      </c>
      <c r="F105" s="1">
        <f t="shared" si="3"/>
        <v>6.5951793725290656E-4</v>
      </c>
      <c r="G105" s="8"/>
    </row>
    <row r="106" spans="1:7" x14ac:dyDescent="0.35">
      <c r="A106" s="7" t="s">
        <v>107</v>
      </c>
      <c r="B106" t="s">
        <v>108</v>
      </c>
      <c r="C106" s="8">
        <v>-1590</v>
      </c>
      <c r="D106" s="2">
        <v>14.92500019073486</v>
      </c>
      <c r="E106" s="9">
        <f t="shared" si="2"/>
        <v>-23730.750303268425</v>
      </c>
      <c r="F106" s="1">
        <f t="shared" si="3"/>
        <v>3.3413967729393714E-4</v>
      </c>
      <c r="G106" s="8"/>
    </row>
    <row r="107" spans="1:7" x14ac:dyDescent="0.35">
      <c r="A107" s="7" t="s">
        <v>109</v>
      </c>
      <c r="B107" t="s">
        <v>109</v>
      </c>
      <c r="C107" s="8">
        <v>9639</v>
      </c>
      <c r="D107" s="2">
        <v>89.910003662109375</v>
      </c>
      <c r="E107" s="9">
        <f t="shared" si="2"/>
        <v>866642.52529907227</v>
      </c>
      <c r="F107" s="1">
        <f t="shared" si="3"/>
        <v>1.2202717993823865E-2</v>
      </c>
      <c r="G107" s="8"/>
    </row>
    <row r="108" spans="1:7" x14ac:dyDescent="0.35">
      <c r="A108" s="7" t="s">
        <v>109</v>
      </c>
      <c r="B108" t="s">
        <v>110</v>
      </c>
      <c r="C108" s="8">
        <v>-25796</v>
      </c>
      <c r="D108" s="2">
        <v>4.1100001335144043</v>
      </c>
      <c r="E108" s="9">
        <f t="shared" si="2"/>
        <v>-106021.56344413757</v>
      </c>
      <c r="F108" s="1">
        <f t="shared" si="3"/>
        <v>1.4928314757306097E-3</v>
      </c>
      <c r="G108" s="8"/>
    </row>
    <row r="109" spans="1:7" x14ac:dyDescent="0.35">
      <c r="A109" s="7" t="s">
        <v>109</v>
      </c>
      <c r="B109" t="s">
        <v>111</v>
      </c>
      <c r="C109" s="8">
        <v>-4500</v>
      </c>
      <c r="D109" s="2">
        <v>36.659999847412109</v>
      </c>
      <c r="E109" s="9">
        <f t="shared" si="2"/>
        <v>-164969.99931335449</v>
      </c>
      <c r="F109" s="1">
        <f t="shared" si="3"/>
        <v>2.3228520644858514E-3</v>
      </c>
      <c r="G109" s="8"/>
    </row>
    <row r="110" spans="1:7" x14ac:dyDescent="0.35">
      <c r="A110" s="7" t="s">
        <v>109</v>
      </c>
      <c r="B110" t="s">
        <v>112</v>
      </c>
      <c r="C110" s="8">
        <v>-60036</v>
      </c>
      <c r="D110" s="2">
        <v>2.4200000762939449</v>
      </c>
      <c r="E110" s="9">
        <f t="shared" si="2"/>
        <v>-145287.12458038327</v>
      </c>
      <c r="F110" s="1">
        <f t="shared" si="3"/>
        <v>2.0457083025970345E-3</v>
      </c>
      <c r="G110" s="8"/>
    </row>
    <row r="111" spans="1:7" x14ac:dyDescent="0.35">
      <c r="A111" s="7" t="s">
        <v>113</v>
      </c>
      <c r="B111" t="s">
        <v>113</v>
      </c>
      <c r="C111" s="8">
        <v>2402</v>
      </c>
      <c r="D111" s="2">
        <v>87.80999755859375</v>
      </c>
      <c r="E111" s="9">
        <f t="shared" si="2"/>
        <v>210919.61413574219</v>
      </c>
      <c r="F111" s="1">
        <f t="shared" si="3"/>
        <v>2.9698433847062953E-3</v>
      </c>
      <c r="G111" s="8"/>
    </row>
    <row r="112" spans="1:7" x14ac:dyDescent="0.35">
      <c r="A112" s="7" t="s">
        <v>113</v>
      </c>
      <c r="B112" t="s">
        <v>114</v>
      </c>
      <c r="C112" s="8">
        <v>-7271</v>
      </c>
      <c r="D112" s="2">
        <v>13.25</v>
      </c>
      <c r="E112" s="9">
        <f t="shared" si="2"/>
        <v>-96340.75</v>
      </c>
      <c r="F112" s="1">
        <f t="shared" si="3"/>
        <v>1.3565212521250197E-3</v>
      </c>
      <c r="G112" s="8"/>
    </row>
    <row r="113" spans="1:7" x14ac:dyDescent="0.35">
      <c r="A113" s="7" t="s">
        <v>115</v>
      </c>
      <c r="B113" t="s">
        <v>115</v>
      </c>
      <c r="C113" s="8">
        <v>257</v>
      </c>
      <c r="D113" s="2">
        <v>184.5683898925781</v>
      </c>
      <c r="E113" s="9">
        <f t="shared" si="2"/>
        <v>47434.076202392571</v>
      </c>
      <c r="F113" s="1">
        <f t="shared" si="3"/>
        <v>6.6789320659703367E-4</v>
      </c>
      <c r="G113" s="8"/>
    </row>
    <row r="114" spans="1:7" x14ac:dyDescent="0.35">
      <c r="A114" s="7" t="s">
        <v>115</v>
      </c>
      <c r="B114" t="s">
        <v>116</v>
      </c>
      <c r="C114" s="8">
        <v>-3981</v>
      </c>
      <c r="D114" s="2">
        <v>6.179999828338623</v>
      </c>
      <c r="E114" s="9">
        <f t="shared" si="2"/>
        <v>-24602.579316616058</v>
      </c>
      <c r="F114" s="1">
        <f t="shared" si="3"/>
        <v>3.4641542338087597E-4</v>
      </c>
      <c r="G114" s="8"/>
    </row>
    <row r="115" spans="1:7" x14ac:dyDescent="0.35">
      <c r="A115" s="7" t="s">
        <v>117</v>
      </c>
      <c r="B115" t="s">
        <v>117</v>
      </c>
      <c r="C115" s="8">
        <v>3836</v>
      </c>
      <c r="D115" s="2">
        <v>6.6700000762939453</v>
      </c>
      <c r="E115" s="9">
        <f t="shared" si="2"/>
        <v>25586.120292663574</v>
      </c>
      <c r="F115" s="1">
        <f t="shared" si="3"/>
        <v>3.6026412433394354E-4</v>
      </c>
      <c r="G115" s="8"/>
    </row>
    <row r="116" spans="1:7" x14ac:dyDescent="0.35">
      <c r="A116" s="7" t="s">
        <v>117</v>
      </c>
      <c r="B116" t="s">
        <v>118</v>
      </c>
      <c r="C116" s="8">
        <v>-3094</v>
      </c>
      <c r="D116" s="2">
        <v>3.9900000095367432</v>
      </c>
      <c r="E116" s="9">
        <f t="shared" si="2"/>
        <v>-12345.060029506683</v>
      </c>
      <c r="F116" s="1">
        <f t="shared" si="3"/>
        <v>1.7382401827663725E-4</v>
      </c>
      <c r="G116" s="8"/>
    </row>
    <row r="117" spans="1:7" x14ac:dyDescent="0.35">
      <c r="A117" s="7" t="s">
        <v>119</v>
      </c>
      <c r="B117" t="s">
        <v>119</v>
      </c>
      <c r="C117" s="8">
        <v>529</v>
      </c>
      <c r="D117" s="2">
        <v>380.05999755859381</v>
      </c>
      <c r="E117" s="9">
        <f t="shared" si="2"/>
        <v>201051.73870849612</v>
      </c>
      <c r="F117" s="1">
        <f t="shared" si="3"/>
        <v>2.8308992439311656E-3</v>
      </c>
      <c r="G117" s="8"/>
    </row>
    <row r="118" spans="1:7" x14ac:dyDescent="0.35">
      <c r="A118" s="7" t="s">
        <v>119</v>
      </c>
      <c r="B118" t="s">
        <v>120</v>
      </c>
      <c r="C118" s="8">
        <v>-5746</v>
      </c>
      <c r="D118" s="2">
        <v>18.03700065612793</v>
      </c>
      <c r="E118" s="9">
        <f t="shared" si="2"/>
        <v>-103640.60577011108</v>
      </c>
      <c r="F118" s="1">
        <f t="shared" si="3"/>
        <v>1.4593065168193795E-3</v>
      </c>
      <c r="G118" s="8"/>
    </row>
    <row r="119" spans="1:7" x14ac:dyDescent="0.35">
      <c r="A119" s="7" t="s">
        <v>121</v>
      </c>
      <c r="B119" t="s">
        <v>121</v>
      </c>
      <c r="C119" s="8">
        <v>10878</v>
      </c>
      <c r="D119" s="2">
        <v>69.150001525878906</v>
      </c>
      <c r="E119" s="9">
        <f t="shared" si="2"/>
        <v>752213.71659851074</v>
      </c>
      <c r="F119" s="1">
        <f t="shared" si="3"/>
        <v>1.0591508709511048E-2</v>
      </c>
      <c r="G119" s="8"/>
    </row>
    <row r="120" spans="1:7" x14ac:dyDescent="0.35">
      <c r="A120" s="7" t="s">
        <v>121</v>
      </c>
      <c r="B120" t="s">
        <v>122</v>
      </c>
      <c r="C120" s="8">
        <v>-3106</v>
      </c>
      <c r="D120" s="2">
        <v>20.020000457763668</v>
      </c>
      <c r="E120" s="9">
        <f t="shared" si="2"/>
        <v>-62182.12142181395</v>
      </c>
      <c r="F120" s="1">
        <f t="shared" si="3"/>
        <v>8.7555234115272167E-4</v>
      </c>
      <c r="G120" s="8"/>
    </row>
    <row r="121" spans="1:7" x14ac:dyDescent="0.35">
      <c r="A121" s="7" t="s">
        <v>121</v>
      </c>
      <c r="B121" t="s">
        <v>123</v>
      </c>
      <c r="C121" s="8">
        <v>-63454</v>
      </c>
      <c r="D121" s="2">
        <v>1.919999957084656</v>
      </c>
      <c r="E121" s="9">
        <f t="shared" si="2"/>
        <v>-121831.67727684976</v>
      </c>
      <c r="F121" s="1">
        <f t="shared" si="3"/>
        <v>1.7154450158223136E-3</v>
      </c>
      <c r="G121" s="8"/>
    </row>
    <row r="122" spans="1:7" x14ac:dyDescent="0.35">
      <c r="A122" s="7" t="s">
        <v>121</v>
      </c>
      <c r="B122" t="s">
        <v>124</v>
      </c>
      <c r="C122" s="8">
        <v>-27699</v>
      </c>
      <c r="D122" s="2">
        <v>3.5799999237060551</v>
      </c>
      <c r="E122" s="9">
        <f t="shared" si="2"/>
        <v>-99162.417886734023</v>
      </c>
      <c r="F122" s="1">
        <f t="shared" si="3"/>
        <v>1.3962516097856504E-3</v>
      </c>
      <c r="G122" s="8"/>
    </row>
    <row r="123" spans="1:7" x14ac:dyDescent="0.35">
      <c r="A123" s="7" t="s">
        <v>121</v>
      </c>
      <c r="B123" t="s">
        <v>125</v>
      </c>
      <c r="C123" s="8">
        <v>-5132</v>
      </c>
      <c r="D123" s="2">
        <v>15.52999973297119</v>
      </c>
      <c r="E123" s="9">
        <f t="shared" si="2"/>
        <v>-79699.95862960814</v>
      </c>
      <c r="F123" s="1">
        <f t="shared" si="3"/>
        <v>1.1222113973012283E-3</v>
      </c>
      <c r="G123" s="8"/>
    </row>
    <row r="124" spans="1:7" x14ac:dyDescent="0.35">
      <c r="A124" s="7" t="s">
        <v>126</v>
      </c>
      <c r="B124" t="s">
        <v>126</v>
      </c>
      <c r="C124" s="8">
        <v>1128</v>
      </c>
      <c r="D124" s="2">
        <v>76.624794006347656</v>
      </c>
      <c r="E124" s="9">
        <f t="shared" si="2"/>
        <v>86432.767639160156</v>
      </c>
      <c r="F124" s="1">
        <f t="shared" si="3"/>
        <v>1.2170123876189922E-3</v>
      </c>
      <c r="G124" s="8"/>
    </row>
    <row r="125" spans="1:7" x14ac:dyDescent="0.35">
      <c r="A125" s="7" t="s">
        <v>126</v>
      </c>
      <c r="B125" t="s">
        <v>127</v>
      </c>
      <c r="C125" s="8">
        <v>-1453</v>
      </c>
      <c r="D125" s="2">
        <v>28.32399940490723</v>
      </c>
      <c r="E125" s="9">
        <f t="shared" si="2"/>
        <v>-41154.771135330207</v>
      </c>
      <c r="F125" s="1">
        <f t="shared" si="3"/>
        <v>5.794777565196114E-4</v>
      </c>
      <c r="G125" s="8"/>
    </row>
    <row r="126" spans="1:7" x14ac:dyDescent="0.35">
      <c r="A126" s="7" t="s">
        <v>128</v>
      </c>
      <c r="B126" t="s">
        <v>128</v>
      </c>
      <c r="C126" s="8">
        <v>364</v>
      </c>
      <c r="D126" s="2">
        <v>115.80999755859381</v>
      </c>
      <c r="E126" s="9">
        <f t="shared" si="2"/>
        <v>42154.839111328147</v>
      </c>
      <c r="F126" s="1">
        <f t="shared" si="3"/>
        <v>5.9355916509293955E-4</v>
      </c>
      <c r="G126" s="8"/>
    </row>
    <row r="127" spans="1:7" x14ac:dyDescent="0.35">
      <c r="A127" s="7" t="s">
        <v>128</v>
      </c>
      <c r="B127" t="s">
        <v>129</v>
      </c>
      <c r="C127" s="8">
        <v>-1445</v>
      </c>
      <c r="D127" s="2">
        <v>15.467399597167971</v>
      </c>
      <c r="E127" s="9">
        <f t="shared" si="2"/>
        <v>-22350.392417907718</v>
      </c>
      <c r="F127" s="1">
        <f t="shared" si="3"/>
        <v>3.1470361511848024E-4</v>
      </c>
      <c r="G127" s="8"/>
    </row>
    <row r="128" spans="1:7" x14ac:dyDescent="0.35">
      <c r="A128" s="7" t="s">
        <v>130</v>
      </c>
      <c r="B128" t="s">
        <v>130</v>
      </c>
      <c r="C128" s="8">
        <v>384</v>
      </c>
      <c r="D128" s="2">
        <v>164.152099609375</v>
      </c>
      <c r="E128" s="9">
        <f t="shared" si="2"/>
        <v>63034.40625</v>
      </c>
      <c r="F128" s="1">
        <f t="shared" si="3"/>
        <v>8.8755289628954692E-4</v>
      </c>
      <c r="G128" s="8"/>
    </row>
    <row r="129" spans="1:7" x14ac:dyDescent="0.35">
      <c r="A129" s="7" t="s">
        <v>130</v>
      </c>
      <c r="B129" t="s">
        <v>131</v>
      </c>
      <c r="C129" s="8">
        <v>-854</v>
      </c>
      <c r="D129" s="2">
        <v>35.069999694824219</v>
      </c>
      <c r="E129" s="9">
        <f t="shared" si="2"/>
        <v>-29949.779739379883</v>
      </c>
      <c r="F129" s="1">
        <f t="shared" si="3"/>
        <v>4.2170641927670427E-4</v>
      </c>
      <c r="G129" s="8"/>
    </row>
    <row r="130" spans="1:7" x14ac:dyDescent="0.35">
      <c r="A130" s="7" t="s">
        <v>132</v>
      </c>
      <c r="B130" t="s">
        <v>132</v>
      </c>
      <c r="C130" s="8">
        <v>11243</v>
      </c>
      <c r="D130" s="2">
        <v>8.7200002670288086</v>
      </c>
      <c r="E130" s="9">
        <f t="shared" si="2"/>
        <v>98038.963002204895</v>
      </c>
      <c r="F130" s="1">
        <f t="shared" si="3"/>
        <v>1.3804328578383444E-3</v>
      </c>
      <c r="G130" s="8"/>
    </row>
    <row r="131" spans="1:7" x14ac:dyDescent="0.35">
      <c r="A131" s="7" t="s">
        <v>132</v>
      </c>
      <c r="B131" t="s">
        <v>133</v>
      </c>
      <c r="C131" s="8">
        <v>-35218</v>
      </c>
      <c r="D131" s="2">
        <v>1.419999957084656</v>
      </c>
      <c r="E131" s="9">
        <f t="shared" ref="E131:E194" si="4">C131*D131</f>
        <v>-50009.558488607414</v>
      </c>
      <c r="F131" s="1">
        <f t="shared" ref="F131:F194" si="5">IF($E$459=0,"",ABS(E131)/$E$459)</f>
        <v>7.0415715986418142E-4</v>
      </c>
      <c r="G131" s="8"/>
    </row>
    <row r="132" spans="1:7" x14ac:dyDescent="0.35">
      <c r="A132" s="7" t="s">
        <v>134</v>
      </c>
      <c r="B132" t="s">
        <v>134</v>
      </c>
      <c r="C132" s="8">
        <v>2212</v>
      </c>
      <c r="D132" s="2">
        <v>20.930000305175781</v>
      </c>
      <c r="E132" s="9">
        <f t="shared" si="4"/>
        <v>46297.160675048828</v>
      </c>
      <c r="F132" s="1">
        <f t="shared" si="5"/>
        <v>6.5188492272221735E-4</v>
      </c>
      <c r="G132" s="8"/>
    </row>
    <row r="133" spans="1:7" x14ac:dyDescent="0.35">
      <c r="A133" s="7" t="s">
        <v>134</v>
      </c>
      <c r="B133" t="s">
        <v>135</v>
      </c>
      <c r="C133" s="8">
        <v>-3760</v>
      </c>
      <c r="D133" s="2">
        <v>15.371147155761721</v>
      </c>
      <c r="E133" s="9">
        <f t="shared" si="4"/>
        <v>-57795.51330566407</v>
      </c>
      <c r="F133" s="1">
        <f t="shared" si="5"/>
        <v>8.1378691858437538E-4</v>
      </c>
      <c r="G133" s="8"/>
    </row>
    <row r="134" spans="1:7" x14ac:dyDescent="0.35">
      <c r="A134" s="7" t="s">
        <v>136</v>
      </c>
      <c r="B134" t="s">
        <v>136</v>
      </c>
      <c r="C134" s="8">
        <v>445</v>
      </c>
      <c r="D134" s="2">
        <v>3.2999999523162842</v>
      </c>
      <c r="E134" s="9">
        <f t="shared" si="4"/>
        <v>1468.4999787807465</v>
      </c>
      <c r="F134" s="1">
        <f t="shared" si="5"/>
        <v>2.0677142641729725E-5</v>
      </c>
      <c r="G134" s="8"/>
    </row>
    <row r="135" spans="1:7" x14ac:dyDescent="0.35">
      <c r="A135" s="7" t="s">
        <v>136</v>
      </c>
      <c r="B135" t="s">
        <v>137</v>
      </c>
      <c r="C135" s="8">
        <v>-74</v>
      </c>
      <c r="D135" s="2">
        <v>9.6400003433227539</v>
      </c>
      <c r="E135" s="9">
        <f t="shared" si="4"/>
        <v>-713.36002540588379</v>
      </c>
      <c r="F135" s="1">
        <f t="shared" si="5"/>
        <v>1.0044431197385587E-5</v>
      </c>
      <c r="G135" s="8"/>
    </row>
    <row r="136" spans="1:7" x14ac:dyDescent="0.35">
      <c r="A136" s="7" t="s">
        <v>138</v>
      </c>
      <c r="B136" t="s">
        <v>138</v>
      </c>
      <c r="C136" s="8">
        <v>734</v>
      </c>
      <c r="D136" s="2">
        <v>94.120002746582031</v>
      </c>
      <c r="E136" s="9">
        <f t="shared" si="4"/>
        <v>69084.082015991211</v>
      </c>
      <c r="F136" s="1">
        <f t="shared" si="5"/>
        <v>9.7273506214390023E-4</v>
      </c>
      <c r="G136" s="8"/>
    </row>
    <row r="137" spans="1:7" x14ac:dyDescent="0.35">
      <c r="A137" s="7" t="s">
        <v>138</v>
      </c>
      <c r="B137" t="s">
        <v>139</v>
      </c>
      <c r="C137" s="8">
        <v>-11558</v>
      </c>
      <c r="D137" s="2">
        <v>2.9170000553131099</v>
      </c>
      <c r="E137" s="9">
        <f t="shared" si="4"/>
        <v>-33714.686639308922</v>
      </c>
      <c r="F137" s="1">
        <f t="shared" si="5"/>
        <v>4.747180080594973E-4</v>
      </c>
      <c r="G137" s="8"/>
    </row>
    <row r="138" spans="1:7" x14ac:dyDescent="0.35">
      <c r="A138" s="7" t="s">
        <v>140</v>
      </c>
      <c r="B138" t="s">
        <v>140</v>
      </c>
      <c r="C138" s="8">
        <v>94817</v>
      </c>
      <c r="D138" s="2">
        <v>15.27000045776367</v>
      </c>
      <c r="E138" s="9">
        <f t="shared" si="4"/>
        <v>1447855.6334037778</v>
      </c>
      <c r="F138" s="1">
        <f t="shared" si="5"/>
        <v>2.0386460939126553E-2</v>
      </c>
      <c r="G138" s="8"/>
    </row>
    <row r="139" spans="1:7" x14ac:dyDescent="0.35">
      <c r="A139" s="7" t="s">
        <v>140</v>
      </c>
      <c r="B139" t="s">
        <v>141</v>
      </c>
      <c r="C139" s="8">
        <v>-21890</v>
      </c>
      <c r="D139" s="2">
        <v>13.954408645629879</v>
      </c>
      <c r="E139" s="9">
        <f t="shared" si="4"/>
        <v>-305462.00525283808</v>
      </c>
      <c r="F139" s="1">
        <f t="shared" si="5"/>
        <v>4.3010429319078301E-3</v>
      </c>
      <c r="G139" s="8"/>
    </row>
    <row r="140" spans="1:7" x14ac:dyDescent="0.35">
      <c r="A140" s="7" t="s">
        <v>140</v>
      </c>
      <c r="B140" t="s">
        <v>142</v>
      </c>
      <c r="C140" s="8">
        <v>-17647</v>
      </c>
      <c r="D140" s="2">
        <v>20.79979133605957</v>
      </c>
      <c r="E140" s="9">
        <f t="shared" si="4"/>
        <v>-367053.91770744324</v>
      </c>
      <c r="F140" s="1">
        <f t="shared" si="5"/>
        <v>5.1682848643579676E-3</v>
      </c>
      <c r="G140" s="8"/>
    </row>
    <row r="141" spans="1:7" x14ac:dyDescent="0.35">
      <c r="A141" s="7" t="s">
        <v>140</v>
      </c>
      <c r="B141" t="s">
        <v>143</v>
      </c>
      <c r="C141" s="8">
        <v>-11478</v>
      </c>
      <c r="D141" s="2">
        <v>5.5300002098083496</v>
      </c>
      <c r="E141" s="9">
        <f t="shared" si="4"/>
        <v>-63473.342408180237</v>
      </c>
      <c r="F141" s="1">
        <f t="shared" si="5"/>
        <v>8.9373331555032292E-4</v>
      </c>
      <c r="G141" s="8"/>
    </row>
    <row r="142" spans="1:7" x14ac:dyDescent="0.35">
      <c r="A142" s="7" t="s">
        <v>144</v>
      </c>
      <c r="B142" t="s">
        <v>144</v>
      </c>
      <c r="C142" s="8">
        <v>1488</v>
      </c>
      <c r="D142" s="2">
        <v>28.89999961853027</v>
      </c>
      <c r="E142" s="9">
        <f t="shared" si="4"/>
        <v>43003.19943237304</v>
      </c>
      <c r="F142" s="1">
        <f t="shared" si="5"/>
        <v>6.055044613975355E-4</v>
      </c>
      <c r="G142" s="8"/>
    </row>
    <row r="143" spans="1:7" x14ac:dyDescent="0.35">
      <c r="A143" s="7" t="s">
        <v>144</v>
      </c>
      <c r="B143" t="s">
        <v>145</v>
      </c>
      <c r="C143" s="8">
        <v>-2901</v>
      </c>
      <c r="D143" s="2">
        <v>7.4109997749328613</v>
      </c>
      <c r="E143" s="9">
        <f t="shared" si="4"/>
        <v>-21499.310347080231</v>
      </c>
      <c r="F143" s="1">
        <f t="shared" si="5"/>
        <v>3.0271999534823706E-4</v>
      </c>
      <c r="G143" s="8"/>
    </row>
    <row r="144" spans="1:7" x14ac:dyDescent="0.35">
      <c r="A144" s="7" t="s">
        <v>146</v>
      </c>
      <c r="B144" t="s">
        <v>146</v>
      </c>
      <c r="C144" s="8">
        <v>2138</v>
      </c>
      <c r="D144" s="2">
        <v>72.760002136230469</v>
      </c>
      <c r="E144" s="9">
        <f t="shared" si="4"/>
        <v>155560.88456726074</v>
      </c>
      <c r="F144" s="1">
        <f t="shared" si="5"/>
        <v>2.1903674812045392E-3</v>
      </c>
      <c r="G144" s="8"/>
    </row>
    <row r="145" spans="1:7" x14ac:dyDescent="0.35">
      <c r="A145" s="7" t="s">
        <v>146</v>
      </c>
      <c r="B145" t="s">
        <v>147</v>
      </c>
      <c r="C145" s="8">
        <v>-2027</v>
      </c>
      <c r="D145" s="2">
        <v>26.430000305175781</v>
      </c>
      <c r="E145" s="9">
        <f t="shared" si="4"/>
        <v>-53573.610618591309</v>
      </c>
      <c r="F145" s="1">
        <f t="shared" si="5"/>
        <v>7.5434062281215096E-4</v>
      </c>
      <c r="G145" s="8"/>
    </row>
    <row r="146" spans="1:7" x14ac:dyDescent="0.35">
      <c r="A146" s="7" t="s">
        <v>148</v>
      </c>
      <c r="B146" t="s">
        <v>148</v>
      </c>
      <c r="C146" s="8">
        <v>2489</v>
      </c>
      <c r="D146" s="2">
        <v>116.4300003051758</v>
      </c>
      <c r="E146" s="9">
        <f t="shared" si="4"/>
        <v>289794.27075958258</v>
      </c>
      <c r="F146" s="1">
        <f t="shared" si="5"/>
        <v>4.080434157191489E-3</v>
      </c>
      <c r="G146" s="8"/>
    </row>
    <row r="147" spans="1:7" x14ac:dyDescent="0.35">
      <c r="A147" s="7" t="s">
        <v>148</v>
      </c>
      <c r="B147" t="s">
        <v>149</v>
      </c>
      <c r="C147" s="8">
        <v>-375</v>
      </c>
      <c r="D147" s="2">
        <v>243.1600036621094</v>
      </c>
      <c r="E147" s="9">
        <f t="shared" si="4"/>
        <v>-91185.00137329103</v>
      </c>
      <c r="F147" s="1">
        <f t="shared" si="5"/>
        <v>1.2839259839467557E-3</v>
      </c>
      <c r="G147" s="8"/>
    </row>
    <row r="148" spans="1:7" x14ac:dyDescent="0.35">
      <c r="A148" s="7" t="s">
        <v>150</v>
      </c>
      <c r="B148" t="s">
        <v>150</v>
      </c>
      <c r="C148" s="8">
        <v>3288</v>
      </c>
      <c r="D148" s="2">
        <v>54.529926300048828</v>
      </c>
      <c r="E148" s="9">
        <f t="shared" si="4"/>
        <v>179294.39767456055</v>
      </c>
      <c r="F148" s="1">
        <f t="shared" si="5"/>
        <v>2.5245460600264802E-3</v>
      </c>
      <c r="G148" s="8"/>
    </row>
    <row r="149" spans="1:7" x14ac:dyDescent="0.35">
      <c r="A149" s="7" t="s">
        <v>150</v>
      </c>
      <c r="B149" t="s">
        <v>151</v>
      </c>
      <c r="C149" s="8">
        <v>-7887</v>
      </c>
      <c r="D149" s="2">
        <v>10.960000038146971</v>
      </c>
      <c r="E149" s="9">
        <f t="shared" si="4"/>
        <v>-86441.520300865159</v>
      </c>
      <c r="F149" s="1">
        <f t="shared" si="5"/>
        <v>1.2171356290471055E-3</v>
      </c>
      <c r="G149" s="8"/>
    </row>
    <row r="150" spans="1:7" x14ac:dyDescent="0.35">
      <c r="A150" s="7" t="s">
        <v>152</v>
      </c>
      <c r="B150" t="s">
        <v>152</v>
      </c>
      <c r="C150" s="8">
        <v>3785</v>
      </c>
      <c r="D150" s="2">
        <v>20.159999847412109</v>
      </c>
      <c r="E150" s="9">
        <f t="shared" si="4"/>
        <v>76305.599422454834</v>
      </c>
      <c r="F150" s="1">
        <f t="shared" si="5"/>
        <v>1.0744172873129866E-3</v>
      </c>
      <c r="G150" s="8"/>
    </row>
    <row r="151" spans="1:7" x14ac:dyDescent="0.35">
      <c r="A151" s="7" t="s">
        <v>152</v>
      </c>
      <c r="B151" t="s">
        <v>153</v>
      </c>
      <c r="C151" s="8">
        <v>-35003</v>
      </c>
      <c r="D151" s="2">
        <v>1.0850000381469731</v>
      </c>
      <c r="E151" s="9">
        <f t="shared" si="4"/>
        <v>-37978.256335258498</v>
      </c>
      <c r="F151" s="1">
        <f t="shared" si="5"/>
        <v>5.3475099412688635E-4</v>
      </c>
      <c r="G151" s="8"/>
    </row>
    <row r="152" spans="1:7" x14ac:dyDescent="0.35">
      <c r="A152" s="7" t="s">
        <v>154</v>
      </c>
      <c r="B152" t="s">
        <v>154</v>
      </c>
      <c r="C152" s="8">
        <v>1817</v>
      </c>
      <c r="D152" s="2">
        <v>30.70999908447266</v>
      </c>
      <c r="E152" s="9">
        <f t="shared" si="4"/>
        <v>55800.068336486824</v>
      </c>
      <c r="F152" s="1">
        <f t="shared" si="5"/>
        <v>7.8569015259350556E-4</v>
      </c>
      <c r="G152" s="8"/>
    </row>
    <row r="153" spans="1:7" x14ac:dyDescent="0.35">
      <c r="A153" s="7" t="s">
        <v>154</v>
      </c>
      <c r="B153" t="s">
        <v>155</v>
      </c>
      <c r="C153" s="8">
        <v>-2127</v>
      </c>
      <c r="D153" s="2">
        <v>12.939999580383301</v>
      </c>
      <c r="E153" s="9">
        <f t="shared" si="4"/>
        <v>-27523.379107475281</v>
      </c>
      <c r="F153" s="1">
        <f t="shared" si="5"/>
        <v>3.8754160300375466E-4</v>
      </c>
      <c r="G153" s="8"/>
    </row>
    <row r="154" spans="1:7" x14ac:dyDescent="0.35">
      <c r="A154" s="7" t="s">
        <v>156</v>
      </c>
      <c r="B154" t="s">
        <v>156</v>
      </c>
      <c r="C154" s="8">
        <v>3136</v>
      </c>
      <c r="D154" s="2">
        <v>23.620000839233398</v>
      </c>
      <c r="E154" s="9">
        <f t="shared" si="4"/>
        <v>74072.322631835938</v>
      </c>
      <c r="F154" s="1">
        <f t="shared" si="5"/>
        <v>1.0429717419092805E-3</v>
      </c>
      <c r="G154" s="8"/>
    </row>
    <row r="155" spans="1:7" x14ac:dyDescent="0.35">
      <c r="A155" s="7" t="s">
        <v>156</v>
      </c>
      <c r="B155" t="s">
        <v>157</v>
      </c>
      <c r="C155" s="8">
        <v>-3437</v>
      </c>
      <c r="D155" s="2">
        <v>10.77000045776367</v>
      </c>
      <c r="E155" s="9">
        <f t="shared" si="4"/>
        <v>-37016.491573333733</v>
      </c>
      <c r="F155" s="1">
        <f t="shared" si="5"/>
        <v>5.212089120993341E-4</v>
      </c>
      <c r="G155" s="8"/>
    </row>
    <row r="156" spans="1:7" x14ac:dyDescent="0.35">
      <c r="A156" s="7" t="s">
        <v>158</v>
      </c>
      <c r="B156" t="s">
        <v>158</v>
      </c>
      <c r="C156" s="8">
        <v>854</v>
      </c>
      <c r="D156" s="2">
        <v>129.29640197753909</v>
      </c>
      <c r="E156" s="9">
        <f t="shared" si="4"/>
        <v>110419.12728881839</v>
      </c>
      <c r="F156" s="1">
        <f t="shared" si="5"/>
        <v>1.554751159902532E-3</v>
      </c>
      <c r="G156" s="8"/>
    </row>
    <row r="157" spans="1:7" x14ac:dyDescent="0.35">
      <c r="A157" s="7" t="s">
        <v>158</v>
      </c>
      <c r="B157" t="s">
        <v>159</v>
      </c>
      <c r="C157" s="8">
        <v>-6472</v>
      </c>
      <c r="D157" s="2">
        <v>8.3500003814697266</v>
      </c>
      <c r="E157" s="9">
        <f t="shared" si="4"/>
        <v>-54041.20246887207</v>
      </c>
      <c r="F157" s="1">
        <f t="shared" si="5"/>
        <v>7.6092452715404487E-4</v>
      </c>
      <c r="G157" s="8"/>
    </row>
    <row r="158" spans="1:7" x14ac:dyDescent="0.35">
      <c r="A158" s="7" t="s">
        <v>160</v>
      </c>
      <c r="B158" t="s">
        <v>160</v>
      </c>
      <c r="C158" s="8">
        <v>13887</v>
      </c>
      <c r="D158" s="2">
        <v>35</v>
      </c>
      <c r="E158" s="9">
        <f t="shared" si="4"/>
        <v>486045</v>
      </c>
      <c r="F158" s="1">
        <f t="shared" si="5"/>
        <v>6.8437330204415602E-3</v>
      </c>
      <c r="G158" s="8"/>
    </row>
    <row r="159" spans="1:7" x14ac:dyDescent="0.35">
      <c r="A159" s="7" t="s">
        <v>160</v>
      </c>
      <c r="B159" t="s">
        <v>161</v>
      </c>
      <c r="C159" s="8">
        <v>-5403</v>
      </c>
      <c r="D159" s="2">
        <v>30.45999908447266</v>
      </c>
      <c r="E159" s="9">
        <f t="shared" si="4"/>
        <v>-164575.37505340579</v>
      </c>
      <c r="F159" s="1">
        <f t="shared" si="5"/>
        <v>2.3172955767563649E-3</v>
      </c>
      <c r="G159" s="8"/>
    </row>
    <row r="160" spans="1:7" x14ac:dyDescent="0.35">
      <c r="A160" s="7" t="s">
        <v>162</v>
      </c>
      <c r="B160" t="s">
        <v>162</v>
      </c>
      <c r="C160" s="8">
        <v>10960</v>
      </c>
      <c r="D160" s="2">
        <v>85.790000915527344</v>
      </c>
      <c r="E160" s="9">
        <f t="shared" si="4"/>
        <v>940258.41003417969</v>
      </c>
      <c r="F160" s="1">
        <f t="shared" si="5"/>
        <v>1.3239262884092615E-2</v>
      </c>
      <c r="G160" s="8"/>
    </row>
    <row r="161" spans="1:7" x14ac:dyDescent="0.35">
      <c r="A161" s="7" t="s">
        <v>162</v>
      </c>
      <c r="B161" t="s">
        <v>163</v>
      </c>
      <c r="C161" s="8">
        <v>-1449</v>
      </c>
      <c r="D161" s="2">
        <v>165.94000244140619</v>
      </c>
      <c r="E161" s="9">
        <f t="shared" si="4"/>
        <v>-240447.06353759757</v>
      </c>
      <c r="F161" s="1">
        <f t="shared" si="5"/>
        <v>3.3856032021735978E-3</v>
      </c>
      <c r="G161" s="8"/>
    </row>
    <row r="162" spans="1:7" x14ac:dyDescent="0.35">
      <c r="A162" s="7" t="s">
        <v>162</v>
      </c>
      <c r="B162" t="s">
        <v>164</v>
      </c>
      <c r="C162" s="8">
        <v>-643</v>
      </c>
      <c r="D162" s="2">
        <v>165.1000061035156</v>
      </c>
      <c r="E162" s="9">
        <f t="shared" si="4"/>
        <v>-106159.30392456053</v>
      </c>
      <c r="F162" s="1">
        <f t="shared" si="5"/>
        <v>1.4947709238766085E-3</v>
      </c>
      <c r="G162" s="8"/>
    </row>
    <row r="163" spans="1:7" x14ac:dyDescent="0.35">
      <c r="A163" s="7" t="s">
        <v>165</v>
      </c>
      <c r="B163" t="s">
        <v>165</v>
      </c>
      <c r="C163" s="8">
        <v>2047</v>
      </c>
      <c r="D163" s="2">
        <v>110.61000061035161</v>
      </c>
      <c r="E163" s="9">
        <f t="shared" si="4"/>
        <v>226418.67124938974</v>
      </c>
      <c r="F163" s="1">
        <f t="shared" si="5"/>
        <v>3.1880771057699402E-3</v>
      </c>
      <c r="G163" s="8"/>
    </row>
    <row r="164" spans="1:7" x14ac:dyDescent="0.35">
      <c r="A164" s="7" t="s">
        <v>165</v>
      </c>
      <c r="B164" t="s">
        <v>166</v>
      </c>
      <c r="C164" s="8">
        <v>-672</v>
      </c>
      <c r="D164" s="2">
        <v>170.47999572753909</v>
      </c>
      <c r="E164" s="9">
        <f t="shared" si="4"/>
        <v>-114562.55712890626</v>
      </c>
      <c r="F164" s="1">
        <f t="shared" si="5"/>
        <v>1.6130925225633808E-3</v>
      </c>
      <c r="G164" s="8"/>
    </row>
    <row r="165" spans="1:7" x14ac:dyDescent="0.35">
      <c r="A165" s="7" t="s">
        <v>167</v>
      </c>
      <c r="B165" t="s">
        <v>167</v>
      </c>
      <c r="C165" s="8">
        <v>24792</v>
      </c>
      <c r="D165" s="2">
        <v>4.0399999618530273</v>
      </c>
      <c r="E165" s="9">
        <f t="shared" si="4"/>
        <v>100159.67905426025</v>
      </c>
      <c r="F165" s="1">
        <f t="shared" si="5"/>
        <v>1.4102934972285894E-3</v>
      </c>
      <c r="G165" s="8"/>
    </row>
    <row r="166" spans="1:7" x14ac:dyDescent="0.35">
      <c r="A166" s="7" t="s">
        <v>167</v>
      </c>
      <c r="B166" t="s">
        <v>168</v>
      </c>
      <c r="C166" s="8">
        <v>-5142</v>
      </c>
      <c r="D166" s="2">
        <v>9.6800003051757813</v>
      </c>
      <c r="E166" s="9">
        <f t="shared" si="4"/>
        <v>-49774.561569213867</v>
      </c>
      <c r="F166" s="1">
        <f t="shared" si="5"/>
        <v>7.0084829715197242E-4</v>
      </c>
      <c r="G166" s="8"/>
    </row>
    <row r="167" spans="1:7" x14ac:dyDescent="0.35">
      <c r="A167" s="7" t="s">
        <v>169</v>
      </c>
      <c r="B167" t="s">
        <v>169</v>
      </c>
      <c r="C167" s="8">
        <v>234</v>
      </c>
      <c r="D167" s="2">
        <v>817.3499755859375</v>
      </c>
      <c r="E167" s="9">
        <f t="shared" si="4"/>
        <v>191259.89428710938</v>
      </c>
      <c r="F167" s="1">
        <f t="shared" si="5"/>
        <v>2.693025654042018E-3</v>
      </c>
      <c r="G167" s="8"/>
    </row>
    <row r="168" spans="1:7" x14ac:dyDescent="0.35">
      <c r="A168" s="7" t="s">
        <v>169</v>
      </c>
      <c r="B168" t="s">
        <v>170</v>
      </c>
      <c r="C168" s="8">
        <v>-1165</v>
      </c>
      <c r="D168" s="2">
        <v>19.607000350952148</v>
      </c>
      <c r="E168" s="9">
        <f t="shared" si="4"/>
        <v>-22842.155408859253</v>
      </c>
      <c r="F168" s="1">
        <f t="shared" si="5"/>
        <v>3.2162786003285261E-4</v>
      </c>
      <c r="G168" s="8"/>
    </row>
    <row r="169" spans="1:7" x14ac:dyDescent="0.35">
      <c r="A169" s="7" t="s">
        <v>169</v>
      </c>
      <c r="B169" t="s">
        <v>171</v>
      </c>
      <c r="C169" s="8">
        <v>-1556</v>
      </c>
      <c r="D169" s="2">
        <v>45.409999847412109</v>
      </c>
      <c r="E169" s="9">
        <f t="shared" si="4"/>
        <v>-70657.959762573242</v>
      </c>
      <c r="F169" s="1">
        <f t="shared" si="5"/>
        <v>9.9489597132807373E-4</v>
      </c>
      <c r="G169" s="8"/>
    </row>
    <row r="170" spans="1:7" x14ac:dyDescent="0.35">
      <c r="A170" s="7" t="s">
        <v>172</v>
      </c>
      <c r="B170" t="s">
        <v>172</v>
      </c>
      <c r="C170" s="8">
        <v>1009</v>
      </c>
      <c r="D170" s="2">
        <v>128.55000305175781</v>
      </c>
      <c r="E170" s="9">
        <f t="shared" si="4"/>
        <v>129706.95307922363</v>
      </c>
      <c r="F170" s="1">
        <f t="shared" si="5"/>
        <v>1.8263324543388922E-3</v>
      </c>
      <c r="G170" s="8"/>
    </row>
    <row r="171" spans="1:7" x14ac:dyDescent="0.35">
      <c r="A171" s="7" t="s">
        <v>172</v>
      </c>
      <c r="B171" t="s">
        <v>173</v>
      </c>
      <c r="C171" s="8">
        <v>-4249</v>
      </c>
      <c r="D171" s="2">
        <v>14.27999973297119</v>
      </c>
      <c r="E171" s="9">
        <f t="shared" si="4"/>
        <v>-60675.718865394585</v>
      </c>
      <c r="F171" s="1">
        <f t="shared" si="5"/>
        <v>8.543415131070782E-4</v>
      </c>
      <c r="G171" s="8"/>
    </row>
    <row r="172" spans="1:7" x14ac:dyDescent="0.35">
      <c r="A172" s="7" t="s">
        <v>174</v>
      </c>
      <c r="B172" t="s">
        <v>174</v>
      </c>
      <c r="C172" s="8">
        <v>15198</v>
      </c>
      <c r="D172" s="2">
        <v>17.14999961853027</v>
      </c>
      <c r="E172" s="9">
        <f t="shared" si="4"/>
        <v>260645.69420242304</v>
      </c>
      <c r="F172" s="1">
        <f t="shared" si="5"/>
        <v>3.6700090404160847E-3</v>
      </c>
      <c r="G172" s="8"/>
    </row>
    <row r="173" spans="1:7" x14ac:dyDescent="0.35">
      <c r="A173" s="7" t="s">
        <v>174</v>
      </c>
      <c r="B173" t="s">
        <v>175</v>
      </c>
      <c r="C173" s="8">
        <v>-6867</v>
      </c>
      <c r="D173" s="2">
        <v>3.8110001087188721</v>
      </c>
      <c r="E173" s="9">
        <f t="shared" si="4"/>
        <v>-26170.137746572495</v>
      </c>
      <c r="F173" s="1">
        <f t="shared" si="5"/>
        <v>3.6848735373416509E-4</v>
      </c>
      <c r="G173" s="8"/>
    </row>
    <row r="174" spans="1:7" x14ac:dyDescent="0.35">
      <c r="A174" s="7" t="s">
        <v>174</v>
      </c>
      <c r="B174" t="s">
        <v>176</v>
      </c>
      <c r="C174" s="8">
        <v>-21954</v>
      </c>
      <c r="D174" s="2">
        <v>4.4000000953674316</v>
      </c>
      <c r="E174" s="9">
        <f t="shared" si="4"/>
        <v>-96597.602093696594</v>
      </c>
      <c r="F174" s="1">
        <f t="shared" si="5"/>
        <v>1.3601378455577286E-3</v>
      </c>
      <c r="G174" s="8"/>
    </row>
    <row r="175" spans="1:7" x14ac:dyDescent="0.35">
      <c r="A175" s="7" t="s">
        <v>177</v>
      </c>
      <c r="B175" t="s">
        <v>177</v>
      </c>
      <c r="C175" s="8">
        <v>3941</v>
      </c>
      <c r="D175" s="2">
        <v>22.270000457763668</v>
      </c>
      <c r="E175" s="9">
        <f t="shared" si="4"/>
        <v>87766.071804046616</v>
      </c>
      <c r="F175" s="1">
        <f t="shared" si="5"/>
        <v>1.2357859121682124E-3</v>
      </c>
      <c r="G175" s="8"/>
    </row>
    <row r="176" spans="1:7" x14ac:dyDescent="0.35">
      <c r="A176" s="7" t="s">
        <v>177</v>
      </c>
      <c r="B176" t="s">
        <v>178</v>
      </c>
      <c r="C176" s="8">
        <v>-2694</v>
      </c>
      <c r="D176" s="2">
        <v>9.5699996948242188</v>
      </c>
      <c r="E176" s="9">
        <f t="shared" si="4"/>
        <v>-25781.579177856445</v>
      </c>
      <c r="F176" s="1">
        <f t="shared" si="5"/>
        <v>3.6301627367553359E-4</v>
      </c>
      <c r="G176" s="8"/>
    </row>
    <row r="177" spans="1:7" x14ac:dyDescent="0.35">
      <c r="A177" s="7" t="s">
        <v>177</v>
      </c>
      <c r="B177" t="s">
        <v>179</v>
      </c>
      <c r="C177" s="8">
        <v>-1847</v>
      </c>
      <c r="D177" s="2">
        <v>30.98069953918457</v>
      </c>
      <c r="E177" s="9">
        <f t="shared" si="4"/>
        <v>-57221.352048873901</v>
      </c>
      <c r="F177" s="1">
        <f t="shared" si="5"/>
        <v>8.0570246888907334E-4</v>
      </c>
      <c r="G177" s="8"/>
    </row>
    <row r="178" spans="1:7" x14ac:dyDescent="0.35">
      <c r="A178" s="7" t="s">
        <v>180</v>
      </c>
      <c r="B178" t="s">
        <v>180</v>
      </c>
      <c r="C178" s="8">
        <v>4009</v>
      </c>
      <c r="D178" s="2">
        <v>273.5</v>
      </c>
      <c r="E178" s="9">
        <f t="shared" si="4"/>
        <v>1096461.5</v>
      </c>
      <c r="F178" s="1">
        <f t="shared" si="5"/>
        <v>1.5438672907226458E-2</v>
      </c>
      <c r="G178" s="8"/>
    </row>
    <row r="179" spans="1:7" x14ac:dyDescent="0.35">
      <c r="A179" s="7" t="s">
        <v>180</v>
      </c>
      <c r="B179" t="s">
        <v>181</v>
      </c>
      <c r="C179" s="8">
        <v>-5282</v>
      </c>
      <c r="D179" s="2">
        <v>70.80999755859375</v>
      </c>
      <c r="E179" s="9">
        <f t="shared" si="4"/>
        <v>-374018.40710449219</v>
      </c>
      <c r="F179" s="1">
        <f t="shared" si="5"/>
        <v>5.2663480191216189E-3</v>
      </c>
      <c r="G179" s="8"/>
    </row>
    <row r="180" spans="1:7" x14ac:dyDescent="0.35">
      <c r="A180" s="7" t="s">
        <v>180</v>
      </c>
      <c r="B180" t="s">
        <v>182</v>
      </c>
      <c r="C180" s="8">
        <v>-2941</v>
      </c>
      <c r="D180" s="2">
        <v>50.900001525878913</v>
      </c>
      <c r="E180" s="9">
        <f t="shared" si="4"/>
        <v>-149696.90448760989</v>
      </c>
      <c r="F180" s="1">
        <f t="shared" si="5"/>
        <v>2.1077999944444283E-3</v>
      </c>
      <c r="G180" s="8"/>
    </row>
    <row r="181" spans="1:7" x14ac:dyDescent="0.35">
      <c r="A181" s="7" t="s">
        <v>180</v>
      </c>
      <c r="B181" t="s">
        <v>183</v>
      </c>
      <c r="C181" s="8">
        <v>-1359</v>
      </c>
      <c r="D181" s="2">
        <v>17.884000778198239</v>
      </c>
      <c r="E181" s="9">
        <f t="shared" si="4"/>
        <v>-24304.357057571407</v>
      </c>
      <c r="F181" s="1">
        <f t="shared" si="5"/>
        <v>3.4221631934389476E-4</v>
      </c>
      <c r="G181" s="8"/>
    </row>
    <row r="182" spans="1:7" x14ac:dyDescent="0.35">
      <c r="A182" s="7" t="s">
        <v>184</v>
      </c>
      <c r="B182" t="s">
        <v>184</v>
      </c>
      <c r="C182" s="8">
        <v>816</v>
      </c>
      <c r="D182" s="2">
        <v>3.529999971389771</v>
      </c>
      <c r="E182" s="9">
        <f t="shared" si="4"/>
        <v>2880.4799766540532</v>
      </c>
      <c r="F182" s="1">
        <f t="shared" si="5"/>
        <v>4.0558458436869175E-5</v>
      </c>
      <c r="G182" s="8"/>
    </row>
    <row r="183" spans="1:7" x14ac:dyDescent="0.35">
      <c r="A183" s="7" t="s">
        <v>184</v>
      </c>
      <c r="B183" t="s">
        <v>185</v>
      </c>
      <c r="C183" s="8">
        <v>-223</v>
      </c>
      <c r="D183" s="2">
        <v>6.4679999351501456</v>
      </c>
      <c r="E183" s="9">
        <f t="shared" si="4"/>
        <v>-1442.3639855384824</v>
      </c>
      <c r="F183" s="1">
        <f t="shared" si="5"/>
        <v>2.0309136058030441E-5</v>
      </c>
      <c r="G183" s="8"/>
    </row>
    <row r="184" spans="1:7" x14ac:dyDescent="0.35">
      <c r="A184" s="7" t="s">
        <v>186</v>
      </c>
      <c r="B184" t="s">
        <v>186</v>
      </c>
      <c r="C184" s="8">
        <v>496</v>
      </c>
      <c r="D184" s="2">
        <v>6.119999885559082</v>
      </c>
      <c r="E184" s="9">
        <f t="shared" si="4"/>
        <v>3035.5199432373047</v>
      </c>
      <c r="F184" s="1">
        <f t="shared" si="5"/>
        <v>4.2741491157695342E-5</v>
      </c>
      <c r="G184" s="8"/>
    </row>
    <row r="185" spans="1:7" x14ac:dyDescent="0.35">
      <c r="A185" s="7" t="s">
        <v>186</v>
      </c>
      <c r="B185" t="s">
        <v>187</v>
      </c>
      <c r="C185" s="8">
        <v>-175</v>
      </c>
      <c r="D185" s="2">
        <v>8.7980003356933594</v>
      </c>
      <c r="E185" s="9">
        <f t="shared" si="4"/>
        <v>-1539.6500587463379</v>
      </c>
      <c r="F185" s="1">
        <f t="shared" si="5"/>
        <v>2.1678967887679331E-5</v>
      </c>
      <c r="G185" s="8"/>
    </row>
    <row r="186" spans="1:7" x14ac:dyDescent="0.35">
      <c r="A186" s="7" t="s">
        <v>188</v>
      </c>
      <c r="B186" t="s">
        <v>188</v>
      </c>
      <c r="C186" s="8">
        <v>229</v>
      </c>
      <c r="D186" s="2">
        <v>18.780000686645511</v>
      </c>
      <c r="E186" s="9">
        <f t="shared" si="4"/>
        <v>4300.6201572418222</v>
      </c>
      <c r="F186" s="1">
        <f t="shared" si="5"/>
        <v>6.0554673288465951E-5</v>
      </c>
      <c r="G186" s="8"/>
    </row>
    <row r="187" spans="1:7" x14ac:dyDescent="0.35">
      <c r="A187" s="7" t="s">
        <v>188</v>
      </c>
      <c r="B187" t="s">
        <v>189</v>
      </c>
      <c r="C187" s="8">
        <v>-2403</v>
      </c>
      <c r="D187" s="2">
        <v>7.1389880180358887</v>
      </c>
      <c r="E187" s="9">
        <f t="shared" si="4"/>
        <v>-17154.98820734024</v>
      </c>
      <c r="F187" s="1">
        <f t="shared" si="5"/>
        <v>2.4154997841734812E-4</v>
      </c>
      <c r="G187" s="8"/>
    </row>
    <row r="188" spans="1:7" x14ac:dyDescent="0.35">
      <c r="A188" s="7" t="s">
        <v>190</v>
      </c>
      <c r="B188" t="s">
        <v>190</v>
      </c>
      <c r="C188" s="8">
        <v>237</v>
      </c>
      <c r="D188" s="2">
        <v>17.219999313354489</v>
      </c>
      <c r="E188" s="9">
        <f t="shared" si="4"/>
        <v>4081.1398372650137</v>
      </c>
      <c r="F188" s="1">
        <f t="shared" si="5"/>
        <v>5.746429130086735E-5</v>
      </c>
      <c r="G188" s="8"/>
    </row>
    <row r="189" spans="1:7" x14ac:dyDescent="0.35">
      <c r="A189" s="7" t="s">
        <v>190</v>
      </c>
      <c r="B189" t="s">
        <v>191</v>
      </c>
      <c r="C189" s="8">
        <v>-86</v>
      </c>
      <c r="D189" s="2">
        <v>22.940000534057621</v>
      </c>
      <c r="E189" s="9">
        <f t="shared" si="4"/>
        <v>-1972.8400459289553</v>
      </c>
      <c r="F189" s="1">
        <f t="shared" si="5"/>
        <v>2.7778478466753973E-5</v>
      </c>
      <c r="G189" s="8"/>
    </row>
    <row r="190" spans="1:7" x14ac:dyDescent="0.35">
      <c r="A190" s="7" t="s">
        <v>192</v>
      </c>
      <c r="B190" t="s">
        <v>192</v>
      </c>
      <c r="C190" s="8">
        <v>7121</v>
      </c>
      <c r="D190" s="2">
        <v>65.160003662109375</v>
      </c>
      <c r="E190" s="9">
        <f t="shared" si="4"/>
        <v>464004.38607788086</v>
      </c>
      <c r="F190" s="1">
        <f t="shared" si="5"/>
        <v>6.5333912263903695E-3</v>
      </c>
      <c r="G190" s="8"/>
    </row>
    <row r="191" spans="1:7" x14ac:dyDescent="0.35">
      <c r="A191" s="7" t="s">
        <v>192</v>
      </c>
      <c r="B191" t="s">
        <v>193</v>
      </c>
      <c r="C191" s="8">
        <v>-4196</v>
      </c>
      <c r="D191" s="2">
        <v>6.2610001564025879</v>
      </c>
      <c r="E191" s="9">
        <f t="shared" si="4"/>
        <v>-26271.156656265259</v>
      </c>
      <c r="F191" s="1">
        <f t="shared" si="5"/>
        <v>3.6990974558667538E-4</v>
      </c>
      <c r="G191" s="8"/>
    </row>
    <row r="192" spans="1:7" x14ac:dyDescent="0.35">
      <c r="A192" s="7" t="s">
        <v>192</v>
      </c>
      <c r="B192" t="s">
        <v>194</v>
      </c>
      <c r="C192" s="8">
        <v>-4710</v>
      </c>
      <c r="D192" s="2">
        <v>15.218000411987299</v>
      </c>
      <c r="E192" s="9">
        <f t="shared" si="4"/>
        <v>-71676.781940460176</v>
      </c>
      <c r="F192" s="1">
        <f t="shared" si="5"/>
        <v>1.0092414475304067E-3</v>
      </c>
      <c r="G192" s="8"/>
    </row>
    <row r="193" spans="1:7" x14ac:dyDescent="0.35">
      <c r="A193" s="7" t="s">
        <v>192</v>
      </c>
      <c r="B193" t="s">
        <v>195</v>
      </c>
      <c r="C193" s="8">
        <v>-8507</v>
      </c>
      <c r="D193" s="2">
        <v>15.260000228881839</v>
      </c>
      <c r="E193" s="9">
        <f t="shared" si="4"/>
        <v>-129816.82194709781</v>
      </c>
      <c r="F193" s="1">
        <f t="shared" si="5"/>
        <v>1.8278794575978272E-3</v>
      </c>
      <c r="G193" s="8"/>
    </row>
    <row r="194" spans="1:7" x14ac:dyDescent="0.35">
      <c r="A194" s="7" t="s">
        <v>196</v>
      </c>
      <c r="B194" t="s">
        <v>196</v>
      </c>
      <c r="C194" s="8">
        <v>549</v>
      </c>
      <c r="D194" s="2">
        <v>42.720001220703118</v>
      </c>
      <c r="E194" s="9">
        <f t="shared" si="4"/>
        <v>23453.280670166012</v>
      </c>
      <c r="F194" s="1">
        <f t="shared" si="5"/>
        <v>3.302327795988003E-4</v>
      </c>
      <c r="G194" s="8"/>
    </row>
    <row r="195" spans="1:7" x14ac:dyDescent="0.35">
      <c r="A195" s="7" t="s">
        <v>196</v>
      </c>
      <c r="B195" t="s">
        <v>197</v>
      </c>
      <c r="C195" s="8">
        <v>-1898</v>
      </c>
      <c r="D195" s="2">
        <v>5.5029997825622559</v>
      </c>
      <c r="E195" s="9">
        <f t="shared" ref="E195:E258" si="6">C195*D195</f>
        <v>-10444.693587303162</v>
      </c>
      <c r="F195" s="1">
        <f t="shared" ref="F195:F258" si="7">IF($E$459=0,"",ABS(E195)/$E$459)</f>
        <v>1.4706600086786381E-4</v>
      </c>
      <c r="G195" s="8"/>
    </row>
    <row r="196" spans="1:7" x14ac:dyDescent="0.35">
      <c r="A196" s="7" t="s">
        <v>198</v>
      </c>
      <c r="B196" t="s">
        <v>198</v>
      </c>
      <c r="C196" s="8">
        <v>38736</v>
      </c>
      <c r="D196" s="2">
        <v>37.680000305175781</v>
      </c>
      <c r="E196" s="9">
        <f t="shared" si="6"/>
        <v>1459572.4918212891</v>
      </c>
      <c r="F196" s="1">
        <f t="shared" si="7"/>
        <v>2.0551439595110587E-2</v>
      </c>
      <c r="G196" s="8"/>
    </row>
    <row r="197" spans="1:7" x14ac:dyDescent="0.35">
      <c r="A197" s="7" t="s">
        <v>198</v>
      </c>
      <c r="B197" t="s">
        <v>199</v>
      </c>
      <c r="C197" s="8">
        <v>-18410</v>
      </c>
      <c r="D197" s="2">
        <v>11.187491416931151</v>
      </c>
      <c r="E197" s="9">
        <f t="shared" si="6"/>
        <v>-205961.71698570249</v>
      </c>
      <c r="F197" s="1">
        <f t="shared" si="7"/>
        <v>2.9000339546377215E-3</v>
      </c>
      <c r="G197" s="8"/>
    </row>
    <row r="198" spans="1:7" x14ac:dyDescent="0.35">
      <c r="A198" s="7" t="s">
        <v>198</v>
      </c>
      <c r="B198" t="s">
        <v>200</v>
      </c>
      <c r="C198" s="8">
        <v>-29903</v>
      </c>
      <c r="D198" s="2">
        <v>14.17807579040527</v>
      </c>
      <c r="E198" s="9">
        <f t="shared" si="6"/>
        <v>-423967.00036048878</v>
      </c>
      <c r="F198" s="1">
        <f t="shared" si="7"/>
        <v>5.9696467609884592E-3</v>
      </c>
      <c r="G198" s="8"/>
    </row>
    <row r="199" spans="1:7" x14ac:dyDescent="0.35">
      <c r="A199" s="7" t="s">
        <v>198</v>
      </c>
      <c r="B199" t="s">
        <v>201</v>
      </c>
      <c r="C199" s="8">
        <v>-3470</v>
      </c>
      <c r="D199" s="2">
        <v>14.696999549865721</v>
      </c>
      <c r="E199" s="9">
        <f t="shared" si="6"/>
        <v>-50998.58843803405</v>
      </c>
      <c r="F199" s="1">
        <f t="shared" si="7"/>
        <v>7.1808314804037239E-4</v>
      </c>
      <c r="G199" s="8"/>
    </row>
    <row r="200" spans="1:7" x14ac:dyDescent="0.35">
      <c r="A200" s="7" t="s">
        <v>198</v>
      </c>
      <c r="B200" t="s">
        <v>202</v>
      </c>
      <c r="C200" s="8">
        <v>-30093</v>
      </c>
      <c r="D200" s="2">
        <v>6.5653963088989258</v>
      </c>
      <c r="E200" s="9">
        <f t="shared" si="6"/>
        <v>-197572.47112369537</v>
      </c>
      <c r="F200" s="1">
        <f t="shared" si="7"/>
        <v>2.7819095856545599E-3</v>
      </c>
      <c r="G200" s="8"/>
    </row>
    <row r="201" spans="1:7" x14ac:dyDescent="0.35">
      <c r="A201" s="7" t="s">
        <v>203</v>
      </c>
      <c r="B201" t="s">
        <v>203</v>
      </c>
      <c r="C201" s="8">
        <v>11265</v>
      </c>
      <c r="D201" s="2">
        <v>41.189998626708977</v>
      </c>
      <c r="E201" s="9">
        <f t="shared" si="6"/>
        <v>464005.33452987665</v>
      </c>
      <c r="F201" s="1">
        <f t="shared" si="7"/>
        <v>6.5334045810226402E-3</v>
      </c>
      <c r="G201" s="8"/>
    </row>
    <row r="202" spans="1:7" x14ac:dyDescent="0.35">
      <c r="A202" s="7" t="s">
        <v>203</v>
      </c>
      <c r="B202" t="s">
        <v>204</v>
      </c>
      <c r="C202" s="8">
        <v>-2920</v>
      </c>
      <c r="D202" s="2">
        <v>45.340000152587891</v>
      </c>
      <c r="E202" s="9">
        <f t="shared" si="6"/>
        <v>-132392.80044555664</v>
      </c>
      <c r="F202" s="1">
        <f t="shared" si="7"/>
        <v>1.8641503977573806E-3</v>
      </c>
      <c r="G202" s="8"/>
    </row>
    <row r="203" spans="1:7" x14ac:dyDescent="0.35">
      <c r="A203" s="7" t="s">
        <v>203</v>
      </c>
      <c r="B203" t="s">
        <v>205</v>
      </c>
      <c r="C203" s="8">
        <v>-3129</v>
      </c>
      <c r="D203" s="2">
        <v>28.561000823974609</v>
      </c>
      <c r="E203" s="9">
        <f t="shared" si="6"/>
        <v>-89367.371578216553</v>
      </c>
      <c r="F203" s="1">
        <f t="shared" si="7"/>
        <v>1.2583329358802399E-3</v>
      </c>
      <c r="G203" s="8"/>
    </row>
    <row r="204" spans="1:7" x14ac:dyDescent="0.35">
      <c r="A204" s="7" t="s">
        <v>206</v>
      </c>
      <c r="B204" t="s">
        <v>206</v>
      </c>
      <c r="C204" s="8">
        <v>10139</v>
      </c>
      <c r="D204" s="2">
        <v>26.590000152587891</v>
      </c>
      <c r="E204" s="9">
        <f t="shared" si="6"/>
        <v>269596.01154708862</v>
      </c>
      <c r="F204" s="1">
        <f t="shared" si="7"/>
        <v>3.7960335491655185E-3</v>
      </c>
      <c r="G204" s="8"/>
    </row>
    <row r="205" spans="1:7" x14ac:dyDescent="0.35">
      <c r="A205" s="7" t="s">
        <v>206</v>
      </c>
      <c r="B205" t="s">
        <v>207</v>
      </c>
      <c r="C205" s="8">
        <v>-11929</v>
      </c>
      <c r="D205" s="2">
        <v>9.2700004577636719</v>
      </c>
      <c r="E205" s="9">
        <f t="shared" si="6"/>
        <v>-110581.83546066284</v>
      </c>
      <c r="F205" s="1">
        <f t="shared" si="7"/>
        <v>1.5570421644151751E-3</v>
      </c>
      <c r="G205" s="8"/>
    </row>
    <row r="206" spans="1:7" x14ac:dyDescent="0.35">
      <c r="A206" s="7" t="s">
        <v>206</v>
      </c>
      <c r="B206" t="s">
        <v>208</v>
      </c>
      <c r="C206" s="8">
        <v>-16164</v>
      </c>
      <c r="D206" s="2">
        <v>8.5664443969726563</v>
      </c>
      <c r="E206" s="9">
        <f t="shared" si="6"/>
        <v>-138468.00723266602</v>
      </c>
      <c r="F206" s="1">
        <f t="shared" si="7"/>
        <v>1.9496920519148169E-3</v>
      </c>
      <c r="G206" s="8"/>
    </row>
    <row r="207" spans="1:7" x14ac:dyDescent="0.35">
      <c r="A207" s="7" t="s">
        <v>209</v>
      </c>
      <c r="B207" t="s">
        <v>209</v>
      </c>
      <c r="C207" s="8">
        <v>5287</v>
      </c>
      <c r="D207" s="2">
        <v>31.620000839233398</v>
      </c>
      <c r="E207" s="9">
        <f t="shared" si="6"/>
        <v>167174.94443702698</v>
      </c>
      <c r="F207" s="1">
        <f t="shared" si="7"/>
        <v>2.3538986872288876E-3</v>
      </c>
      <c r="G207" s="8"/>
    </row>
    <row r="208" spans="1:7" x14ac:dyDescent="0.35">
      <c r="A208" s="7" t="s">
        <v>209</v>
      </c>
      <c r="B208" t="s">
        <v>210</v>
      </c>
      <c r="C208" s="8">
        <v>-3086</v>
      </c>
      <c r="D208" s="2">
        <v>8.2539997100830078</v>
      </c>
      <c r="E208" s="9">
        <f t="shared" si="6"/>
        <v>-25471.843105316162</v>
      </c>
      <c r="F208" s="1">
        <f t="shared" si="7"/>
        <v>3.5865504994673109E-4</v>
      </c>
      <c r="G208" s="8"/>
    </row>
    <row r="209" spans="1:7" x14ac:dyDescent="0.35">
      <c r="A209" s="7" t="s">
        <v>209</v>
      </c>
      <c r="B209" t="s">
        <v>211</v>
      </c>
      <c r="C209" s="8">
        <v>-8288</v>
      </c>
      <c r="D209" s="2">
        <v>14.939999580383301</v>
      </c>
      <c r="E209" s="9">
        <f t="shared" si="6"/>
        <v>-123822.7165222168</v>
      </c>
      <c r="F209" s="1">
        <f t="shared" si="7"/>
        <v>1.7434797472330131E-3</v>
      </c>
      <c r="G209" s="8"/>
    </row>
    <row r="210" spans="1:7" x14ac:dyDescent="0.35">
      <c r="A210" s="7" t="s">
        <v>209</v>
      </c>
      <c r="B210" t="s">
        <v>212</v>
      </c>
      <c r="C210" s="8">
        <v>-3058</v>
      </c>
      <c r="D210" s="2">
        <v>35.970001220703118</v>
      </c>
      <c r="E210" s="9">
        <f t="shared" si="6"/>
        <v>-109996.26373291014</v>
      </c>
      <c r="F210" s="1">
        <f t="shared" si="7"/>
        <v>1.5487970501375707E-3</v>
      </c>
      <c r="G210" s="8"/>
    </row>
    <row r="211" spans="1:7" x14ac:dyDescent="0.35">
      <c r="A211" s="7" t="s">
        <v>213</v>
      </c>
      <c r="B211" t="s">
        <v>213</v>
      </c>
      <c r="C211" s="8">
        <v>75</v>
      </c>
      <c r="D211" s="2">
        <v>452.77999877929688</v>
      </c>
      <c r="E211" s="9">
        <f t="shared" si="6"/>
        <v>33958.499908447266</v>
      </c>
      <c r="F211" s="1">
        <f t="shared" si="7"/>
        <v>4.7815100895617121E-4</v>
      </c>
      <c r="G211" s="8"/>
    </row>
    <row r="212" spans="1:7" x14ac:dyDescent="0.35">
      <c r="A212" s="7" t="s">
        <v>213</v>
      </c>
      <c r="B212" t="s">
        <v>214</v>
      </c>
      <c r="C212" s="8">
        <v>-732</v>
      </c>
      <c r="D212" s="2">
        <v>23.1879997253418</v>
      </c>
      <c r="E212" s="9">
        <f t="shared" si="6"/>
        <v>-16973.615798950199</v>
      </c>
      <c r="F212" s="1">
        <f t="shared" si="7"/>
        <v>2.389961730283493E-4</v>
      </c>
      <c r="G212" s="8"/>
    </row>
    <row r="213" spans="1:7" x14ac:dyDescent="0.35">
      <c r="A213" s="7" t="s">
        <v>215</v>
      </c>
      <c r="B213" t="s">
        <v>215</v>
      </c>
      <c r="C213" s="8">
        <v>18277</v>
      </c>
      <c r="D213" s="2">
        <v>7.940000057220459</v>
      </c>
      <c r="E213" s="9">
        <f t="shared" si="6"/>
        <v>145119.38104581833</v>
      </c>
      <c r="F213" s="1">
        <f t="shared" si="7"/>
        <v>2.0433463979041199E-3</v>
      </c>
      <c r="G213" s="8"/>
    </row>
    <row r="214" spans="1:7" x14ac:dyDescent="0.35">
      <c r="A214" s="7" t="s">
        <v>215</v>
      </c>
      <c r="B214" t="s">
        <v>216</v>
      </c>
      <c r="C214" s="8">
        <v>-4227</v>
      </c>
      <c r="D214" s="2">
        <v>16.969999313354489</v>
      </c>
      <c r="E214" s="9">
        <f t="shared" si="6"/>
        <v>-71732.187097549424</v>
      </c>
      <c r="F214" s="1">
        <f t="shared" si="7"/>
        <v>1.0100215771543602E-3</v>
      </c>
      <c r="G214" s="8"/>
    </row>
    <row r="215" spans="1:7" x14ac:dyDescent="0.35">
      <c r="A215" s="7" t="s">
        <v>217</v>
      </c>
      <c r="B215" t="s">
        <v>217</v>
      </c>
      <c r="C215" s="8">
        <v>29</v>
      </c>
      <c r="D215" s="2">
        <v>1382.579956054688</v>
      </c>
      <c r="E215" s="9">
        <f t="shared" si="6"/>
        <v>40094.818725585952</v>
      </c>
      <c r="F215" s="1">
        <f t="shared" si="7"/>
        <v>5.6455314808487105E-4</v>
      </c>
      <c r="G215" s="8"/>
    </row>
    <row r="216" spans="1:7" x14ac:dyDescent="0.35">
      <c r="A216" s="7" t="s">
        <v>217</v>
      </c>
      <c r="B216" t="s">
        <v>218</v>
      </c>
      <c r="C216" s="8">
        <v>-1045</v>
      </c>
      <c r="D216" s="2">
        <v>18.392999649047852</v>
      </c>
      <c r="E216" s="9">
        <f t="shared" si="6"/>
        <v>-19220.684633255005</v>
      </c>
      <c r="F216" s="1">
        <f t="shared" si="7"/>
        <v>2.7063591663344127E-4</v>
      </c>
      <c r="G216" s="8"/>
    </row>
    <row r="217" spans="1:7" x14ac:dyDescent="0.35">
      <c r="A217" s="7" t="s">
        <v>219</v>
      </c>
      <c r="B217" t="s">
        <v>219</v>
      </c>
      <c r="C217" s="8">
        <v>680</v>
      </c>
      <c r="D217" s="2">
        <v>65.279998779296875</v>
      </c>
      <c r="E217" s="9">
        <f t="shared" si="6"/>
        <v>44390.399169921875</v>
      </c>
      <c r="F217" s="1">
        <f t="shared" si="7"/>
        <v>6.2503685994049103E-4</v>
      </c>
      <c r="G217" s="8"/>
    </row>
    <row r="218" spans="1:7" x14ac:dyDescent="0.35">
      <c r="A218" s="7" t="s">
        <v>219</v>
      </c>
      <c r="B218" t="s">
        <v>220</v>
      </c>
      <c r="C218" s="8">
        <v>-1467</v>
      </c>
      <c r="D218" s="2">
        <v>13.340000152587891</v>
      </c>
      <c r="E218" s="9">
        <f t="shared" si="6"/>
        <v>-19569.780223846436</v>
      </c>
      <c r="F218" s="1">
        <f t="shared" si="7"/>
        <v>2.7555134014488797E-4</v>
      </c>
      <c r="G218" s="8"/>
    </row>
    <row r="219" spans="1:7" x14ac:dyDescent="0.35">
      <c r="A219" s="7" t="s">
        <v>221</v>
      </c>
      <c r="B219" t="s">
        <v>221</v>
      </c>
      <c r="C219" s="8">
        <v>8275</v>
      </c>
      <c r="D219" s="2">
        <v>27.780000686645511</v>
      </c>
      <c r="E219" s="9">
        <f t="shared" si="6"/>
        <v>229879.50568199161</v>
      </c>
      <c r="F219" s="1">
        <f t="shared" si="7"/>
        <v>3.2368072169421127E-3</v>
      </c>
      <c r="G219" s="8"/>
    </row>
    <row r="220" spans="1:7" x14ac:dyDescent="0.35">
      <c r="A220" s="7" t="s">
        <v>221</v>
      </c>
      <c r="B220" t="s">
        <v>222</v>
      </c>
      <c r="C220" s="8">
        <v>-4518</v>
      </c>
      <c r="D220" s="2">
        <v>25.45000076293945</v>
      </c>
      <c r="E220" s="9">
        <f t="shared" si="6"/>
        <v>-114983.10344696043</v>
      </c>
      <c r="F220" s="1">
        <f t="shared" si="7"/>
        <v>1.6190140045732615E-3</v>
      </c>
      <c r="G220" s="8"/>
    </row>
    <row r="221" spans="1:7" x14ac:dyDescent="0.35">
      <c r="A221" s="7" t="s">
        <v>223</v>
      </c>
      <c r="B221" t="s">
        <v>223</v>
      </c>
      <c r="C221" s="8">
        <v>14298</v>
      </c>
      <c r="D221" s="2">
        <v>3.7899999618530269</v>
      </c>
      <c r="E221" s="9">
        <f t="shared" si="6"/>
        <v>54189.419454574578</v>
      </c>
      <c r="F221" s="1">
        <f t="shared" si="7"/>
        <v>7.6301148922389964E-4</v>
      </c>
      <c r="G221" s="8"/>
    </row>
    <row r="222" spans="1:7" x14ac:dyDescent="0.35">
      <c r="A222" s="7" t="s">
        <v>223</v>
      </c>
      <c r="B222" t="s">
        <v>224</v>
      </c>
      <c r="C222" s="8">
        <v>-3977</v>
      </c>
      <c r="D222" s="2">
        <v>6.6579999923706046</v>
      </c>
      <c r="E222" s="9">
        <f t="shared" si="6"/>
        <v>-26478.865969657894</v>
      </c>
      <c r="F222" s="1">
        <f t="shared" si="7"/>
        <v>3.7283438648765866E-4</v>
      </c>
      <c r="G222" s="8"/>
    </row>
    <row r="223" spans="1:7" x14ac:dyDescent="0.35">
      <c r="A223" s="7" t="s">
        <v>225</v>
      </c>
      <c r="B223" t="s">
        <v>225</v>
      </c>
      <c r="C223" s="8">
        <v>3260</v>
      </c>
      <c r="D223" s="2">
        <v>9.1499996185302734</v>
      </c>
      <c r="E223" s="9">
        <f t="shared" si="6"/>
        <v>29828.998756408691</v>
      </c>
      <c r="F223" s="1">
        <f t="shared" si="7"/>
        <v>4.2000576851103166E-4</v>
      </c>
      <c r="G223" s="8"/>
    </row>
    <row r="224" spans="1:7" x14ac:dyDescent="0.35">
      <c r="A224" s="7" t="s">
        <v>225</v>
      </c>
      <c r="B224" t="s">
        <v>226</v>
      </c>
      <c r="C224" s="8">
        <v>-7117</v>
      </c>
      <c r="D224" s="2">
        <v>2.089999914169312</v>
      </c>
      <c r="E224" s="9">
        <f t="shared" si="6"/>
        <v>-14874.529389142994</v>
      </c>
      <c r="F224" s="1">
        <f t="shared" si="7"/>
        <v>2.0944008876545657E-4</v>
      </c>
      <c r="G224" s="8"/>
    </row>
    <row r="225" spans="1:7" x14ac:dyDescent="0.35">
      <c r="A225" s="7" t="s">
        <v>227</v>
      </c>
      <c r="B225" t="s">
        <v>227</v>
      </c>
      <c r="C225" s="8">
        <v>97</v>
      </c>
      <c r="D225" s="2">
        <v>168.52000427246091</v>
      </c>
      <c r="E225" s="9">
        <f t="shared" si="6"/>
        <v>16346.440414428707</v>
      </c>
      <c r="F225" s="1">
        <f t="shared" si="7"/>
        <v>2.3016526048186107E-4</v>
      </c>
      <c r="G225" s="8"/>
    </row>
    <row r="226" spans="1:7" x14ac:dyDescent="0.35">
      <c r="A226" s="7" t="s">
        <v>227</v>
      </c>
      <c r="B226" t="s">
        <v>228</v>
      </c>
      <c r="C226" s="8">
        <v>-462</v>
      </c>
      <c r="D226" s="2">
        <v>15.69999980926514</v>
      </c>
      <c r="E226" s="9">
        <f t="shared" si="6"/>
        <v>-7253.399911880495</v>
      </c>
      <c r="F226" s="1">
        <f t="shared" si="7"/>
        <v>1.02131145238413E-4</v>
      </c>
      <c r="G226" s="8"/>
    </row>
    <row r="227" spans="1:7" x14ac:dyDescent="0.35">
      <c r="A227" s="7" t="s">
        <v>229</v>
      </c>
      <c r="B227" t="s">
        <v>229</v>
      </c>
      <c r="C227" s="8">
        <v>101</v>
      </c>
      <c r="D227" s="2">
        <v>654.78997802734375</v>
      </c>
      <c r="E227" s="9">
        <f t="shared" si="6"/>
        <v>66133.787780761719</v>
      </c>
      <c r="F227" s="1">
        <f t="shared" si="7"/>
        <v>9.3119358742929875E-4</v>
      </c>
      <c r="G227" s="8"/>
    </row>
    <row r="228" spans="1:7" x14ac:dyDescent="0.35">
      <c r="A228" s="7" t="s">
        <v>229</v>
      </c>
      <c r="B228" t="s">
        <v>230</v>
      </c>
      <c r="C228" s="8">
        <v>-1213</v>
      </c>
      <c r="D228" s="2">
        <v>25.659999847412109</v>
      </c>
      <c r="E228" s="9">
        <f t="shared" si="6"/>
        <v>-31125.579814910889</v>
      </c>
      <c r="F228" s="1">
        <f t="shared" si="7"/>
        <v>4.3826221514406063E-4</v>
      </c>
      <c r="G228" s="8"/>
    </row>
    <row r="229" spans="1:7" x14ac:dyDescent="0.35">
      <c r="A229" s="7" t="s">
        <v>231</v>
      </c>
      <c r="B229" t="s">
        <v>231</v>
      </c>
      <c r="C229" s="8">
        <v>61</v>
      </c>
      <c r="D229" s="2">
        <v>886.6300048828125</v>
      </c>
      <c r="E229" s="9">
        <f t="shared" si="6"/>
        <v>54084.430297851563</v>
      </c>
      <c r="F229" s="1">
        <f t="shared" si="7"/>
        <v>7.6153319450087277E-4</v>
      </c>
      <c r="G229" s="8"/>
    </row>
    <row r="230" spans="1:7" x14ac:dyDescent="0.35">
      <c r="A230" s="7" t="s">
        <v>231</v>
      </c>
      <c r="B230" t="s">
        <v>232</v>
      </c>
      <c r="C230" s="8">
        <v>-1509</v>
      </c>
      <c r="D230" s="2">
        <v>18.020999908447269</v>
      </c>
      <c r="E230" s="9">
        <f t="shared" si="6"/>
        <v>-27193.688861846927</v>
      </c>
      <c r="F230" s="1">
        <f t="shared" si="7"/>
        <v>3.8289941550974843E-4</v>
      </c>
      <c r="G230" s="8"/>
    </row>
    <row r="231" spans="1:7" x14ac:dyDescent="0.35">
      <c r="A231" s="7" t="s">
        <v>233</v>
      </c>
      <c r="B231" t="s">
        <v>233</v>
      </c>
      <c r="C231" s="8">
        <v>64</v>
      </c>
      <c r="D231" s="2">
        <v>598.57000732421875</v>
      </c>
      <c r="E231" s="9">
        <f t="shared" si="6"/>
        <v>38308.48046875</v>
      </c>
      <c r="F231" s="1">
        <f t="shared" si="7"/>
        <v>5.3940069900302429E-4</v>
      </c>
      <c r="G231" s="8"/>
    </row>
    <row r="232" spans="1:7" x14ac:dyDescent="0.35">
      <c r="A232" s="7" t="s">
        <v>233</v>
      </c>
      <c r="B232" t="s">
        <v>234</v>
      </c>
      <c r="C232" s="8">
        <v>-421</v>
      </c>
      <c r="D232" s="2">
        <v>43.818000793457031</v>
      </c>
      <c r="E232" s="9">
        <f t="shared" si="6"/>
        <v>-18447.37833404541</v>
      </c>
      <c r="F232" s="1">
        <f t="shared" si="7"/>
        <v>2.5974741483871818E-4</v>
      </c>
      <c r="G232" s="8"/>
    </row>
    <row r="233" spans="1:7" x14ac:dyDescent="0.35">
      <c r="A233" s="7" t="s">
        <v>235</v>
      </c>
      <c r="B233" t="s">
        <v>235</v>
      </c>
      <c r="C233" s="8">
        <v>599</v>
      </c>
      <c r="D233" s="2">
        <v>199.92999267578119</v>
      </c>
      <c r="E233" s="9">
        <f t="shared" si="6"/>
        <v>119758.06561279294</v>
      </c>
      <c r="F233" s="1">
        <f t="shared" si="7"/>
        <v>1.6862476274799205E-3</v>
      </c>
      <c r="G233" s="8"/>
    </row>
    <row r="234" spans="1:7" x14ac:dyDescent="0.35">
      <c r="A234" s="7" t="s">
        <v>235</v>
      </c>
      <c r="B234" t="s">
        <v>236</v>
      </c>
      <c r="C234" s="8">
        <v>-2024</v>
      </c>
      <c r="D234" s="2">
        <v>27.35000038146973</v>
      </c>
      <c r="E234" s="9">
        <f t="shared" si="6"/>
        <v>-55356.400772094734</v>
      </c>
      <c r="F234" s="1">
        <f t="shared" si="7"/>
        <v>7.7944311299731799E-4</v>
      </c>
      <c r="G234" s="8"/>
    </row>
    <row r="235" spans="1:7" x14ac:dyDescent="0.35">
      <c r="A235" s="7" t="s">
        <v>237</v>
      </c>
      <c r="B235" t="s">
        <v>237</v>
      </c>
      <c r="C235" s="8">
        <v>338</v>
      </c>
      <c r="D235" s="2">
        <v>145.83000183105469</v>
      </c>
      <c r="E235" s="9">
        <f t="shared" si="6"/>
        <v>49290.540618896484</v>
      </c>
      <c r="F235" s="1">
        <f t="shared" si="7"/>
        <v>6.9403306366480025E-4</v>
      </c>
      <c r="G235" s="8"/>
    </row>
    <row r="236" spans="1:7" x14ac:dyDescent="0.35">
      <c r="A236" s="7" t="s">
        <v>237</v>
      </c>
      <c r="B236" t="s">
        <v>238</v>
      </c>
      <c r="C236" s="8">
        <v>-2235</v>
      </c>
      <c r="D236" s="2">
        <v>11.0939998626709</v>
      </c>
      <c r="E236" s="9">
        <f t="shared" si="6"/>
        <v>-24795.089693069462</v>
      </c>
      <c r="F236" s="1">
        <f t="shared" si="7"/>
        <v>3.4912605638833785E-4</v>
      </c>
      <c r="G236" s="8"/>
    </row>
    <row r="237" spans="1:7" x14ac:dyDescent="0.35">
      <c r="A237" s="7" t="s">
        <v>239</v>
      </c>
      <c r="B237" t="s">
        <v>239</v>
      </c>
      <c r="C237" s="8">
        <v>5229</v>
      </c>
      <c r="D237" s="2">
        <v>16.35000038146973</v>
      </c>
      <c r="E237" s="9">
        <f t="shared" si="6"/>
        <v>85494.151994705215</v>
      </c>
      <c r="F237" s="1">
        <f t="shared" si="7"/>
        <v>1.2037962556158664E-3</v>
      </c>
      <c r="G237" s="8"/>
    </row>
    <row r="238" spans="1:7" x14ac:dyDescent="0.35">
      <c r="A238" s="7" t="s">
        <v>239</v>
      </c>
      <c r="B238" t="s">
        <v>240</v>
      </c>
      <c r="C238" s="8">
        <v>-4296</v>
      </c>
      <c r="D238" s="2">
        <v>9.1999998092651367</v>
      </c>
      <c r="E238" s="9">
        <f t="shared" si="6"/>
        <v>-39523.199180603027</v>
      </c>
      <c r="F238" s="1">
        <f t="shared" si="7"/>
        <v>5.5650448683924685E-4</v>
      </c>
      <c r="G238" s="8"/>
    </row>
    <row r="239" spans="1:7" x14ac:dyDescent="0.35">
      <c r="A239" s="7" t="s">
        <v>241</v>
      </c>
      <c r="B239" t="s">
        <v>241</v>
      </c>
      <c r="C239" s="8">
        <v>29407</v>
      </c>
      <c r="D239" s="2">
        <v>7.8000001907348633</v>
      </c>
      <c r="E239" s="9">
        <f t="shared" si="6"/>
        <v>229374.60560894012</v>
      </c>
      <c r="F239" s="1">
        <f t="shared" si="7"/>
        <v>3.2296979959811609E-3</v>
      </c>
      <c r="G239" s="8"/>
    </row>
    <row r="240" spans="1:7" x14ac:dyDescent="0.35">
      <c r="A240" s="7" t="s">
        <v>241</v>
      </c>
      <c r="B240" t="s">
        <v>242</v>
      </c>
      <c r="C240" s="8">
        <v>-7021</v>
      </c>
      <c r="D240" s="2">
        <v>7.117030143737793</v>
      </c>
      <c r="E240" s="9">
        <f t="shared" si="6"/>
        <v>-49968.668639183044</v>
      </c>
      <c r="F240" s="1">
        <f t="shared" si="7"/>
        <v>7.035814123249486E-4</v>
      </c>
      <c r="G240" s="8"/>
    </row>
    <row r="241" spans="1:7" x14ac:dyDescent="0.35">
      <c r="A241" s="7" t="s">
        <v>241</v>
      </c>
      <c r="B241" t="s">
        <v>243</v>
      </c>
      <c r="C241" s="8">
        <v>-39779</v>
      </c>
      <c r="D241" s="2">
        <v>2.630000114440918</v>
      </c>
      <c r="E241" s="9">
        <f t="shared" si="6"/>
        <v>-104618.77455234528</v>
      </c>
      <c r="F241" s="1">
        <f t="shared" si="7"/>
        <v>1.4730795748583291E-3</v>
      </c>
      <c r="G241" s="8"/>
    </row>
    <row r="242" spans="1:7" x14ac:dyDescent="0.35">
      <c r="A242" s="7" t="s">
        <v>244</v>
      </c>
      <c r="B242" t="s">
        <v>244</v>
      </c>
      <c r="C242" s="8">
        <v>2845</v>
      </c>
      <c r="D242" s="2">
        <v>536.3800048828125</v>
      </c>
      <c r="E242" s="9">
        <f t="shared" si="6"/>
        <v>1526001.1138916016</v>
      </c>
      <c r="F242" s="1">
        <f t="shared" si="7"/>
        <v>2.1486784582436927E-2</v>
      </c>
      <c r="G242" s="8"/>
    </row>
    <row r="243" spans="1:7" x14ac:dyDescent="0.35">
      <c r="A243" s="7" t="s">
        <v>244</v>
      </c>
      <c r="B243" t="s">
        <v>245</v>
      </c>
      <c r="C243" s="8">
        <v>-33014</v>
      </c>
      <c r="D243" s="2">
        <v>20.29999923706055</v>
      </c>
      <c r="E243" s="9">
        <f t="shared" si="6"/>
        <v>-670184.17481231701</v>
      </c>
      <c r="F243" s="1">
        <f t="shared" si="7"/>
        <v>9.4364957296967002E-3</v>
      </c>
      <c r="G243" s="8"/>
    </row>
    <row r="244" spans="1:7" x14ac:dyDescent="0.35">
      <c r="A244" s="7" t="s">
        <v>244</v>
      </c>
      <c r="B244" t="s">
        <v>246</v>
      </c>
      <c r="C244" s="8">
        <v>-879</v>
      </c>
      <c r="D244" s="2">
        <v>13.075789451599119</v>
      </c>
      <c r="E244" s="9">
        <f t="shared" si="6"/>
        <v>-11493.618927955626</v>
      </c>
      <c r="F244" s="1">
        <f t="shared" si="7"/>
        <v>1.6183534319172513E-4</v>
      </c>
      <c r="G244" s="8"/>
    </row>
    <row r="245" spans="1:7" x14ac:dyDescent="0.35">
      <c r="A245" s="7" t="s">
        <v>244</v>
      </c>
      <c r="B245" t="s">
        <v>247</v>
      </c>
      <c r="C245" s="8">
        <v>-5419</v>
      </c>
      <c r="D245" s="2">
        <v>19.809999465942379</v>
      </c>
      <c r="E245" s="9">
        <f t="shared" si="6"/>
        <v>-107350.38710594176</v>
      </c>
      <c r="F245" s="1">
        <f t="shared" si="7"/>
        <v>1.5115419127737504E-3</v>
      </c>
      <c r="G245" s="8"/>
    </row>
    <row r="246" spans="1:7" x14ac:dyDescent="0.35">
      <c r="A246" s="7" t="s">
        <v>248</v>
      </c>
      <c r="B246" t="s">
        <v>248</v>
      </c>
      <c r="C246" s="8">
        <v>704</v>
      </c>
      <c r="D246" s="2">
        <v>45.590000152587891</v>
      </c>
      <c r="E246" s="9">
        <f t="shared" si="6"/>
        <v>32095.360107421875</v>
      </c>
      <c r="F246" s="1">
        <f t="shared" si="7"/>
        <v>4.5191715946080272E-4</v>
      </c>
      <c r="G246" s="8"/>
    </row>
    <row r="247" spans="1:7" x14ac:dyDescent="0.35">
      <c r="A247" s="7" t="s">
        <v>248</v>
      </c>
      <c r="B247" t="s">
        <v>249</v>
      </c>
      <c r="C247" s="8">
        <v>-3027</v>
      </c>
      <c r="D247" s="2">
        <v>4.6170001029968262</v>
      </c>
      <c r="E247" s="9">
        <f t="shared" si="6"/>
        <v>-13975.659311771393</v>
      </c>
      <c r="F247" s="1">
        <f t="shared" si="7"/>
        <v>1.9678359228962638E-4</v>
      </c>
      <c r="G247" s="8"/>
    </row>
    <row r="248" spans="1:7" x14ac:dyDescent="0.35">
      <c r="A248" s="7" t="s">
        <v>250</v>
      </c>
      <c r="B248" t="s">
        <v>250</v>
      </c>
      <c r="C248" s="8">
        <v>28</v>
      </c>
      <c r="D248" s="2">
        <v>48.229999542236328</v>
      </c>
      <c r="E248" s="9">
        <f t="shared" si="6"/>
        <v>1350.4399871826172</v>
      </c>
      <c r="F248" s="1">
        <f t="shared" si="7"/>
        <v>1.9014804662955805E-5</v>
      </c>
      <c r="G248" s="8"/>
    </row>
    <row r="249" spans="1:7" x14ac:dyDescent="0.35">
      <c r="A249" s="7" t="s">
        <v>250</v>
      </c>
      <c r="B249" t="s">
        <v>251</v>
      </c>
      <c r="C249" s="8">
        <v>-27</v>
      </c>
      <c r="D249" s="2">
        <v>23.79000091552734</v>
      </c>
      <c r="E249" s="9">
        <f t="shared" si="6"/>
        <v>-642.33002471923817</v>
      </c>
      <c r="F249" s="1">
        <f t="shared" si="7"/>
        <v>9.0442967218921995E-6</v>
      </c>
      <c r="G249" s="8"/>
    </row>
    <row r="250" spans="1:7" x14ac:dyDescent="0.35">
      <c r="A250" s="7" t="s">
        <v>252</v>
      </c>
      <c r="B250" t="s">
        <v>252</v>
      </c>
      <c r="C250" s="8">
        <v>5787</v>
      </c>
      <c r="D250" s="2">
        <v>87.766067504882813</v>
      </c>
      <c r="E250" s="9">
        <f t="shared" si="6"/>
        <v>507902.23265075684</v>
      </c>
      <c r="F250" s="1">
        <f t="shared" si="7"/>
        <v>7.1514927234062201E-3</v>
      </c>
      <c r="G250" s="8"/>
    </row>
    <row r="251" spans="1:7" x14ac:dyDescent="0.35">
      <c r="A251" s="7" t="s">
        <v>252</v>
      </c>
      <c r="B251" t="s">
        <v>253</v>
      </c>
      <c r="C251" s="8">
        <v>-2918</v>
      </c>
      <c r="D251" s="2">
        <v>26.79000091552734</v>
      </c>
      <c r="E251" s="9">
        <f t="shared" si="6"/>
        <v>-78173.222671508775</v>
      </c>
      <c r="F251" s="1">
        <f t="shared" si="7"/>
        <v>1.1007142657806076E-3</v>
      </c>
      <c r="G251" s="8"/>
    </row>
    <row r="252" spans="1:7" x14ac:dyDescent="0.35">
      <c r="A252" s="7" t="s">
        <v>252</v>
      </c>
      <c r="B252" t="s">
        <v>254</v>
      </c>
      <c r="C252" s="8">
        <v>-7544</v>
      </c>
      <c r="D252" s="2">
        <v>20.628000259399411</v>
      </c>
      <c r="E252" s="9">
        <f t="shared" si="6"/>
        <v>-155617.63395690915</v>
      </c>
      <c r="F252" s="1">
        <f t="shared" si="7"/>
        <v>2.1911665382297668E-3</v>
      </c>
      <c r="G252" s="8"/>
    </row>
    <row r="253" spans="1:7" x14ac:dyDescent="0.35">
      <c r="A253" s="7" t="s">
        <v>255</v>
      </c>
      <c r="B253" t="s">
        <v>255</v>
      </c>
      <c r="C253" s="8">
        <v>3533</v>
      </c>
      <c r="D253" s="2">
        <v>358.95999145507813</v>
      </c>
      <c r="E253" s="9">
        <f t="shared" si="6"/>
        <v>1268205.649810791</v>
      </c>
      <c r="F253" s="1">
        <f t="shared" si="7"/>
        <v>1.7856908068842714E-2</v>
      </c>
      <c r="G253" s="8"/>
    </row>
    <row r="254" spans="1:7" x14ac:dyDescent="0.35">
      <c r="A254" s="7" t="s">
        <v>255</v>
      </c>
      <c r="B254" t="s">
        <v>256</v>
      </c>
      <c r="C254" s="8">
        <v>-6851</v>
      </c>
      <c r="D254" s="2">
        <v>14.329999923706049</v>
      </c>
      <c r="E254" s="9">
        <f t="shared" si="6"/>
        <v>-98174.829477310137</v>
      </c>
      <c r="F254" s="1">
        <f t="shared" si="7"/>
        <v>1.3823459191434678E-3</v>
      </c>
      <c r="G254" s="8"/>
    </row>
    <row r="255" spans="1:7" x14ac:dyDescent="0.35">
      <c r="A255" s="7" t="s">
        <v>255</v>
      </c>
      <c r="B255" t="s">
        <v>257</v>
      </c>
      <c r="C255" s="8">
        <v>-18627</v>
      </c>
      <c r="D255" s="2">
        <v>21.659999847412109</v>
      </c>
      <c r="E255" s="9">
        <f t="shared" si="6"/>
        <v>-403460.81715774536</v>
      </c>
      <c r="F255" s="1">
        <f t="shared" si="7"/>
        <v>5.6809104441703888E-3</v>
      </c>
      <c r="G255" s="8"/>
    </row>
    <row r="256" spans="1:7" x14ac:dyDescent="0.35">
      <c r="A256" s="7" t="s">
        <v>255</v>
      </c>
      <c r="B256" t="s">
        <v>258</v>
      </c>
      <c r="C256" s="8">
        <v>-9622</v>
      </c>
      <c r="D256" s="2">
        <v>14.319999694824221</v>
      </c>
      <c r="E256" s="9">
        <f t="shared" si="6"/>
        <v>-137787.03706359866</v>
      </c>
      <c r="F256" s="1">
        <f t="shared" si="7"/>
        <v>1.9401036845167737E-3</v>
      </c>
      <c r="G256" s="8"/>
    </row>
    <row r="257" spans="1:7" x14ac:dyDescent="0.35">
      <c r="A257" s="7" t="s">
        <v>259</v>
      </c>
      <c r="B257" t="s">
        <v>259</v>
      </c>
      <c r="C257" s="8">
        <v>-9059</v>
      </c>
      <c r="D257" s="2">
        <v>121.44000244140619</v>
      </c>
      <c r="E257" s="9">
        <f t="shared" si="6"/>
        <v>-1100124.9821166988</v>
      </c>
      <c r="F257" s="1">
        <f t="shared" si="7"/>
        <v>1.5490256389274105E-2</v>
      </c>
      <c r="G257" s="8"/>
    </row>
    <row r="258" spans="1:7" x14ac:dyDescent="0.35">
      <c r="A258" s="7" t="s">
        <v>259</v>
      </c>
      <c r="B258" t="s">
        <v>260</v>
      </c>
      <c r="C258" s="8">
        <v>-62338</v>
      </c>
      <c r="D258" s="2">
        <v>1.370000004768372</v>
      </c>
      <c r="E258" s="9">
        <f t="shared" si="6"/>
        <v>-85403.060297250777</v>
      </c>
      <c r="F258" s="1">
        <f t="shared" si="7"/>
        <v>1.2025136433932181E-3</v>
      </c>
      <c r="G258" s="8"/>
    </row>
    <row r="259" spans="1:7" x14ac:dyDescent="0.35">
      <c r="A259" s="7" t="s">
        <v>259</v>
      </c>
      <c r="B259" t="s">
        <v>261</v>
      </c>
      <c r="C259" s="8">
        <v>-132133</v>
      </c>
      <c r="D259" s="2">
        <v>4.0250000953674316</v>
      </c>
      <c r="E259" s="9">
        <f t="shared" ref="E259:E322" si="8">C259*D259</f>
        <v>-531835.33760118484</v>
      </c>
      <c r="F259" s="1">
        <f t="shared" ref="F259:F322" si="9">IF($E$459=0,"",ABS(E259)/$E$459)</f>
        <v>7.4884816454832649E-3</v>
      </c>
      <c r="G259" s="8"/>
    </row>
    <row r="260" spans="1:7" x14ac:dyDescent="0.35">
      <c r="A260" s="7" t="s">
        <v>259</v>
      </c>
      <c r="B260" t="s">
        <v>262</v>
      </c>
      <c r="C260" s="8">
        <v>-101945</v>
      </c>
      <c r="D260" s="2">
        <v>13.210000038146971</v>
      </c>
      <c r="E260" s="9">
        <f t="shared" si="8"/>
        <v>-1346693.4538888929</v>
      </c>
      <c r="F260" s="1">
        <f t="shared" si="9"/>
        <v>1.8962051782842968E-2</v>
      </c>
      <c r="G260" s="8"/>
    </row>
    <row r="261" spans="1:7" x14ac:dyDescent="0.35">
      <c r="A261" s="7" t="s">
        <v>259</v>
      </c>
      <c r="B261" t="s">
        <v>263</v>
      </c>
      <c r="C261" s="8">
        <v>-18200</v>
      </c>
      <c r="D261" s="2">
        <v>4.5538277626037598</v>
      </c>
      <c r="E261" s="9">
        <f t="shared" si="8"/>
        <v>-82879.665279388428</v>
      </c>
      <c r="F261" s="1">
        <f t="shared" si="9"/>
        <v>1.1669831023787807E-3</v>
      </c>
      <c r="G261" s="8"/>
    </row>
    <row r="262" spans="1:7" x14ac:dyDescent="0.35">
      <c r="A262" s="7" t="s">
        <v>264</v>
      </c>
      <c r="B262" t="s">
        <v>264</v>
      </c>
      <c r="C262" s="8">
        <v>1488</v>
      </c>
      <c r="D262" s="2">
        <v>321.79998779296881</v>
      </c>
      <c r="E262" s="9">
        <f t="shared" si="8"/>
        <v>478838.38183593756</v>
      </c>
      <c r="F262" s="1">
        <f t="shared" si="9"/>
        <v>6.7422605833316052E-3</v>
      </c>
      <c r="G262" s="8"/>
    </row>
    <row r="263" spans="1:7" x14ac:dyDescent="0.35">
      <c r="A263" s="7" t="s">
        <v>264</v>
      </c>
      <c r="B263" t="s">
        <v>265</v>
      </c>
      <c r="C263" s="8">
        <v>-1321</v>
      </c>
      <c r="D263" s="2">
        <v>96.709999084472656</v>
      </c>
      <c r="E263" s="9">
        <f t="shared" si="8"/>
        <v>-127753.90879058838</v>
      </c>
      <c r="F263" s="1">
        <f t="shared" si="9"/>
        <v>1.798832709071442E-3</v>
      </c>
      <c r="G263" s="8"/>
    </row>
    <row r="264" spans="1:7" x14ac:dyDescent="0.35">
      <c r="A264" s="7" t="s">
        <v>264</v>
      </c>
      <c r="B264" t="s">
        <v>266</v>
      </c>
      <c r="C264" s="8">
        <v>-779</v>
      </c>
      <c r="D264" s="2">
        <v>109.75</v>
      </c>
      <c r="E264" s="9">
        <f t="shared" si="8"/>
        <v>-85495.25</v>
      </c>
      <c r="F264" s="1">
        <f t="shared" si="9"/>
        <v>1.203811716026101E-3</v>
      </c>
      <c r="G264" s="8"/>
    </row>
    <row r="265" spans="1:7" x14ac:dyDescent="0.35">
      <c r="A265" s="7" t="s">
        <v>267</v>
      </c>
      <c r="B265" t="s">
        <v>267</v>
      </c>
      <c r="C265" s="8">
        <v>5982</v>
      </c>
      <c r="D265" s="2">
        <v>92.260002136230469</v>
      </c>
      <c r="E265" s="9">
        <f t="shared" si="8"/>
        <v>551899.33277893066</v>
      </c>
      <c r="F265" s="1">
        <f t="shared" si="9"/>
        <v>7.7709917552877469E-3</v>
      </c>
      <c r="G265" s="8"/>
    </row>
    <row r="266" spans="1:7" x14ac:dyDescent="0.35">
      <c r="A266" s="7" t="s">
        <v>267</v>
      </c>
      <c r="B266" t="s">
        <v>268</v>
      </c>
      <c r="C266" s="8">
        <v>-20823</v>
      </c>
      <c r="D266" s="2">
        <v>5.8400001525878906</v>
      </c>
      <c r="E266" s="9">
        <f t="shared" si="8"/>
        <v>-121606.32317733765</v>
      </c>
      <c r="F266" s="1">
        <f t="shared" si="9"/>
        <v>1.7122719283671954E-3</v>
      </c>
      <c r="G266" s="8"/>
    </row>
    <row r="267" spans="1:7" x14ac:dyDescent="0.35">
      <c r="A267" s="7" t="s">
        <v>267</v>
      </c>
      <c r="B267" t="s">
        <v>269</v>
      </c>
      <c r="C267" s="8">
        <v>-11355</v>
      </c>
      <c r="D267" s="2">
        <v>8.2799997329711914</v>
      </c>
      <c r="E267" s="9">
        <f t="shared" si="8"/>
        <v>-94019.396967887878</v>
      </c>
      <c r="F267" s="1">
        <f t="shared" si="9"/>
        <v>1.3238355534798986E-3</v>
      </c>
      <c r="G267" s="8"/>
    </row>
    <row r="268" spans="1:7" x14ac:dyDescent="0.35">
      <c r="A268" s="7" t="s">
        <v>267</v>
      </c>
      <c r="B268" t="s">
        <v>270</v>
      </c>
      <c r="C268" s="8">
        <v>-7680</v>
      </c>
      <c r="D268" s="2">
        <v>14.14999961853027</v>
      </c>
      <c r="E268" s="9">
        <f t="shared" si="8"/>
        <v>-108671.99707031247</v>
      </c>
      <c r="F268" s="1">
        <f t="shared" si="9"/>
        <v>1.530150777700472E-3</v>
      </c>
      <c r="G268" s="8"/>
    </row>
    <row r="269" spans="1:7" x14ac:dyDescent="0.35">
      <c r="A269" s="7" t="s">
        <v>267</v>
      </c>
      <c r="B269" t="s">
        <v>271</v>
      </c>
      <c r="C269" s="8">
        <v>-4247</v>
      </c>
      <c r="D269" s="2">
        <v>25.879999160766602</v>
      </c>
      <c r="E269" s="9">
        <f t="shared" si="8"/>
        <v>-109912.35643577576</v>
      </c>
      <c r="F269" s="1">
        <f t="shared" si="9"/>
        <v>1.5476155975147588E-3</v>
      </c>
      <c r="G269" s="8"/>
    </row>
    <row r="270" spans="1:7" x14ac:dyDescent="0.35">
      <c r="A270" s="7" t="s">
        <v>272</v>
      </c>
      <c r="B270" t="s">
        <v>272</v>
      </c>
      <c r="C270" s="8">
        <v>110</v>
      </c>
      <c r="D270" s="2">
        <v>103.120002746582</v>
      </c>
      <c r="E270" s="9">
        <f t="shared" si="8"/>
        <v>11343.20030212402</v>
      </c>
      <c r="F270" s="1">
        <f t="shared" si="9"/>
        <v>1.5971738103494294E-4</v>
      </c>
      <c r="G270" s="8"/>
    </row>
    <row r="271" spans="1:7" x14ac:dyDescent="0.35">
      <c r="A271" s="7" t="s">
        <v>272</v>
      </c>
      <c r="B271" t="s">
        <v>273</v>
      </c>
      <c r="C271" s="8">
        <v>-317</v>
      </c>
      <c r="D271" s="2">
        <v>18.120000839233398</v>
      </c>
      <c r="E271" s="9">
        <f t="shared" si="8"/>
        <v>-5744.0402660369873</v>
      </c>
      <c r="F271" s="1">
        <f t="shared" si="9"/>
        <v>8.0878680038727391E-5</v>
      </c>
      <c r="G271" s="8"/>
    </row>
    <row r="272" spans="1:7" x14ac:dyDescent="0.35">
      <c r="A272" s="7" t="s">
        <v>274</v>
      </c>
      <c r="B272" t="s">
        <v>274</v>
      </c>
      <c r="C272" s="8">
        <v>732</v>
      </c>
      <c r="D272" s="2">
        <v>194.6300048828125</v>
      </c>
      <c r="E272" s="9">
        <f t="shared" si="8"/>
        <v>142469.16357421875</v>
      </c>
      <c r="F272" s="1">
        <f t="shared" si="9"/>
        <v>2.0060301394882588E-3</v>
      </c>
      <c r="G272" s="8"/>
    </row>
    <row r="273" spans="1:7" x14ac:dyDescent="0.35">
      <c r="A273" s="7" t="s">
        <v>274</v>
      </c>
      <c r="B273" t="s">
        <v>275</v>
      </c>
      <c r="C273" s="8">
        <v>-6246</v>
      </c>
      <c r="D273" s="2">
        <v>10.89500045776367</v>
      </c>
      <c r="E273" s="9">
        <f t="shared" si="8"/>
        <v>-68050.17285919188</v>
      </c>
      <c r="F273" s="1">
        <f t="shared" si="9"/>
        <v>9.5817715446760597E-4</v>
      </c>
      <c r="G273" s="8"/>
    </row>
    <row r="274" spans="1:7" x14ac:dyDescent="0.35">
      <c r="A274" s="7" t="s">
        <v>276</v>
      </c>
      <c r="B274" t="s">
        <v>276</v>
      </c>
      <c r="C274" s="8">
        <v>3716</v>
      </c>
      <c r="D274" s="2">
        <v>92.970001220703125</v>
      </c>
      <c r="E274" s="9">
        <f t="shared" si="8"/>
        <v>345476.52453613281</v>
      </c>
      <c r="F274" s="1">
        <f t="shared" si="9"/>
        <v>4.864465427594813E-3</v>
      </c>
      <c r="G274" s="8"/>
    </row>
    <row r="275" spans="1:7" x14ac:dyDescent="0.35">
      <c r="A275" s="7" t="s">
        <v>276</v>
      </c>
      <c r="B275" t="s">
        <v>277</v>
      </c>
      <c r="C275" s="8">
        <v>-3106</v>
      </c>
      <c r="D275" s="2">
        <v>29.95999908447266</v>
      </c>
      <c r="E275" s="9">
        <f t="shared" si="8"/>
        <v>-93055.757156372085</v>
      </c>
      <c r="F275" s="1">
        <f t="shared" si="9"/>
        <v>1.3102670699076313E-3</v>
      </c>
      <c r="G275" s="8"/>
    </row>
    <row r="276" spans="1:7" x14ac:dyDescent="0.35">
      <c r="A276" s="7" t="s">
        <v>276</v>
      </c>
      <c r="B276" t="s">
        <v>278</v>
      </c>
      <c r="C276" s="8">
        <v>-2805</v>
      </c>
      <c r="D276" s="2">
        <v>28.14999961853027</v>
      </c>
      <c r="E276" s="9">
        <f t="shared" si="8"/>
        <v>-78960.748929977402</v>
      </c>
      <c r="F276" s="1">
        <f t="shared" si="9"/>
        <v>1.1118029910211645E-3</v>
      </c>
      <c r="G276" s="8"/>
    </row>
    <row r="277" spans="1:7" x14ac:dyDescent="0.35">
      <c r="A277" s="7" t="s">
        <v>279</v>
      </c>
      <c r="B277" t="s">
        <v>279</v>
      </c>
      <c r="C277" s="8">
        <v>10670</v>
      </c>
      <c r="D277" s="2">
        <v>5.5100002288818359</v>
      </c>
      <c r="E277" s="9">
        <f t="shared" si="8"/>
        <v>58791.702442169189</v>
      </c>
      <c r="F277" s="1">
        <f t="shared" si="9"/>
        <v>8.2781371134657902E-4</v>
      </c>
      <c r="G277" s="8"/>
    </row>
    <row r="278" spans="1:7" x14ac:dyDescent="0.35">
      <c r="A278" s="7" t="s">
        <v>279</v>
      </c>
      <c r="B278" t="s">
        <v>280</v>
      </c>
      <c r="C278" s="8">
        <v>-1825</v>
      </c>
      <c r="D278" s="2">
        <v>16.9640007019043</v>
      </c>
      <c r="E278" s="9">
        <f t="shared" si="8"/>
        <v>-30959.301280975349</v>
      </c>
      <c r="F278" s="1">
        <f t="shared" si="9"/>
        <v>4.3592093832136875E-4</v>
      </c>
      <c r="G278" s="8"/>
    </row>
    <row r="279" spans="1:7" x14ac:dyDescent="0.35">
      <c r="A279" s="7" t="s">
        <v>281</v>
      </c>
      <c r="B279" t="s">
        <v>281</v>
      </c>
      <c r="C279" s="8">
        <v>23092</v>
      </c>
      <c r="D279" s="2">
        <v>7.9600000381469727</v>
      </c>
      <c r="E279" s="9">
        <f t="shared" si="8"/>
        <v>183812.32088088989</v>
      </c>
      <c r="F279" s="1">
        <f t="shared" si="9"/>
        <v>2.5881604583455151E-3</v>
      </c>
      <c r="G279" s="8"/>
    </row>
    <row r="280" spans="1:7" x14ac:dyDescent="0.35">
      <c r="A280" s="7" t="s">
        <v>281</v>
      </c>
      <c r="B280" t="s">
        <v>282</v>
      </c>
      <c r="C280" s="8">
        <v>-3183</v>
      </c>
      <c r="D280" s="2">
        <v>28.680000305175781</v>
      </c>
      <c r="E280" s="9">
        <f t="shared" si="8"/>
        <v>-91288.440971374512</v>
      </c>
      <c r="F280" s="1">
        <f t="shared" si="9"/>
        <v>1.2853824601846042E-3</v>
      </c>
      <c r="G280" s="8"/>
    </row>
    <row r="281" spans="1:7" x14ac:dyDescent="0.35">
      <c r="A281" s="7" t="s">
        <v>283</v>
      </c>
      <c r="B281" t="s">
        <v>283</v>
      </c>
      <c r="C281" s="8">
        <v>1016</v>
      </c>
      <c r="D281" s="2">
        <v>104.9700012207031</v>
      </c>
      <c r="E281" s="9">
        <f t="shared" si="8"/>
        <v>106649.52124023435</v>
      </c>
      <c r="F281" s="1">
        <f t="shared" si="9"/>
        <v>1.5016734049852901E-3</v>
      </c>
      <c r="G281" s="8"/>
    </row>
    <row r="282" spans="1:7" x14ac:dyDescent="0.35">
      <c r="A282" s="7" t="s">
        <v>283</v>
      </c>
      <c r="B282" t="s">
        <v>284</v>
      </c>
      <c r="C282" s="8">
        <v>-9354</v>
      </c>
      <c r="D282" s="2">
        <v>6.0100002288818359</v>
      </c>
      <c r="E282" s="9">
        <f t="shared" si="8"/>
        <v>-56217.542140960693</v>
      </c>
      <c r="F282" s="1">
        <f t="shared" si="9"/>
        <v>7.9156837222511833E-4</v>
      </c>
      <c r="G282" s="8"/>
    </row>
    <row r="283" spans="1:7" x14ac:dyDescent="0.35">
      <c r="A283" s="7" t="s">
        <v>285</v>
      </c>
      <c r="B283" t="s">
        <v>285</v>
      </c>
      <c r="C283" s="8">
        <v>222</v>
      </c>
      <c r="D283" s="2">
        <v>13.510000228881839</v>
      </c>
      <c r="E283" s="9">
        <f t="shared" si="8"/>
        <v>2999.2200508117685</v>
      </c>
      <c r="F283" s="1">
        <f t="shared" si="9"/>
        <v>4.2230372285098942E-5</v>
      </c>
      <c r="G283" s="8"/>
    </row>
    <row r="284" spans="1:7" x14ac:dyDescent="0.35">
      <c r="A284" s="7" t="s">
        <v>285</v>
      </c>
      <c r="B284" t="s">
        <v>286</v>
      </c>
      <c r="C284" s="8">
        <v>-153</v>
      </c>
      <c r="D284" s="2">
        <v>9.8369998931884766</v>
      </c>
      <c r="E284" s="9">
        <f t="shared" si="8"/>
        <v>-1505.0609836578369</v>
      </c>
      <c r="F284" s="1">
        <f t="shared" si="9"/>
        <v>2.1191938095520773E-5</v>
      </c>
      <c r="G284" s="8"/>
    </row>
    <row r="285" spans="1:7" x14ac:dyDescent="0.35">
      <c r="A285" s="7" t="s">
        <v>287</v>
      </c>
      <c r="B285" t="s">
        <v>287</v>
      </c>
      <c r="C285" s="8">
        <v>19035</v>
      </c>
      <c r="D285" s="2">
        <v>165.16999816894531</v>
      </c>
      <c r="E285" s="9">
        <f t="shared" si="8"/>
        <v>3144010.915145874</v>
      </c>
      <c r="F285" s="1">
        <f t="shared" si="9"/>
        <v>4.4269093019396362E-2</v>
      </c>
      <c r="G285" s="8"/>
    </row>
    <row r="286" spans="1:7" x14ac:dyDescent="0.35">
      <c r="A286" s="7" t="s">
        <v>287</v>
      </c>
      <c r="B286" t="s">
        <v>288</v>
      </c>
      <c r="C286" s="8">
        <v>-3096</v>
      </c>
      <c r="D286" s="2">
        <v>20.54000091552734</v>
      </c>
      <c r="E286" s="9">
        <f t="shared" si="8"/>
        <v>-63591.842834472642</v>
      </c>
      <c r="F286" s="1">
        <f t="shared" si="9"/>
        <v>8.9540185504842235E-4</v>
      </c>
      <c r="G286" s="8"/>
    </row>
    <row r="287" spans="1:7" x14ac:dyDescent="0.35">
      <c r="A287" s="7" t="s">
        <v>287</v>
      </c>
      <c r="B287" t="s">
        <v>289</v>
      </c>
      <c r="C287" s="8">
        <v>-9348</v>
      </c>
      <c r="D287" s="2">
        <v>12.46399974822998</v>
      </c>
      <c r="E287" s="9">
        <f t="shared" si="8"/>
        <v>-116513.46964645386</v>
      </c>
      <c r="F287" s="1">
        <f t="shared" si="9"/>
        <v>1.640562251531549E-3</v>
      </c>
      <c r="G287" s="8"/>
    </row>
    <row r="288" spans="1:7" x14ac:dyDescent="0.35">
      <c r="A288" s="7" t="s">
        <v>287</v>
      </c>
      <c r="B288" t="s">
        <v>290</v>
      </c>
      <c r="C288" s="8">
        <v>-13052</v>
      </c>
      <c r="D288" s="2">
        <v>65.269996643066406</v>
      </c>
      <c r="E288" s="9">
        <f t="shared" si="8"/>
        <v>-851903.99618530273</v>
      </c>
      <c r="F288" s="1">
        <f t="shared" si="9"/>
        <v>1.1995192850331713E-2</v>
      </c>
      <c r="G288" s="8"/>
    </row>
    <row r="289" spans="1:7" x14ac:dyDescent="0.35">
      <c r="A289" s="7" t="s">
        <v>287</v>
      </c>
      <c r="B289" t="s">
        <v>291</v>
      </c>
      <c r="C289" s="8">
        <v>-8335</v>
      </c>
      <c r="D289" s="2">
        <v>19.754999160766602</v>
      </c>
      <c r="E289" s="9">
        <f t="shared" si="8"/>
        <v>-164657.91800498962</v>
      </c>
      <c r="F289" s="1">
        <f t="shared" si="9"/>
        <v>2.3184578187779039E-3</v>
      </c>
      <c r="G289" s="8"/>
    </row>
    <row r="290" spans="1:7" x14ac:dyDescent="0.35">
      <c r="A290" s="7" t="s">
        <v>287</v>
      </c>
      <c r="B290" t="s">
        <v>292</v>
      </c>
      <c r="C290" s="8">
        <v>-5364</v>
      </c>
      <c r="D290" s="2">
        <v>86.980003356933594</v>
      </c>
      <c r="E290" s="9">
        <f t="shared" si="8"/>
        <v>-466560.7380065918</v>
      </c>
      <c r="F290" s="1">
        <f t="shared" si="9"/>
        <v>6.5693858155876431E-3</v>
      </c>
      <c r="G290" s="8"/>
    </row>
    <row r="291" spans="1:7" x14ac:dyDescent="0.35">
      <c r="A291" s="7" t="s">
        <v>287</v>
      </c>
      <c r="B291" t="s">
        <v>293</v>
      </c>
      <c r="C291" s="8">
        <v>-17168</v>
      </c>
      <c r="D291" s="2">
        <v>12.52999973297119</v>
      </c>
      <c r="E291" s="9">
        <f t="shared" si="8"/>
        <v>-215115.03541564938</v>
      </c>
      <c r="F291" s="1">
        <f t="shared" si="9"/>
        <v>3.0289168103108462E-3</v>
      </c>
      <c r="G291" s="8"/>
    </row>
    <row r="292" spans="1:7" x14ac:dyDescent="0.35">
      <c r="A292" s="7" t="s">
        <v>294</v>
      </c>
      <c r="B292" t="s">
        <v>294</v>
      </c>
      <c r="C292" s="8">
        <v>42712</v>
      </c>
      <c r="D292" s="2">
        <v>7.8299999237060547</v>
      </c>
      <c r="E292" s="9">
        <f t="shared" si="8"/>
        <v>334434.95674133301</v>
      </c>
      <c r="F292" s="1">
        <f t="shared" si="9"/>
        <v>4.7089951684321524E-3</v>
      </c>
      <c r="G292" s="8"/>
    </row>
    <row r="293" spans="1:7" x14ac:dyDescent="0.35">
      <c r="A293" s="7" t="s">
        <v>294</v>
      </c>
      <c r="B293" t="s">
        <v>295</v>
      </c>
      <c r="C293" s="8">
        <v>-9298</v>
      </c>
      <c r="D293" s="2">
        <v>17.14999961853027</v>
      </c>
      <c r="E293" s="9">
        <f t="shared" si="8"/>
        <v>-159460.69645309445</v>
      </c>
      <c r="F293" s="1">
        <f t="shared" si="9"/>
        <v>2.2452785930904564E-3</v>
      </c>
      <c r="G293" s="8"/>
    </row>
    <row r="294" spans="1:7" x14ac:dyDescent="0.35">
      <c r="A294" s="7" t="s">
        <v>296</v>
      </c>
      <c r="B294" t="s">
        <v>296</v>
      </c>
      <c r="C294" s="8">
        <v>5364</v>
      </c>
      <c r="D294" s="2">
        <v>45.580001831054688</v>
      </c>
      <c r="E294" s="9">
        <f t="shared" si="8"/>
        <v>244491.12982177734</v>
      </c>
      <c r="F294" s="1">
        <f t="shared" si="9"/>
        <v>3.4425454811105182E-3</v>
      </c>
      <c r="G294" s="8"/>
    </row>
    <row r="295" spans="1:7" x14ac:dyDescent="0.35">
      <c r="A295" s="7" t="s">
        <v>296</v>
      </c>
      <c r="B295" t="s">
        <v>297</v>
      </c>
      <c r="C295" s="8">
        <v>-21369</v>
      </c>
      <c r="D295" s="2">
        <v>5.1399998664855957</v>
      </c>
      <c r="E295" s="9">
        <f t="shared" si="8"/>
        <v>-109836.65714693069</v>
      </c>
      <c r="F295" s="1">
        <f t="shared" si="9"/>
        <v>1.5465497173540888E-3</v>
      </c>
      <c r="G295" s="8"/>
    </row>
    <row r="296" spans="1:7" x14ac:dyDescent="0.35">
      <c r="A296" s="7" t="s">
        <v>298</v>
      </c>
      <c r="B296" t="s">
        <v>298</v>
      </c>
      <c r="C296" s="8">
        <v>34</v>
      </c>
      <c r="D296" s="2">
        <v>75.470001220703125</v>
      </c>
      <c r="E296" s="9">
        <f t="shared" si="8"/>
        <v>2565.9800415039063</v>
      </c>
      <c r="F296" s="1">
        <f t="shared" si="9"/>
        <v>3.6130157371918829E-5</v>
      </c>
      <c r="G296" s="8"/>
    </row>
    <row r="297" spans="1:7" x14ac:dyDescent="0.35">
      <c r="A297" s="7" t="s">
        <v>298</v>
      </c>
      <c r="B297" t="s">
        <v>299</v>
      </c>
      <c r="C297" s="8">
        <v>-125</v>
      </c>
      <c r="D297" s="2">
        <v>10.567000389099119</v>
      </c>
      <c r="E297" s="9">
        <f t="shared" si="8"/>
        <v>-1320.8750486373899</v>
      </c>
      <c r="F297" s="1">
        <f t="shared" si="9"/>
        <v>1.8598516981425704E-5</v>
      </c>
      <c r="G297" s="8"/>
    </row>
    <row r="298" spans="1:7" x14ac:dyDescent="0.35">
      <c r="A298" s="7" t="s">
        <v>300</v>
      </c>
      <c r="B298" t="s">
        <v>300</v>
      </c>
      <c r="C298" s="8">
        <v>11596</v>
      </c>
      <c r="D298" s="2">
        <v>8.1499996185302734</v>
      </c>
      <c r="E298" s="9">
        <f t="shared" si="8"/>
        <v>94507.395576477051</v>
      </c>
      <c r="F298" s="1">
        <f t="shared" si="9"/>
        <v>1.330706794191214E-3</v>
      </c>
      <c r="G298" s="8"/>
    </row>
    <row r="299" spans="1:7" x14ac:dyDescent="0.35">
      <c r="A299" s="7" t="s">
        <v>300</v>
      </c>
      <c r="B299" t="s">
        <v>301</v>
      </c>
      <c r="C299" s="8">
        <v>-9887</v>
      </c>
      <c r="D299" s="2">
        <v>4.3299999237060547</v>
      </c>
      <c r="E299" s="9">
        <f t="shared" si="8"/>
        <v>-42810.709245681763</v>
      </c>
      <c r="F299" s="1">
        <f t="shared" si="9"/>
        <v>6.0279411267103887E-4</v>
      </c>
      <c r="G299" s="8"/>
    </row>
    <row r="300" spans="1:7" x14ac:dyDescent="0.35">
      <c r="A300" s="7" t="s">
        <v>302</v>
      </c>
      <c r="B300" t="s">
        <v>302</v>
      </c>
      <c r="C300" s="8">
        <v>69066</v>
      </c>
      <c r="D300" s="2">
        <v>4.429999828338623</v>
      </c>
      <c r="E300" s="9">
        <f t="shared" si="8"/>
        <v>305962.36814403534</v>
      </c>
      <c r="F300" s="1">
        <f t="shared" si="9"/>
        <v>4.3080882673000066E-3</v>
      </c>
      <c r="G300" s="8"/>
    </row>
    <row r="301" spans="1:7" x14ac:dyDescent="0.35">
      <c r="A301" s="7" t="s">
        <v>302</v>
      </c>
      <c r="B301" t="s">
        <v>303</v>
      </c>
      <c r="C301" s="8">
        <v>-1857</v>
      </c>
      <c r="D301" s="2">
        <v>4.6960000991821289</v>
      </c>
      <c r="E301" s="9">
        <f t="shared" si="8"/>
        <v>-8720.4721841812134</v>
      </c>
      <c r="F301" s="1">
        <f t="shared" si="9"/>
        <v>1.2278818512837926E-4</v>
      </c>
      <c r="G301" s="8"/>
    </row>
    <row r="302" spans="1:7" x14ac:dyDescent="0.35">
      <c r="A302" s="7" t="s">
        <v>302</v>
      </c>
      <c r="B302" t="s">
        <v>304</v>
      </c>
      <c r="C302" s="8">
        <v>-6841</v>
      </c>
      <c r="D302" s="2">
        <v>19.030000686645511</v>
      </c>
      <c r="E302" s="9">
        <f t="shared" si="8"/>
        <v>-130184.23469734195</v>
      </c>
      <c r="F302" s="1">
        <f t="shared" si="9"/>
        <v>1.8330527949862933E-3</v>
      </c>
      <c r="G302" s="8"/>
    </row>
    <row r="303" spans="1:7" x14ac:dyDescent="0.35">
      <c r="A303" s="7" t="s">
        <v>305</v>
      </c>
      <c r="B303" t="s">
        <v>305</v>
      </c>
      <c r="C303" s="8">
        <v>546</v>
      </c>
      <c r="D303" s="2">
        <v>138.3169250488281</v>
      </c>
      <c r="E303" s="9">
        <f t="shared" si="8"/>
        <v>75521.041076660142</v>
      </c>
      <c r="F303" s="1">
        <f t="shared" si="9"/>
        <v>1.0633703516227148E-3</v>
      </c>
      <c r="G303" s="8"/>
    </row>
    <row r="304" spans="1:7" x14ac:dyDescent="0.35">
      <c r="A304" s="7" t="s">
        <v>305</v>
      </c>
      <c r="B304" t="s">
        <v>306</v>
      </c>
      <c r="C304" s="8">
        <v>-4403</v>
      </c>
      <c r="D304" s="2">
        <v>8.4930000305175781</v>
      </c>
      <c r="E304" s="9">
        <f t="shared" si="8"/>
        <v>-37394.679134368896</v>
      </c>
      <c r="F304" s="1">
        <f t="shared" si="9"/>
        <v>5.2653396368792485E-4</v>
      </c>
      <c r="G304" s="8"/>
    </row>
    <row r="305" spans="1:7" x14ac:dyDescent="0.35">
      <c r="A305" s="7" t="s">
        <v>307</v>
      </c>
      <c r="B305" t="s">
        <v>307</v>
      </c>
      <c r="C305" s="8">
        <v>13</v>
      </c>
      <c r="D305" s="2">
        <v>92.110000610351563</v>
      </c>
      <c r="E305" s="9">
        <f t="shared" si="8"/>
        <v>1197.4300079345703</v>
      </c>
      <c r="F305" s="1">
        <f t="shared" si="9"/>
        <v>1.6860355080227998E-5</v>
      </c>
      <c r="G305" s="8"/>
    </row>
    <row r="306" spans="1:7" x14ac:dyDescent="0.35">
      <c r="A306" s="7" t="s">
        <v>307</v>
      </c>
      <c r="B306" t="s">
        <v>308</v>
      </c>
      <c r="C306" s="8">
        <v>-46</v>
      </c>
      <c r="D306" s="2">
        <v>13.53800010681152</v>
      </c>
      <c r="E306" s="9">
        <f t="shared" si="8"/>
        <v>-622.74800491332996</v>
      </c>
      <c r="F306" s="1">
        <f t="shared" si="9"/>
        <v>8.7685730429064375E-6</v>
      </c>
      <c r="G306" s="8"/>
    </row>
    <row r="307" spans="1:7" x14ac:dyDescent="0.35">
      <c r="A307" s="7" t="s">
        <v>309</v>
      </c>
      <c r="B307" t="s">
        <v>309</v>
      </c>
      <c r="C307" s="8">
        <v>13580</v>
      </c>
      <c r="D307" s="2">
        <v>10.85000038146973</v>
      </c>
      <c r="E307" s="9">
        <f t="shared" si="8"/>
        <v>147343.00518035894</v>
      </c>
      <c r="F307" s="1">
        <f t="shared" si="9"/>
        <v>2.0746560295526431E-3</v>
      </c>
      <c r="G307" s="8"/>
    </row>
    <row r="308" spans="1:7" x14ac:dyDescent="0.35">
      <c r="A308" s="7" t="s">
        <v>309</v>
      </c>
      <c r="B308" t="s">
        <v>310</v>
      </c>
      <c r="C308" s="8">
        <v>-15828</v>
      </c>
      <c r="D308" s="2">
        <v>4.5409998893737793</v>
      </c>
      <c r="E308" s="9">
        <f t="shared" si="8"/>
        <v>-71874.946249008179</v>
      </c>
      <c r="F308" s="1">
        <f t="shared" si="9"/>
        <v>1.012031690454175E-3</v>
      </c>
      <c r="G308" s="8"/>
    </row>
    <row r="309" spans="1:7" x14ac:dyDescent="0.35">
      <c r="A309" s="7" t="s">
        <v>311</v>
      </c>
      <c r="B309" t="s">
        <v>311</v>
      </c>
      <c r="C309" s="8">
        <v>31</v>
      </c>
      <c r="D309" s="2">
        <v>51.159999847412109</v>
      </c>
      <c r="E309" s="9">
        <f t="shared" si="8"/>
        <v>1585.9599952697754</v>
      </c>
      <c r="F309" s="1">
        <f t="shared" si="9"/>
        <v>2.2331032700114396E-5</v>
      </c>
      <c r="G309" s="8"/>
    </row>
    <row r="310" spans="1:7" x14ac:dyDescent="0.35">
      <c r="A310" s="7" t="s">
        <v>311</v>
      </c>
      <c r="B310" t="s">
        <v>312</v>
      </c>
      <c r="C310" s="8">
        <v>-47</v>
      </c>
      <c r="D310" s="2">
        <v>17.04999923706055</v>
      </c>
      <c r="E310" s="9">
        <f t="shared" si="8"/>
        <v>-801.34996414184582</v>
      </c>
      <c r="F310" s="1">
        <f t="shared" si="9"/>
        <v>1.1283369257017787E-5</v>
      </c>
      <c r="G310" s="8"/>
    </row>
    <row r="311" spans="1:7" x14ac:dyDescent="0.35">
      <c r="A311" s="7" t="s">
        <v>313</v>
      </c>
      <c r="B311" t="s">
        <v>313</v>
      </c>
      <c r="C311" s="8">
        <v>984</v>
      </c>
      <c r="D311" s="2">
        <v>154.3500061035156</v>
      </c>
      <c r="E311" s="9">
        <f t="shared" si="8"/>
        <v>151880.40600585935</v>
      </c>
      <c r="F311" s="1">
        <f t="shared" si="9"/>
        <v>2.1385446815425941E-3</v>
      </c>
      <c r="G311" s="8"/>
    </row>
    <row r="312" spans="1:7" x14ac:dyDescent="0.35">
      <c r="A312" s="7" t="s">
        <v>313</v>
      </c>
      <c r="B312" t="s">
        <v>314</v>
      </c>
      <c r="C312" s="8">
        <v>-5322</v>
      </c>
      <c r="D312" s="2">
        <v>11.692000389099119</v>
      </c>
      <c r="E312" s="9">
        <f t="shared" si="8"/>
        <v>-62224.826070785515</v>
      </c>
      <c r="F312" s="1">
        <f t="shared" si="9"/>
        <v>8.7615364188885323E-4</v>
      </c>
      <c r="G312" s="8"/>
    </row>
    <row r="313" spans="1:7" x14ac:dyDescent="0.35">
      <c r="A313" s="7" t="s">
        <v>313</v>
      </c>
      <c r="B313" t="s">
        <v>315</v>
      </c>
      <c r="C313" s="8">
        <v>-2351</v>
      </c>
      <c r="D313" s="2">
        <v>7.2049999237060547</v>
      </c>
      <c r="E313" s="9">
        <f t="shared" si="8"/>
        <v>-16938.954820632935</v>
      </c>
      <c r="F313" s="1">
        <f t="shared" si="9"/>
        <v>2.3850813080626969E-4</v>
      </c>
      <c r="G313" s="8"/>
    </row>
    <row r="314" spans="1:7" x14ac:dyDescent="0.35">
      <c r="A314" s="7" t="s">
        <v>316</v>
      </c>
      <c r="B314" t="s">
        <v>316</v>
      </c>
      <c r="C314" s="8">
        <v>667</v>
      </c>
      <c r="D314" s="2">
        <v>20.688680648803711</v>
      </c>
      <c r="E314" s="9">
        <f t="shared" si="8"/>
        <v>13799.349992752075</v>
      </c>
      <c r="F314" s="1">
        <f t="shared" si="9"/>
        <v>1.9430107748465137E-4</v>
      </c>
      <c r="G314" s="8"/>
    </row>
    <row r="315" spans="1:7" x14ac:dyDescent="0.35">
      <c r="A315" s="7" t="s">
        <v>316</v>
      </c>
      <c r="B315" t="s">
        <v>317</v>
      </c>
      <c r="C315" s="8">
        <v>-153</v>
      </c>
      <c r="D315" s="2">
        <v>46.644001007080078</v>
      </c>
      <c r="E315" s="9">
        <f t="shared" si="8"/>
        <v>-7136.532154083252</v>
      </c>
      <c r="F315" s="1">
        <f t="shared" si="9"/>
        <v>1.0048559444977829E-4</v>
      </c>
      <c r="G315" s="8"/>
    </row>
    <row r="316" spans="1:7" x14ac:dyDescent="0.35">
      <c r="A316" s="7" t="s">
        <v>318</v>
      </c>
      <c r="B316" t="s">
        <v>318</v>
      </c>
      <c r="C316" s="8">
        <v>936</v>
      </c>
      <c r="D316" s="2">
        <v>98.419998168945313</v>
      </c>
      <c r="E316" s="9">
        <f t="shared" si="8"/>
        <v>92121.118286132813</v>
      </c>
      <c r="F316" s="1">
        <f t="shared" si="9"/>
        <v>1.2971069326807394E-3</v>
      </c>
      <c r="G316" s="8"/>
    </row>
    <row r="317" spans="1:7" x14ac:dyDescent="0.35">
      <c r="A317" s="7" t="s">
        <v>318</v>
      </c>
      <c r="B317" t="s">
        <v>319</v>
      </c>
      <c r="C317" s="8">
        <v>-2232</v>
      </c>
      <c r="D317" s="2">
        <v>20.239999771118161</v>
      </c>
      <c r="E317" s="9">
        <f t="shared" si="8"/>
        <v>-45175.679489135735</v>
      </c>
      <c r="F317" s="1">
        <f t="shared" si="9"/>
        <v>6.3609396134243275E-4</v>
      </c>
      <c r="G317" s="8"/>
    </row>
    <row r="318" spans="1:7" x14ac:dyDescent="0.35">
      <c r="A318" s="7" t="s">
        <v>320</v>
      </c>
      <c r="B318" t="s">
        <v>320</v>
      </c>
      <c r="C318" s="8">
        <v>2900</v>
      </c>
      <c r="D318" s="2">
        <v>137.55000305175781</v>
      </c>
      <c r="E318" s="9">
        <f t="shared" si="8"/>
        <v>398895.00885009766</v>
      </c>
      <c r="F318" s="1">
        <f t="shared" si="9"/>
        <v>5.6166218020075129E-3</v>
      </c>
      <c r="G318" s="8"/>
    </row>
    <row r="319" spans="1:7" x14ac:dyDescent="0.35">
      <c r="A319" s="7" t="s">
        <v>320</v>
      </c>
      <c r="B319" t="s">
        <v>321</v>
      </c>
      <c r="C319" s="8">
        <v>-2526</v>
      </c>
      <c r="D319" s="2">
        <v>15.189999580383301</v>
      </c>
      <c r="E319" s="9">
        <f t="shared" si="8"/>
        <v>-38369.938940048218</v>
      </c>
      <c r="F319" s="1">
        <f t="shared" si="9"/>
        <v>5.4026606202375177E-4</v>
      </c>
      <c r="G319" s="8"/>
    </row>
    <row r="320" spans="1:7" x14ac:dyDescent="0.35">
      <c r="A320" s="7" t="s">
        <v>320</v>
      </c>
      <c r="B320" t="s">
        <v>322</v>
      </c>
      <c r="C320" s="8">
        <v>-3795</v>
      </c>
      <c r="D320" s="2">
        <v>14.069999694824221</v>
      </c>
      <c r="E320" s="9">
        <f t="shared" si="8"/>
        <v>-53395.648841857917</v>
      </c>
      <c r="F320" s="1">
        <f t="shared" si="9"/>
        <v>7.5183484065657533E-4</v>
      </c>
      <c r="G320" s="8"/>
    </row>
    <row r="321" spans="1:7" x14ac:dyDescent="0.35">
      <c r="A321" s="7" t="s">
        <v>320</v>
      </c>
      <c r="B321" t="s">
        <v>323</v>
      </c>
      <c r="C321" s="8">
        <v>-1483</v>
      </c>
      <c r="D321" s="2">
        <v>39.439998626708977</v>
      </c>
      <c r="E321" s="9">
        <f t="shared" si="8"/>
        <v>-58489.517963409417</v>
      </c>
      <c r="F321" s="1">
        <f t="shared" si="9"/>
        <v>8.2355881746730203E-4</v>
      </c>
      <c r="G321" s="8"/>
    </row>
    <row r="322" spans="1:7" x14ac:dyDescent="0.35">
      <c r="A322" s="7" t="s">
        <v>320</v>
      </c>
      <c r="B322" t="s">
        <v>324</v>
      </c>
      <c r="C322" s="8">
        <v>-2856</v>
      </c>
      <c r="D322" s="2">
        <v>14.52999973297119</v>
      </c>
      <c r="E322" s="9">
        <f t="shared" si="8"/>
        <v>-41497.679237365715</v>
      </c>
      <c r="F322" s="1">
        <f t="shared" si="9"/>
        <v>5.8430605739890728E-4</v>
      </c>
      <c r="G322" s="8"/>
    </row>
    <row r="323" spans="1:7" x14ac:dyDescent="0.35">
      <c r="A323" s="7" t="s">
        <v>325</v>
      </c>
      <c r="B323" t="s">
        <v>325</v>
      </c>
      <c r="C323" s="8">
        <v>1797</v>
      </c>
      <c r="D323" s="2">
        <v>2.1400001049041748</v>
      </c>
      <c r="E323" s="9">
        <f t="shared" ref="E323:E386" si="10">C323*D323</f>
        <v>3845.5801885128021</v>
      </c>
      <c r="F323" s="1">
        <f t="shared" ref="F323:F386" si="11">IF($E$459=0,"",ABS(E323)/$E$459)</f>
        <v>5.4147505105249397E-5</v>
      </c>
      <c r="G323" s="8"/>
    </row>
    <row r="324" spans="1:7" x14ac:dyDescent="0.35">
      <c r="A324" s="7" t="s">
        <v>325</v>
      </c>
      <c r="B324" t="s">
        <v>326</v>
      </c>
      <c r="C324" s="8">
        <v>-180</v>
      </c>
      <c r="D324" s="2">
        <v>10.710000038146971</v>
      </c>
      <c r="E324" s="9">
        <f t="shared" si="10"/>
        <v>-1927.8000068664549</v>
      </c>
      <c r="F324" s="1">
        <f t="shared" si="11"/>
        <v>2.7144294383852161E-5</v>
      </c>
      <c r="G324" s="8"/>
    </row>
    <row r="325" spans="1:7" x14ac:dyDescent="0.35">
      <c r="A325" s="7" t="s">
        <v>327</v>
      </c>
      <c r="B325" t="s">
        <v>327</v>
      </c>
      <c r="C325" s="8">
        <v>9540</v>
      </c>
      <c r="D325" s="2">
        <v>8.5399999618530273</v>
      </c>
      <c r="E325" s="9">
        <f t="shared" si="10"/>
        <v>81471.599636077881</v>
      </c>
      <c r="F325" s="1">
        <f t="shared" si="11"/>
        <v>1.1471569024629833E-3</v>
      </c>
      <c r="G325" s="8"/>
    </row>
    <row r="326" spans="1:7" x14ac:dyDescent="0.35">
      <c r="A326" s="7" t="s">
        <v>327</v>
      </c>
      <c r="B326" t="s">
        <v>328</v>
      </c>
      <c r="C326" s="8">
        <v>-6559</v>
      </c>
      <c r="D326" s="2">
        <v>5.8899998664855957</v>
      </c>
      <c r="E326" s="9">
        <f t="shared" si="10"/>
        <v>-38632.509124279022</v>
      </c>
      <c r="F326" s="1">
        <f t="shared" si="11"/>
        <v>5.4396316875256038E-4</v>
      </c>
      <c r="G326" s="8"/>
    </row>
    <row r="327" spans="1:7" x14ac:dyDescent="0.35">
      <c r="A327" s="7" t="s">
        <v>329</v>
      </c>
      <c r="B327" t="s">
        <v>329</v>
      </c>
      <c r="C327" s="8">
        <v>4005</v>
      </c>
      <c r="D327" s="2">
        <v>44.669998168945313</v>
      </c>
      <c r="E327" s="9">
        <f t="shared" si="10"/>
        <v>178903.34266662598</v>
      </c>
      <c r="F327" s="1">
        <f t="shared" si="11"/>
        <v>2.519039828976658E-3</v>
      </c>
      <c r="G327" s="8"/>
    </row>
    <row r="328" spans="1:7" x14ac:dyDescent="0.35">
      <c r="A328" s="7" t="s">
        <v>329</v>
      </c>
      <c r="B328" t="s">
        <v>330</v>
      </c>
      <c r="C328" s="8">
        <v>-11679</v>
      </c>
      <c r="D328" s="2">
        <v>5.7800002098083496</v>
      </c>
      <c r="E328" s="9">
        <f t="shared" si="10"/>
        <v>-67504.622450351715</v>
      </c>
      <c r="F328" s="1">
        <f t="shared" si="11"/>
        <v>9.5049555842753792E-4</v>
      </c>
      <c r="G328" s="8"/>
    </row>
    <row r="329" spans="1:7" x14ac:dyDescent="0.35">
      <c r="A329" s="7" t="s">
        <v>329</v>
      </c>
      <c r="B329" t="s">
        <v>331</v>
      </c>
      <c r="C329" s="8">
        <v>-943</v>
      </c>
      <c r="D329" s="2">
        <v>25.559999465942379</v>
      </c>
      <c r="E329" s="9">
        <f t="shared" si="10"/>
        <v>-24103.079496383663</v>
      </c>
      <c r="F329" s="1">
        <f t="shared" si="11"/>
        <v>3.3938224041751033E-4</v>
      </c>
      <c r="G329" s="8"/>
    </row>
    <row r="330" spans="1:7" x14ac:dyDescent="0.35">
      <c r="A330" s="7" t="s">
        <v>332</v>
      </c>
      <c r="B330" t="s">
        <v>332</v>
      </c>
      <c r="C330" s="8">
        <v>20801</v>
      </c>
      <c r="D330" s="2">
        <v>12.97999954223633</v>
      </c>
      <c r="E330" s="9">
        <f t="shared" si="10"/>
        <v>269996.97047805792</v>
      </c>
      <c r="F330" s="1">
        <f t="shared" si="11"/>
        <v>3.8016792319227029E-3</v>
      </c>
      <c r="G330" s="8"/>
    </row>
    <row r="331" spans="1:7" x14ac:dyDescent="0.35">
      <c r="A331" s="7" t="s">
        <v>332</v>
      </c>
      <c r="B331" t="s">
        <v>333</v>
      </c>
      <c r="C331" s="8">
        <v>-18765</v>
      </c>
      <c r="D331" s="2">
        <v>6.4800000190734863</v>
      </c>
      <c r="E331" s="9">
        <f t="shared" si="10"/>
        <v>-121597.20035791397</v>
      </c>
      <c r="F331" s="1">
        <f t="shared" si="11"/>
        <v>1.7121434749512989E-3</v>
      </c>
      <c r="G331" s="8"/>
    </row>
    <row r="332" spans="1:7" x14ac:dyDescent="0.35">
      <c r="A332" s="7" t="s">
        <v>332</v>
      </c>
      <c r="B332" t="s">
        <v>334</v>
      </c>
      <c r="C332" s="8">
        <v>-4417</v>
      </c>
      <c r="D332" s="2">
        <v>8.9113826751708984</v>
      </c>
      <c r="E332" s="9">
        <f t="shared" si="10"/>
        <v>-39361.577276229858</v>
      </c>
      <c r="F332" s="1">
        <f t="shared" si="11"/>
        <v>5.5422877746298476E-4</v>
      </c>
      <c r="G332" s="8"/>
    </row>
    <row r="333" spans="1:7" x14ac:dyDescent="0.35">
      <c r="A333" s="7" t="s">
        <v>335</v>
      </c>
      <c r="B333" t="s">
        <v>335</v>
      </c>
      <c r="C333" s="8">
        <v>1078</v>
      </c>
      <c r="D333" s="2">
        <v>127.0699996948242</v>
      </c>
      <c r="E333" s="9">
        <f t="shared" si="10"/>
        <v>136981.45967102048</v>
      </c>
      <c r="F333" s="1">
        <f t="shared" si="11"/>
        <v>1.9287607911589394E-3</v>
      </c>
      <c r="G333" s="8"/>
    </row>
    <row r="334" spans="1:7" x14ac:dyDescent="0.35">
      <c r="A334" s="7" t="s">
        <v>335</v>
      </c>
      <c r="B334" t="s">
        <v>336</v>
      </c>
      <c r="C334" s="8">
        <v>-2116</v>
      </c>
      <c r="D334" s="2">
        <v>11.329999923706049</v>
      </c>
      <c r="E334" s="9">
        <f t="shared" si="10"/>
        <v>-23974.279838562001</v>
      </c>
      <c r="F334" s="1">
        <f t="shared" si="11"/>
        <v>3.3756868308998779E-4</v>
      </c>
      <c r="G334" s="8"/>
    </row>
    <row r="335" spans="1:7" x14ac:dyDescent="0.35">
      <c r="A335" s="7" t="s">
        <v>335</v>
      </c>
      <c r="B335" t="s">
        <v>337</v>
      </c>
      <c r="C335" s="8">
        <v>-3174</v>
      </c>
      <c r="D335" s="2">
        <v>14.19400024414062</v>
      </c>
      <c r="E335" s="9">
        <f t="shared" si="10"/>
        <v>-45051.756774902329</v>
      </c>
      <c r="F335" s="1">
        <f t="shared" si="11"/>
        <v>6.3434907358228315E-4</v>
      </c>
      <c r="G335" s="8"/>
    </row>
    <row r="336" spans="1:7" x14ac:dyDescent="0.35">
      <c r="A336" s="7" t="s">
        <v>338</v>
      </c>
      <c r="B336" t="s">
        <v>338</v>
      </c>
      <c r="C336" s="8">
        <v>22582</v>
      </c>
      <c r="D336" s="2">
        <v>6.309999942779541</v>
      </c>
      <c r="E336" s="9">
        <f t="shared" si="10"/>
        <v>142492.4187078476</v>
      </c>
      <c r="F336" s="1">
        <f t="shared" si="11"/>
        <v>2.0063575822680643E-3</v>
      </c>
      <c r="G336" s="8"/>
    </row>
    <row r="337" spans="1:7" x14ac:dyDescent="0.35">
      <c r="A337" s="7" t="s">
        <v>338</v>
      </c>
      <c r="B337" t="s">
        <v>339</v>
      </c>
      <c r="C337" s="8">
        <v>-10555</v>
      </c>
      <c r="D337" s="2">
        <v>6.4800000190734863</v>
      </c>
      <c r="E337" s="9">
        <f t="shared" si="10"/>
        <v>-68396.400201320648</v>
      </c>
      <c r="F337" s="1">
        <f t="shared" si="11"/>
        <v>9.6305219174585459E-4</v>
      </c>
      <c r="G337" s="8"/>
    </row>
    <row r="338" spans="1:7" x14ac:dyDescent="0.35">
      <c r="A338" s="7" t="s">
        <v>340</v>
      </c>
      <c r="B338" t="s">
        <v>340</v>
      </c>
      <c r="C338" s="8">
        <v>3209</v>
      </c>
      <c r="D338" s="2">
        <v>51.909999847412109</v>
      </c>
      <c r="E338" s="9">
        <f t="shared" si="10"/>
        <v>166579.18951034546</v>
      </c>
      <c r="F338" s="1">
        <f t="shared" si="11"/>
        <v>2.345510188913256E-3</v>
      </c>
      <c r="G338" s="8"/>
    </row>
    <row r="339" spans="1:7" x14ac:dyDescent="0.35">
      <c r="A339" s="7" t="s">
        <v>340</v>
      </c>
      <c r="B339" t="s">
        <v>341</v>
      </c>
      <c r="C339" s="8">
        <v>-8153</v>
      </c>
      <c r="D339" s="2">
        <v>10.02999973297119</v>
      </c>
      <c r="E339" s="9">
        <f t="shared" si="10"/>
        <v>-81774.587822914109</v>
      </c>
      <c r="F339" s="1">
        <f t="shared" si="11"/>
        <v>1.1514231129148033E-3</v>
      </c>
      <c r="G339" s="8"/>
    </row>
    <row r="340" spans="1:7" x14ac:dyDescent="0.35">
      <c r="A340" s="7" t="s">
        <v>342</v>
      </c>
      <c r="B340" t="s">
        <v>342</v>
      </c>
      <c r="C340" s="8">
        <v>5126</v>
      </c>
      <c r="D340" s="2">
        <v>11.590000152587891</v>
      </c>
      <c r="E340" s="9">
        <f t="shared" si="10"/>
        <v>59410.340782165527</v>
      </c>
      <c r="F340" s="1">
        <f t="shared" si="11"/>
        <v>8.3652441845218463E-4</v>
      </c>
      <c r="G340" s="8"/>
    </row>
    <row r="341" spans="1:7" x14ac:dyDescent="0.35">
      <c r="A341" s="7" t="s">
        <v>342</v>
      </c>
      <c r="B341" t="s">
        <v>343</v>
      </c>
      <c r="C341" s="8">
        <v>-2447</v>
      </c>
      <c r="D341" s="2">
        <v>10.89000034332275</v>
      </c>
      <c r="E341" s="9">
        <f t="shared" si="10"/>
        <v>-26647.830840110772</v>
      </c>
      <c r="F341" s="1">
        <f t="shared" si="11"/>
        <v>3.7521348814123598E-4</v>
      </c>
      <c r="G341" s="8"/>
    </row>
    <row r="342" spans="1:7" x14ac:dyDescent="0.35">
      <c r="A342" s="7" t="s">
        <v>344</v>
      </c>
      <c r="B342" t="s">
        <v>344</v>
      </c>
      <c r="C342" s="8">
        <v>1177</v>
      </c>
      <c r="D342" s="2">
        <v>124.129997253418</v>
      </c>
      <c r="E342" s="9">
        <f t="shared" si="10"/>
        <v>146101.00676727298</v>
      </c>
      <c r="F342" s="1">
        <f t="shared" si="11"/>
        <v>2.0571681312078964E-3</v>
      </c>
      <c r="G342" s="8"/>
    </row>
    <row r="343" spans="1:7" x14ac:dyDescent="0.35">
      <c r="A343" s="7" t="s">
        <v>344</v>
      </c>
      <c r="B343" t="s">
        <v>345</v>
      </c>
      <c r="C343" s="8">
        <v>-5113</v>
      </c>
      <c r="D343" s="2">
        <v>12.689999580383301</v>
      </c>
      <c r="E343" s="9">
        <f t="shared" si="10"/>
        <v>-64883.967854499817</v>
      </c>
      <c r="F343" s="1">
        <f t="shared" si="11"/>
        <v>9.1359555864808635E-4</v>
      </c>
      <c r="G343" s="8"/>
    </row>
    <row r="344" spans="1:7" x14ac:dyDescent="0.35">
      <c r="A344" s="7" t="s">
        <v>344</v>
      </c>
      <c r="B344" t="s">
        <v>346</v>
      </c>
      <c r="C344" s="8">
        <v>-1424</v>
      </c>
      <c r="D344" s="2">
        <v>17.324031829833981</v>
      </c>
      <c r="E344" s="9">
        <f t="shared" si="10"/>
        <v>-24669.42132568359</v>
      </c>
      <c r="F344" s="1">
        <f t="shared" si="11"/>
        <v>3.4735658904374287E-4</v>
      </c>
      <c r="G344" s="8"/>
    </row>
    <row r="345" spans="1:7" x14ac:dyDescent="0.35">
      <c r="A345" s="7" t="s">
        <v>347</v>
      </c>
      <c r="B345" t="s">
        <v>347</v>
      </c>
      <c r="C345" s="8">
        <v>4257</v>
      </c>
      <c r="D345" s="2">
        <v>7.7100000381469727</v>
      </c>
      <c r="E345" s="9">
        <f t="shared" si="10"/>
        <v>32821.470162391663</v>
      </c>
      <c r="F345" s="1">
        <f t="shared" si="11"/>
        <v>4.6214111683032895E-4</v>
      </c>
      <c r="G345" s="8"/>
    </row>
    <row r="346" spans="1:7" x14ac:dyDescent="0.35">
      <c r="A346" s="7" t="s">
        <v>347</v>
      </c>
      <c r="B346" t="s">
        <v>348</v>
      </c>
      <c r="C346" s="8">
        <v>-2180</v>
      </c>
      <c r="D346" s="2">
        <v>6.940000057220459</v>
      </c>
      <c r="E346" s="9">
        <f t="shared" si="10"/>
        <v>-15129.200124740601</v>
      </c>
      <c r="F346" s="1">
        <f t="shared" si="11"/>
        <v>2.13025967691378E-4</v>
      </c>
      <c r="G346" s="8"/>
    </row>
    <row r="347" spans="1:7" x14ac:dyDescent="0.35">
      <c r="A347" s="7" t="s">
        <v>349</v>
      </c>
      <c r="B347" t="s">
        <v>349</v>
      </c>
      <c r="C347" s="8">
        <v>19831</v>
      </c>
      <c r="D347" s="2">
        <v>12.89999961853027</v>
      </c>
      <c r="E347" s="9">
        <f t="shared" si="10"/>
        <v>255819.89243507379</v>
      </c>
      <c r="F347" s="1">
        <f t="shared" si="11"/>
        <v>3.6020595729690102E-3</v>
      </c>
      <c r="G347" s="8"/>
    </row>
    <row r="348" spans="1:7" x14ac:dyDescent="0.35">
      <c r="A348" s="7" t="s">
        <v>349</v>
      </c>
      <c r="B348" t="s">
        <v>350</v>
      </c>
      <c r="C348" s="8">
        <v>-10069</v>
      </c>
      <c r="D348" s="2">
        <v>12.260000228881839</v>
      </c>
      <c r="E348" s="9">
        <f t="shared" si="10"/>
        <v>-123445.94230461124</v>
      </c>
      <c r="F348" s="1">
        <f t="shared" si="11"/>
        <v>1.7381745961579517E-3</v>
      </c>
      <c r="G348" s="8"/>
    </row>
    <row r="349" spans="1:7" x14ac:dyDescent="0.35">
      <c r="A349" s="7" t="s">
        <v>351</v>
      </c>
      <c r="B349" t="s">
        <v>351</v>
      </c>
      <c r="C349" s="8">
        <v>8326</v>
      </c>
      <c r="D349" s="2">
        <v>14.489999771118161</v>
      </c>
      <c r="E349" s="9">
        <f t="shared" si="10"/>
        <v>120643.7380943298</v>
      </c>
      <c r="F349" s="1">
        <f t="shared" si="11"/>
        <v>1.6987182958484671E-3</v>
      </c>
      <c r="G349" s="8"/>
    </row>
    <row r="350" spans="1:7" x14ac:dyDescent="0.35">
      <c r="A350" s="7" t="s">
        <v>351</v>
      </c>
      <c r="B350" t="s">
        <v>352</v>
      </c>
      <c r="C350" s="8">
        <v>-2250</v>
      </c>
      <c r="D350" s="2">
        <v>26.52499961853027</v>
      </c>
      <c r="E350" s="9">
        <f t="shared" si="10"/>
        <v>-59681.249141693108</v>
      </c>
      <c r="F350" s="1">
        <f t="shared" si="11"/>
        <v>8.4033893045336262E-4</v>
      </c>
      <c r="G350" s="8"/>
    </row>
    <row r="351" spans="1:7" x14ac:dyDescent="0.35">
      <c r="A351" s="7" t="s">
        <v>353</v>
      </c>
      <c r="B351" t="s">
        <v>353</v>
      </c>
      <c r="C351" s="8">
        <v>1096</v>
      </c>
      <c r="D351" s="2">
        <v>13.489999771118161</v>
      </c>
      <c r="E351" s="9">
        <f t="shared" si="10"/>
        <v>14785.039749145504</v>
      </c>
      <c r="F351" s="1">
        <f t="shared" si="11"/>
        <v>2.0818003423503603E-4</v>
      </c>
      <c r="G351" s="8"/>
    </row>
    <row r="352" spans="1:7" x14ac:dyDescent="0.35">
      <c r="A352" s="7" t="s">
        <v>353</v>
      </c>
      <c r="B352" t="s">
        <v>354</v>
      </c>
      <c r="C352" s="8">
        <v>-637</v>
      </c>
      <c r="D352" s="2">
        <v>11.628000259399411</v>
      </c>
      <c r="E352" s="9">
        <f t="shared" si="10"/>
        <v>-7407.0361652374249</v>
      </c>
      <c r="F352" s="1">
        <f t="shared" si="11"/>
        <v>1.0429441304331944E-4</v>
      </c>
      <c r="G352" s="8"/>
    </row>
    <row r="353" spans="1:7" x14ac:dyDescent="0.35">
      <c r="A353" s="7" t="s">
        <v>355</v>
      </c>
      <c r="B353" t="s">
        <v>355</v>
      </c>
      <c r="C353" s="8">
        <v>253</v>
      </c>
      <c r="D353" s="2">
        <v>187.1499938964844</v>
      </c>
      <c r="E353" s="9">
        <f t="shared" si="10"/>
        <v>47348.948455810554</v>
      </c>
      <c r="F353" s="1">
        <f t="shared" si="11"/>
        <v>6.666945694950387E-4</v>
      </c>
      <c r="G353" s="8"/>
    </row>
    <row r="354" spans="1:7" x14ac:dyDescent="0.35">
      <c r="A354" s="7" t="s">
        <v>355</v>
      </c>
      <c r="B354" t="s">
        <v>356</v>
      </c>
      <c r="C354" s="8">
        <v>-1016</v>
      </c>
      <c r="D354" s="2">
        <v>22.666000366210941</v>
      </c>
      <c r="E354" s="9">
        <f t="shared" si="10"/>
        <v>-23028.656372070316</v>
      </c>
      <c r="F354" s="1">
        <f t="shared" si="11"/>
        <v>3.2425387778896927E-4</v>
      </c>
      <c r="G354" s="8"/>
    </row>
    <row r="355" spans="1:7" x14ac:dyDescent="0.35">
      <c r="A355" s="7" t="s">
        <v>357</v>
      </c>
      <c r="B355" t="s">
        <v>357</v>
      </c>
      <c r="C355" s="8">
        <v>971</v>
      </c>
      <c r="D355" s="2">
        <v>112.23000335693359</v>
      </c>
      <c r="E355" s="9">
        <f t="shared" si="10"/>
        <v>108975.33325958252</v>
      </c>
      <c r="F355" s="1">
        <f t="shared" si="11"/>
        <v>1.5344218881836625E-3</v>
      </c>
      <c r="G355" s="8"/>
    </row>
    <row r="356" spans="1:7" x14ac:dyDescent="0.35">
      <c r="A356" s="7" t="s">
        <v>357</v>
      </c>
      <c r="B356" t="s">
        <v>358</v>
      </c>
      <c r="C356" s="8">
        <v>-3450</v>
      </c>
      <c r="D356" s="2">
        <v>15.35200023651123</v>
      </c>
      <c r="E356" s="9">
        <f t="shared" si="10"/>
        <v>-52964.400815963745</v>
      </c>
      <c r="F356" s="1">
        <f t="shared" si="11"/>
        <v>7.4576267376912217E-4</v>
      </c>
      <c r="G356" s="8"/>
    </row>
    <row r="357" spans="1:7" x14ac:dyDescent="0.35">
      <c r="A357" s="7" t="s">
        <v>359</v>
      </c>
      <c r="B357" t="s">
        <v>359</v>
      </c>
      <c r="C357" s="8">
        <v>6643</v>
      </c>
      <c r="D357" s="2">
        <v>6.0100002288818359</v>
      </c>
      <c r="E357" s="9">
        <f t="shared" si="10"/>
        <v>39924.431520462036</v>
      </c>
      <c r="F357" s="1">
        <f t="shared" si="11"/>
        <v>5.6215401931702599E-4</v>
      </c>
      <c r="G357" s="8"/>
    </row>
    <row r="358" spans="1:7" x14ac:dyDescent="0.35">
      <c r="A358" s="7" t="s">
        <v>359</v>
      </c>
      <c r="B358" t="s">
        <v>360</v>
      </c>
      <c r="C358" s="8">
        <v>-7112</v>
      </c>
      <c r="D358" s="2">
        <v>2.7320001125335689</v>
      </c>
      <c r="E358" s="9">
        <f t="shared" si="10"/>
        <v>-19429.984800338741</v>
      </c>
      <c r="F358" s="1">
        <f t="shared" si="11"/>
        <v>2.735829574725712E-4</v>
      </c>
      <c r="G358" s="8"/>
    </row>
    <row r="359" spans="1:7" x14ac:dyDescent="0.35">
      <c r="A359" s="7" t="s">
        <v>361</v>
      </c>
      <c r="B359" t="s">
        <v>361</v>
      </c>
      <c r="C359" s="8">
        <v>32</v>
      </c>
      <c r="D359" s="2">
        <v>86.720001220703125</v>
      </c>
      <c r="E359" s="9">
        <f t="shared" si="10"/>
        <v>2775.0400390625</v>
      </c>
      <c r="F359" s="1">
        <f t="shared" si="11"/>
        <v>3.9073816515712468E-5</v>
      </c>
      <c r="G359" s="8"/>
    </row>
    <row r="360" spans="1:7" x14ac:dyDescent="0.35">
      <c r="A360" s="7" t="s">
        <v>361</v>
      </c>
      <c r="B360" t="s">
        <v>362</v>
      </c>
      <c r="C360" s="8">
        <v>-92</v>
      </c>
      <c r="D360" s="2">
        <v>14.73299980163574</v>
      </c>
      <c r="E360" s="9">
        <f t="shared" si="10"/>
        <v>-1355.4359817504881</v>
      </c>
      <c r="F360" s="1">
        <f t="shared" si="11"/>
        <v>1.9085150521866162E-5</v>
      </c>
      <c r="G360" s="8"/>
    </row>
    <row r="361" spans="1:7" x14ac:dyDescent="0.35">
      <c r="A361" s="7" t="s">
        <v>363</v>
      </c>
      <c r="B361" t="s">
        <v>363</v>
      </c>
      <c r="C361" s="8">
        <v>851</v>
      </c>
      <c r="D361" s="2">
        <v>111.76999664306641</v>
      </c>
      <c r="E361" s="9">
        <f t="shared" si="10"/>
        <v>95116.267143249512</v>
      </c>
      <c r="F361" s="1">
        <f t="shared" si="11"/>
        <v>1.3392799807207096E-3</v>
      </c>
      <c r="G361" s="8"/>
    </row>
    <row r="362" spans="1:7" x14ac:dyDescent="0.35">
      <c r="A362" s="7" t="s">
        <v>363</v>
      </c>
      <c r="B362" t="s">
        <v>364</v>
      </c>
      <c r="C362" s="8">
        <v>-3851</v>
      </c>
      <c r="D362" s="2">
        <v>12.30000019073486</v>
      </c>
      <c r="E362" s="9">
        <f t="shared" si="10"/>
        <v>-47367.300734519944</v>
      </c>
      <c r="F362" s="1">
        <f t="shared" si="11"/>
        <v>6.6695297786423051E-4</v>
      </c>
      <c r="G362" s="8"/>
    </row>
    <row r="363" spans="1:7" x14ac:dyDescent="0.35">
      <c r="A363" s="7" t="s">
        <v>365</v>
      </c>
      <c r="B363" t="s">
        <v>365</v>
      </c>
      <c r="C363" s="8">
        <v>11648</v>
      </c>
      <c r="D363" s="2">
        <v>21.059999465942379</v>
      </c>
      <c r="E363" s="9">
        <f t="shared" si="10"/>
        <v>245306.87377929685</v>
      </c>
      <c r="F363" s="1">
        <f t="shared" si="11"/>
        <v>3.4540315242923263E-3</v>
      </c>
      <c r="G363" s="8"/>
    </row>
    <row r="364" spans="1:7" x14ac:dyDescent="0.35">
      <c r="A364" s="7" t="s">
        <v>365</v>
      </c>
      <c r="B364" t="s">
        <v>366</v>
      </c>
      <c r="C364" s="8">
        <v>-76551</v>
      </c>
      <c r="D364" s="2">
        <v>1.470000028610229</v>
      </c>
      <c r="E364" s="9">
        <f t="shared" si="10"/>
        <v>-112529.97219014165</v>
      </c>
      <c r="F364" s="1">
        <f t="shared" si="11"/>
        <v>1.5844728090342311E-3</v>
      </c>
      <c r="G364" s="8"/>
    </row>
    <row r="365" spans="1:7" x14ac:dyDescent="0.35">
      <c r="A365" s="7" t="s">
        <v>365</v>
      </c>
      <c r="B365" t="s">
        <v>367</v>
      </c>
      <c r="C365" s="8">
        <v>-13742</v>
      </c>
      <c r="D365" s="2">
        <v>8.1695423126220703</v>
      </c>
      <c r="E365" s="9">
        <f t="shared" si="10"/>
        <v>-112265.85046005249</v>
      </c>
      <c r="F365" s="1">
        <f t="shared" si="11"/>
        <v>1.5807538558393062E-3</v>
      </c>
      <c r="G365" s="8"/>
    </row>
    <row r="366" spans="1:7" x14ac:dyDescent="0.35">
      <c r="A366" s="7" t="s">
        <v>368</v>
      </c>
      <c r="B366" t="s">
        <v>368</v>
      </c>
      <c r="C366" s="8">
        <v>-5465</v>
      </c>
      <c r="D366" s="2">
        <v>10.25</v>
      </c>
      <c r="E366" s="9">
        <f t="shared" si="10"/>
        <v>-56016.25</v>
      </c>
      <c r="F366" s="1">
        <f t="shared" si="11"/>
        <v>7.887340880089489E-4</v>
      </c>
      <c r="G366" s="8"/>
    </row>
    <row r="367" spans="1:7" x14ac:dyDescent="0.35">
      <c r="A367" s="7" t="s">
        <v>368</v>
      </c>
      <c r="B367" t="s">
        <v>369</v>
      </c>
      <c r="C367" s="8">
        <v>-5088</v>
      </c>
      <c r="D367" s="2">
        <v>12.409999847412109</v>
      </c>
      <c r="E367" s="9">
        <f t="shared" si="10"/>
        <v>-63142.079223632813</v>
      </c>
      <c r="F367" s="1">
        <f t="shared" si="11"/>
        <v>8.8906898036624773E-4</v>
      </c>
      <c r="G367" s="8"/>
    </row>
    <row r="368" spans="1:7" x14ac:dyDescent="0.35">
      <c r="A368" s="7" t="s">
        <v>368</v>
      </c>
      <c r="B368" t="s">
        <v>370</v>
      </c>
      <c r="C368" s="8">
        <v>-1689</v>
      </c>
      <c r="D368" s="2">
        <v>55.139999389648438</v>
      </c>
      <c r="E368" s="9">
        <f t="shared" si="10"/>
        <v>-93131.458969116211</v>
      </c>
      <c r="F368" s="1">
        <f t="shared" si="11"/>
        <v>1.3113329856059397E-3</v>
      </c>
      <c r="G368" s="8"/>
    </row>
    <row r="369" spans="1:7" x14ac:dyDescent="0.35">
      <c r="A369" s="7" t="s">
        <v>371</v>
      </c>
      <c r="B369" t="s">
        <v>371</v>
      </c>
      <c r="C369" s="8">
        <v>9826</v>
      </c>
      <c r="D369" s="2">
        <v>4.0199999809265137</v>
      </c>
      <c r="E369" s="9">
        <f t="shared" si="10"/>
        <v>39500.519812583923</v>
      </c>
      <c r="F369" s="1">
        <f t="shared" si="11"/>
        <v>5.5618515109915061E-4</v>
      </c>
      <c r="G369" s="8"/>
    </row>
    <row r="370" spans="1:7" x14ac:dyDescent="0.35">
      <c r="A370" s="7" t="s">
        <v>371</v>
      </c>
      <c r="B370" t="s">
        <v>372</v>
      </c>
      <c r="C370" s="8">
        <v>-5303</v>
      </c>
      <c r="D370" s="2">
        <v>3.845000028610229</v>
      </c>
      <c r="E370" s="9">
        <f t="shared" si="10"/>
        <v>-20390.035151720043</v>
      </c>
      <c r="F370" s="1">
        <f t="shared" si="11"/>
        <v>2.8710089982571696E-4</v>
      </c>
      <c r="G370" s="8"/>
    </row>
    <row r="371" spans="1:7" x14ac:dyDescent="0.35">
      <c r="A371" s="7" t="s">
        <v>373</v>
      </c>
      <c r="B371" t="s">
        <v>373</v>
      </c>
      <c r="C371" s="8">
        <v>524</v>
      </c>
      <c r="D371" s="2">
        <v>572.5</v>
      </c>
      <c r="E371" s="9">
        <f t="shared" si="10"/>
        <v>299990</v>
      </c>
      <c r="F371" s="1">
        <f t="shared" si="11"/>
        <v>4.2239946276625903E-3</v>
      </c>
      <c r="G371" s="8"/>
    </row>
    <row r="372" spans="1:7" x14ac:dyDescent="0.35">
      <c r="A372" s="7" t="s">
        <v>373</v>
      </c>
      <c r="B372" t="s">
        <v>374</v>
      </c>
      <c r="C372" s="8">
        <v>-3278</v>
      </c>
      <c r="D372" s="2">
        <v>18.129999160766602</v>
      </c>
      <c r="E372" s="9">
        <f t="shared" si="10"/>
        <v>-59430.13724899292</v>
      </c>
      <c r="F372" s="1">
        <f t="shared" si="11"/>
        <v>8.3680316164204296E-4</v>
      </c>
      <c r="G372" s="8"/>
    </row>
    <row r="373" spans="1:7" x14ac:dyDescent="0.35">
      <c r="A373" s="7" t="s">
        <v>373</v>
      </c>
      <c r="B373" t="s">
        <v>375</v>
      </c>
      <c r="C373" s="8">
        <v>-2654</v>
      </c>
      <c r="D373" s="2">
        <v>29.920000076293949</v>
      </c>
      <c r="E373" s="9">
        <f t="shared" si="10"/>
        <v>-79407.680202484145</v>
      </c>
      <c r="F373" s="1">
        <f t="shared" si="11"/>
        <v>1.1180959851009769E-3</v>
      </c>
      <c r="G373" s="8"/>
    </row>
    <row r="374" spans="1:7" x14ac:dyDescent="0.35">
      <c r="A374" s="7" t="s">
        <v>376</v>
      </c>
      <c r="B374" t="s">
        <v>376</v>
      </c>
      <c r="C374" s="8">
        <v>410</v>
      </c>
      <c r="D374" s="2">
        <v>153.66999816894531</v>
      </c>
      <c r="E374" s="9">
        <f t="shared" si="10"/>
        <v>63004.699249267578</v>
      </c>
      <c r="F374" s="1">
        <f t="shared" si="11"/>
        <v>8.8713460830828854E-4</v>
      </c>
      <c r="G374" s="8"/>
    </row>
    <row r="375" spans="1:7" x14ac:dyDescent="0.35">
      <c r="A375" s="7" t="s">
        <v>376</v>
      </c>
      <c r="B375" t="s">
        <v>377</v>
      </c>
      <c r="C375" s="8">
        <v>-1725</v>
      </c>
      <c r="D375" s="2">
        <v>18.180000305175781</v>
      </c>
      <c r="E375" s="9">
        <f t="shared" si="10"/>
        <v>-31360.500526428223</v>
      </c>
      <c r="F375" s="1">
        <f t="shared" si="11"/>
        <v>4.4157000481496929E-4</v>
      </c>
      <c r="G375" s="8"/>
    </row>
    <row r="376" spans="1:7" x14ac:dyDescent="0.35">
      <c r="A376" s="7" t="s">
        <v>378</v>
      </c>
      <c r="B376" t="s">
        <v>378</v>
      </c>
      <c r="C376" s="8">
        <v>48</v>
      </c>
      <c r="D376" s="2">
        <v>383.1400146484375</v>
      </c>
      <c r="E376" s="9">
        <f t="shared" si="10"/>
        <v>18390.720703125</v>
      </c>
      <c r="F376" s="1">
        <f t="shared" si="11"/>
        <v>2.5894964981780451E-4</v>
      </c>
      <c r="G376" s="8"/>
    </row>
    <row r="377" spans="1:7" x14ac:dyDescent="0.35">
      <c r="A377" s="7" t="s">
        <v>378</v>
      </c>
      <c r="B377" t="s">
        <v>379</v>
      </c>
      <c r="C377" s="8">
        <v>-558</v>
      </c>
      <c r="D377" s="2">
        <v>20.940000534057621</v>
      </c>
      <c r="E377" s="9">
        <f t="shared" si="10"/>
        <v>-11684.520298004152</v>
      </c>
      <c r="F377" s="1">
        <f t="shared" si="11"/>
        <v>1.6452332066263549E-4</v>
      </c>
      <c r="G377" s="8"/>
    </row>
    <row r="378" spans="1:7" x14ac:dyDescent="0.35">
      <c r="A378" s="7" t="s">
        <v>380</v>
      </c>
      <c r="B378" t="s">
        <v>380</v>
      </c>
      <c r="C378" s="8">
        <v>14003</v>
      </c>
      <c r="D378" s="2">
        <v>14.202638626098629</v>
      </c>
      <c r="E378" s="9">
        <f t="shared" si="10"/>
        <v>198879.5486812591</v>
      </c>
      <c r="F378" s="1">
        <f t="shared" si="11"/>
        <v>2.8003138277329209E-3</v>
      </c>
      <c r="G378" s="8"/>
    </row>
    <row r="379" spans="1:7" x14ac:dyDescent="0.35">
      <c r="A379" s="7" t="s">
        <v>380</v>
      </c>
      <c r="B379" t="s">
        <v>381</v>
      </c>
      <c r="C379" s="8">
        <v>-2178</v>
      </c>
      <c r="D379" s="2">
        <v>44.967761993408203</v>
      </c>
      <c r="E379" s="9">
        <f t="shared" si="10"/>
        <v>-97939.785621643066</v>
      </c>
      <c r="F379" s="1">
        <f t="shared" si="11"/>
        <v>1.3790363955473385E-3</v>
      </c>
      <c r="G379" s="8"/>
    </row>
    <row r="380" spans="1:7" x14ac:dyDescent="0.35">
      <c r="A380" s="7" t="s">
        <v>382</v>
      </c>
      <c r="B380" t="s">
        <v>382</v>
      </c>
      <c r="C380" s="8">
        <v>12071</v>
      </c>
      <c r="D380" s="2">
        <v>15.14999961853027</v>
      </c>
      <c r="E380" s="9">
        <f t="shared" si="10"/>
        <v>182875.6453952789</v>
      </c>
      <c r="F380" s="1">
        <f t="shared" si="11"/>
        <v>2.5749716446547785E-3</v>
      </c>
      <c r="G380" s="8"/>
    </row>
    <row r="381" spans="1:7" x14ac:dyDescent="0.35">
      <c r="A381" s="7" t="s">
        <v>382</v>
      </c>
      <c r="B381" t="s">
        <v>383</v>
      </c>
      <c r="C381" s="8">
        <v>-7503</v>
      </c>
      <c r="D381" s="2">
        <v>12.180000305175779</v>
      </c>
      <c r="E381" s="9">
        <f t="shared" si="10"/>
        <v>-91386.542289733872</v>
      </c>
      <c r="F381" s="1">
        <f t="shared" si="11"/>
        <v>1.2867637710340211E-3</v>
      </c>
      <c r="G381" s="8"/>
    </row>
    <row r="382" spans="1:7" x14ac:dyDescent="0.35">
      <c r="A382" s="7" t="s">
        <v>384</v>
      </c>
      <c r="B382" t="s">
        <v>384</v>
      </c>
      <c r="C382" s="8">
        <v>300</v>
      </c>
      <c r="D382" s="2">
        <v>309.79000854492188</v>
      </c>
      <c r="E382" s="9">
        <f t="shared" si="10"/>
        <v>92937.002563476563</v>
      </c>
      <c r="F382" s="1">
        <f t="shared" si="11"/>
        <v>1.3085949516290188E-3</v>
      </c>
      <c r="G382" s="8"/>
    </row>
    <row r="383" spans="1:7" x14ac:dyDescent="0.35">
      <c r="A383" s="7" t="s">
        <v>384</v>
      </c>
      <c r="B383" t="s">
        <v>385</v>
      </c>
      <c r="C383" s="8">
        <v>-3514</v>
      </c>
      <c r="D383" s="2">
        <v>40.619998931884773</v>
      </c>
      <c r="E383" s="9">
        <f t="shared" si="10"/>
        <v>-142738.6762466431</v>
      </c>
      <c r="F383" s="1">
        <f t="shared" si="11"/>
        <v>2.0098249995849533E-3</v>
      </c>
      <c r="G383" s="8"/>
    </row>
    <row r="384" spans="1:7" x14ac:dyDescent="0.35">
      <c r="A384" s="7" t="s">
        <v>384</v>
      </c>
      <c r="B384" t="s">
        <v>386</v>
      </c>
      <c r="C384" s="8">
        <v>-3013</v>
      </c>
      <c r="D384" s="2">
        <v>48.740001678466797</v>
      </c>
      <c r="E384" s="9">
        <f t="shared" si="10"/>
        <v>-146853.62505722046</v>
      </c>
      <c r="F384" s="1">
        <f t="shared" si="11"/>
        <v>2.0677653364928016E-3</v>
      </c>
      <c r="G384" s="8"/>
    </row>
    <row r="385" spans="1:7" x14ac:dyDescent="0.35">
      <c r="A385" s="7" t="s">
        <v>387</v>
      </c>
      <c r="B385" t="s">
        <v>387</v>
      </c>
      <c r="C385" s="8">
        <v>1690</v>
      </c>
      <c r="D385" s="2">
        <v>111.36000061035161</v>
      </c>
      <c r="E385" s="9">
        <f t="shared" si="10"/>
        <v>188198.4010314942</v>
      </c>
      <c r="F385" s="1">
        <f t="shared" si="11"/>
        <v>2.6499184469206344E-3</v>
      </c>
      <c r="G385" s="8"/>
    </row>
    <row r="386" spans="1:7" x14ac:dyDescent="0.35">
      <c r="A386" s="7" t="s">
        <v>387</v>
      </c>
      <c r="B386" t="s">
        <v>388</v>
      </c>
      <c r="C386" s="8">
        <v>-1132</v>
      </c>
      <c r="D386" s="2">
        <v>53.169998168945313</v>
      </c>
      <c r="E386" s="9">
        <f t="shared" si="10"/>
        <v>-60188.437927246094</v>
      </c>
      <c r="F386" s="1">
        <f t="shared" si="11"/>
        <v>8.4748037751955323E-4</v>
      </c>
      <c r="G386" s="8"/>
    </row>
    <row r="387" spans="1:7" x14ac:dyDescent="0.35">
      <c r="A387" s="7" t="s">
        <v>389</v>
      </c>
      <c r="B387" t="s">
        <v>389</v>
      </c>
      <c r="C387" s="8">
        <v>37</v>
      </c>
      <c r="D387" s="2">
        <v>475</v>
      </c>
      <c r="E387" s="9">
        <f t="shared" ref="E387:E450" si="12">C387*D387</f>
        <v>17575</v>
      </c>
      <c r="F387" s="1">
        <f t="shared" ref="F387:F450" si="13">IF($E$459=0,"",ABS(E387)/$E$459)</f>
        <v>2.47463934068369E-4</v>
      </c>
      <c r="G387" s="8"/>
    </row>
    <row r="388" spans="1:7" x14ac:dyDescent="0.35">
      <c r="A388" s="7" t="s">
        <v>389</v>
      </c>
      <c r="B388" t="s">
        <v>390</v>
      </c>
      <c r="C388" s="8">
        <v>-1209</v>
      </c>
      <c r="D388" s="2">
        <v>7.3260002136230469</v>
      </c>
      <c r="E388" s="9">
        <f t="shared" si="12"/>
        <v>-8857.1342582702637</v>
      </c>
      <c r="F388" s="1">
        <f t="shared" si="13"/>
        <v>1.2471244882636046E-4</v>
      </c>
      <c r="G388" s="8"/>
    </row>
    <row r="389" spans="1:7" x14ac:dyDescent="0.35">
      <c r="A389" s="7" t="s">
        <v>391</v>
      </c>
      <c r="B389" t="s">
        <v>391</v>
      </c>
      <c r="C389" s="8">
        <v>1554</v>
      </c>
      <c r="D389" s="2">
        <v>20.479999542236332</v>
      </c>
      <c r="E389" s="9">
        <f t="shared" si="12"/>
        <v>31825.919288635261</v>
      </c>
      <c r="F389" s="1">
        <f t="shared" si="13"/>
        <v>4.4812331109576501E-4</v>
      </c>
      <c r="G389" s="8"/>
    </row>
    <row r="390" spans="1:7" x14ac:dyDescent="0.35">
      <c r="A390" s="7" t="s">
        <v>391</v>
      </c>
      <c r="B390" t="s">
        <v>392</v>
      </c>
      <c r="C390" s="8">
        <v>-1514</v>
      </c>
      <c r="D390" s="2">
        <v>10.85999965667725</v>
      </c>
      <c r="E390" s="9">
        <f t="shared" si="12"/>
        <v>-16442.039480209354</v>
      </c>
      <c r="F390" s="1">
        <f t="shared" si="13"/>
        <v>2.3151133848535124E-4</v>
      </c>
      <c r="G390" s="8"/>
    </row>
    <row r="391" spans="1:7" x14ac:dyDescent="0.35">
      <c r="A391" s="7" t="s">
        <v>393</v>
      </c>
      <c r="B391" t="s">
        <v>393</v>
      </c>
      <c r="C391" s="8">
        <v>3186</v>
      </c>
      <c r="D391" s="2">
        <v>42.369998931884773</v>
      </c>
      <c r="E391" s="9">
        <f t="shared" si="12"/>
        <v>134990.81659698489</v>
      </c>
      <c r="F391" s="1">
        <f t="shared" si="13"/>
        <v>1.9007316380194347E-3</v>
      </c>
      <c r="G391" s="8"/>
    </row>
    <row r="392" spans="1:7" x14ac:dyDescent="0.35">
      <c r="A392" s="7" t="s">
        <v>393</v>
      </c>
      <c r="B392" t="s">
        <v>394</v>
      </c>
      <c r="C392" s="8">
        <v>-4297</v>
      </c>
      <c r="D392" s="2">
        <v>15.61999988555908</v>
      </c>
      <c r="E392" s="9">
        <f t="shared" si="12"/>
        <v>-67119.139508247361</v>
      </c>
      <c r="F392" s="1">
        <f t="shared" si="13"/>
        <v>9.450677845800619E-4</v>
      </c>
      <c r="G392" s="8"/>
    </row>
    <row r="393" spans="1:7" x14ac:dyDescent="0.35">
      <c r="A393" s="7" t="s">
        <v>395</v>
      </c>
      <c r="B393" t="s">
        <v>395</v>
      </c>
      <c r="C393" s="8">
        <v>194</v>
      </c>
      <c r="D393" s="2">
        <v>276.35000610351563</v>
      </c>
      <c r="E393" s="9">
        <f t="shared" si="12"/>
        <v>53611.901184082031</v>
      </c>
      <c r="F393" s="1">
        <f t="shared" si="13"/>
        <v>7.5487977126017581E-4</v>
      </c>
      <c r="G393" s="8"/>
    </row>
    <row r="394" spans="1:7" x14ac:dyDescent="0.35">
      <c r="A394" s="7" t="s">
        <v>395</v>
      </c>
      <c r="B394" t="s">
        <v>396</v>
      </c>
      <c r="C394" s="8">
        <v>-755</v>
      </c>
      <c r="D394" s="2">
        <v>33.115001678466797</v>
      </c>
      <c r="E394" s="9">
        <f t="shared" si="12"/>
        <v>-25001.826267242432</v>
      </c>
      <c r="F394" s="1">
        <f t="shared" si="13"/>
        <v>3.5203700068197426E-4</v>
      </c>
      <c r="G394" s="8"/>
    </row>
    <row r="395" spans="1:7" x14ac:dyDescent="0.35">
      <c r="A395" s="7" t="s">
        <v>397</v>
      </c>
      <c r="B395" t="s">
        <v>397</v>
      </c>
      <c r="C395" s="8">
        <v>5593</v>
      </c>
      <c r="D395" s="2">
        <v>355.27999877929688</v>
      </c>
      <c r="E395" s="9">
        <f t="shared" si="12"/>
        <v>1987081.0331726074</v>
      </c>
      <c r="F395" s="1">
        <f t="shared" si="13"/>
        <v>2.7978997996104281E-2</v>
      </c>
      <c r="G395" s="8"/>
    </row>
    <row r="396" spans="1:7" x14ac:dyDescent="0.35">
      <c r="A396" s="7" t="s">
        <v>397</v>
      </c>
      <c r="B396" t="s">
        <v>398</v>
      </c>
      <c r="C396" s="8">
        <v>-35854</v>
      </c>
      <c r="D396" s="2">
        <v>5.4829998016357422</v>
      </c>
      <c r="E396" s="9">
        <f t="shared" si="12"/>
        <v>-196587.4748878479</v>
      </c>
      <c r="F396" s="1">
        <f t="shared" si="13"/>
        <v>2.7680403939865459E-3</v>
      </c>
      <c r="G396" s="8"/>
    </row>
    <row r="397" spans="1:7" x14ac:dyDescent="0.35">
      <c r="A397" s="7" t="s">
        <v>397</v>
      </c>
      <c r="B397" t="s">
        <v>399</v>
      </c>
      <c r="C397" s="8">
        <v>-2206</v>
      </c>
      <c r="D397" s="2">
        <v>20.746000289916989</v>
      </c>
      <c r="E397" s="9">
        <f t="shared" si="12"/>
        <v>-45765.676639556877</v>
      </c>
      <c r="F397" s="1">
        <f t="shared" si="13"/>
        <v>6.4440138756902414E-4</v>
      </c>
      <c r="G397" s="8"/>
    </row>
    <row r="398" spans="1:7" x14ac:dyDescent="0.35">
      <c r="A398" s="7" t="s">
        <v>397</v>
      </c>
      <c r="B398" t="s">
        <v>400</v>
      </c>
      <c r="C398" s="8">
        <v>-35488</v>
      </c>
      <c r="D398" s="2">
        <v>11.13000011444092</v>
      </c>
      <c r="E398" s="9">
        <f t="shared" si="12"/>
        <v>-394981.44406127936</v>
      </c>
      <c r="F398" s="1">
        <f t="shared" si="13"/>
        <v>5.5615170430389545E-3</v>
      </c>
      <c r="G398" s="8"/>
    </row>
    <row r="399" spans="1:7" x14ac:dyDescent="0.35">
      <c r="A399" s="7" t="s">
        <v>397</v>
      </c>
      <c r="B399" t="s">
        <v>401</v>
      </c>
      <c r="C399" s="8">
        <v>-6729</v>
      </c>
      <c r="D399" s="2">
        <v>27.059999465942379</v>
      </c>
      <c r="E399" s="9">
        <f t="shared" si="12"/>
        <v>-182086.73640632626</v>
      </c>
      <c r="F399" s="1">
        <f t="shared" si="13"/>
        <v>2.5638634499447858E-3</v>
      </c>
      <c r="G399" s="8"/>
    </row>
    <row r="400" spans="1:7" x14ac:dyDescent="0.35">
      <c r="A400" s="7" t="s">
        <v>397</v>
      </c>
      <c r="B400" t="s">
        <v>402</v>
      </c>
      <c r="C400" s="8">
        <v>-10937</v>
      </c>
      <c r="D400" s="2">
        <v>18.920000076293949</v>
      </c>
      <c r="E400" s="9">
        <f t="shared" si="12"/>
        <v>-206928.04083442691</v>
      </c>
      <c r="F400" s="1">
        <f t="shared" si="13"/>
        <v>2.9136402306655699E-3</v>
      </c>
      <c r="G400" s="8"/>
    </row>
    <row r="401" spans="1:7" x14ac:dyDescent="0.35">
      <c r="A401" s="7" t="s">
        <v>397</v>
      </c>
      <c r="B401" t="s">
        <v>403</v>
      </c>
      <c r="C401" s="8">
        <v>-19086</v>
      </c>
      <c r="D401" s="2">
        <v>15.579999923706049</v>
      </c>
      <c r="E401" s="9">
        <f t="shared" si="12"/>
        <v>-297359.87854385364</v>
      </c>
      <c r="F401" s="1">
        <f t="shared" si="13"/>
        <v>4.1869613302164673E-3</v>
      </c>
      <c r="G401" s="8"/>
    </row>
    <row r="402" spans="1:7" x14ac:dyDescent="0.35">
      <c r="A402" s="7" t="s">
        <v>404</v>
      </c>
      <c r="B402" t="s">
        <v>404</v>
      </c>
      <c r="C402" s="8">
        <v>2117</v>
      </c>
      <c r="D402" s="2">
        <v>316.5</v>
      </c>
      <c r="E402" s="9">
        <f t="shared" si="12"/>
        <v>670030.5</v>
      </c>
      <c r="F402" s="1">
        <f t="shared" si="13"/>
        <v>9.4343319189642283E-3</v>
      </c>
      <c r="G402" s="8"/>
    </row>
    <row r="403" spans="1:7" x14ac:dyDescent="0.35">
      <c r="A403" s="7" t="s">
        <v>404</v>
      </c>
      <c r="B403" t="s">
        <v>405</v>
      </c>
      <c r="C403" s="8">
        <v>-4488</v>
      </c>
      <c r="D403" s="2">
        <v>24.219999313354489</v>
      </c>
      <c r="E403" s="9">
        <f t="shared" si="12"/>
        <v>-108699.35691833495</v>
      </c>
      <c r="F403" s="1">
        <f t="shared" si="13"/>
        <v>1.5305360167119743E-3</v>
      </c>
      <c r="G403" s="8"/>
    </row>
    <row r="404" spans="1:7" x14ac:dyDescent="0.35">
      <c r="A404" s="7" t="s">
        <v>404</v>
      </c>
      <c r="B404" t="s">
        <v>406</v>
      </c>
      <c r="C404" s="8">
        <v>-4017</v>
      </c>
      <c r="D404" s="2">
        <v>44.229999542236328</v>
      </c>
      <c r="E404" s="9">
        <f t="shared" si="12"/>
        <v>-177671.90816116333</v>
      </c>
      <c r="F404" s="1">
        <f t="shared" si="13"/>
        <v>2.5017006752202238E-3</v>
      </c>
      <c r="G404" s="8"/>
    </row>
    <row r="405" spans="1:7" x14ac:dyDescent="0.35">
      <c r="A405" s="7" t="s">
        <v>404</v>
      </c>
      <c r="B405" t="s">
        <v>407</v>
      </c>
      <c r="C405" s="8">
        <v>-764</v>
      </c>
      <c r="D405" s="2">
        <v>50.189998626708977</v>
      </c>
      <c r="E405" s="9">
        <f t="shared" si="12"/>
        <v>-38345.158950805657</v>
      </c>
      <c r="F405" s="1">
        <f t="shared" si="13"/>
        <v>5.3991714858852354E-4</v>
      </c>
      <c r="G405" s="8"/>
    </row>
    <row r="406" spans="1:7" x14ac:dyDescent="0.35">
      <c r="A406" s="7" t="s">
        <v>408</v>
      </c>
      <c r="B406" t="s">
        <v>408</v>
      </c>
      <c r="C406" s="8">
        <v>2891</v>
      </c>
      <c r="D406" s="2">
        <v>22.010000228881839</v>
      </c>
      <c r="E406" s="9">
        <f t="shared" si="12"/>
        <v>63630.910661697395</v>
      </c>
      <c r="F406" s="1">
        <f t="shared" si="13"/>
        <v>8.9595194769254984E-4</v>
      </c>
      <c r="G406" s="8"/>
    </row>
    <row r="407" spans="1:7" x14ac:dyDescent="0.35">
      <c r="A407" s="7" t="s">
        <v>408</v>
      </c>
      <c r="B407" t="s">
        <v>409</v>
      </c>
      <c r="C407" s="8">
        <v>-7120</v>
      </c>
      <c r="D407" s="2">
        <v>4.5999999046325684</v>
      </c>
      <c r="E407" s="9">
        <f t="shared" si="12"/>
        <v>-32751.999320983887</v>
      </c>
      <c r="F407" s="1">
        <f t="shared" si="13"/>
        <v>4.6116293602134983E-4</v>
      </c>
      <c r="G407" s="8"/>
    </row>
    <row r="408" spans="1:7" x14ac:dyDescent="0.35">
      <c r="A408" s="7" t="s">
        <v>410</v>
      </c>
      <c r="B408" t="s">
        <v>410</v>
      </c>
      <c r="C408" s="8">
        <v>241</v>
      </c>
      <c r="D408" s="2">
        <v>186.41999816894531</v>
      </c>
      <c r="E408" s="9">
        <f t="shared" si="12"/>
        <v>44927.21955871582</v>
      </c>
      <c r="F408" s="1">
        <f t="shared" si="13"/>
        <v>6.3259553335722276E-4</v>
      </c>
      <c r="G408" s="8"/>
    </row>
    <row r="409" spans="1:7" x14ac:dyDescent="0.35">
      <c r="A409" s="7" t="s">
        <v>410</v>
      </c>
      <c r="B409" t="s">
        <v>411</v>
      </c>
      <c r="C409" s="8">
        <v>-968</v>
      </c>
      <c r="D409" s="2">
        <v>22.89999961853027</v>
      </c>
      <c r="E409" s="9">
        <f t="shared" si="12"/>
        <v>-22167.199630737301</v>
      </c>
      <c r="F409" s="1">
        <f t="shared" si="13"/>
        <v>3.1212417797446085E-4</v>
      </c>
      <c r="G409" s="8"/>
    </row>
    <row r="410" spans="1:7" x14ac:dyDescent="0.35">
      <c r="A410" s="7" t="s">
        <v>412</v>
      </c>
      <c r="B410" t="s">
        <v>412</v>
      </c>
      <c r="C410" s="8">
        <v>9985</v>
      </c>
      <c r="D410" s="2">
        <v>20.54000091552734</v>
      </c>
      <c r="E410" s="9">
        <f t="shared" si="12"/>
        <v>205091.9091415405</v>
      </c>
      <c r="F410" s="1">
        <f t="shared" si="13"/>
        <v>2.8877866675253547E-3</v>
      </c>
      <c r="G410" s="8"/>
    </row>
    <row r="411" spans="1:7" x14ac:dyDescent="0.35">
      <c r="A411" s="7" t="s">
        <v>412</v>
      </c>
      <c r="B411" t="s">
        <v>413</v>
      </c>
      <c r="C411" s="8">
        <v>-4047</v>
      </c>
      <c r="D411" s="2">
        <v>26.275999069213871</v>
      </c>
      <c r="E411" s="9">
        <f t="shared" si="12"/>
        <v>-106338.96823310854</v>
      </c>
      <c r="F411" s="1">
        <f t="shared" si="13"/>
        <v>1.4973006784487258E-3</v>
      </c>
      <c r="G411" s="8"/>
    </row>
    <row r="412" spans="1:7" x14ac:dyDescent="0.35">
      <c r="A412" s="7" t="s">
        <v>414</v>
      </c>
      <c r="B412" t="s">
        <v>414</v>
      </c>
      <c r="C412" s="8">
        <v>2534</v>
      </c>
      <c r="D412" s="2">
        <v>69.910003662109375</v>
      </c>
      <c r="E412" s="9">
        <f t="shared" si="12"/>
        <v>177151.94927978516</v>
      </c>
      <c r="F412" s="1">
        <f t="shared" si="13"/>
        <v>2.4943794194398753E-3</v>
      </c>
      <c r="G412" s="8"/>
    </row>
    <row r="413" spans="1:7" x14ac:dyDescent="0.35">
      <c r="A413" s="7" t="s">
        <v>414</v>
      </c>
      <c r="B413" t="s">
        <v>415</v>
      </c>
      <c r="C413" s="8">
        <v>-6032</v>
      </c>
      <c r="D413" s="2">
        <v>14.80700016021729</v>
      </c>
      <c r="E413" s="9">
        <f t="shared" si="12"/>
        <v>-89315.824966430693</v>
      </c>
      <c r="F413" s="1">
        <f t="shared" si="13"/>
        <v>1.2576071363160622E-3</v>
      </c>
      <c r="G413" s="8"/>
    </row>
    <row r="414" spans="1:7" x14ac:dyDescent="0.35">
      <c r="A414" s="7" t="s">
        <v>416</v>
      </c>
      <c r="B414" t="s">
        <v>416</v>
      </c>
      <c r="C414" s="8">
        <v>218</v>
      </c>
      <c r="D414" s="2">
        <v>12.52000045776367</v>
      </c>
      <c r="E414" s="9">
        <f t="shared" si="12"/>
        <v>2729.36009979248</v>
      </c>
      <c r="F414" s="1">
        <f t="shared" si="13"/>
        <v>3.8430622349011853E-5</v>
      </c>
      <c r="G414" s="8"/>
    </row>
    <row r="415" spans="1:7" x14ac:dyDescent="0.35">
      <c r="A415" s="7" t="s">
        <v>416</v>
      </c>
      <c r="B415" t="s">
        <v>417</v>
      </c>
      <c r="C415" s="8">
        <v>-180</v>
      </c>
      <c r="D415" s="2">
        <v>7.369999885559082</v>
      </c>
      <c r="E415" s="9">
        <f t="shared" si="12"/>
        <v>-1326.5999794006348</v>
      </c>
      <c r="F415" s="1">
        <f t="shared" si="13"/>
        <v>1.8679126591038313E-5</v>
      </c>
      <c r="G415" s="8"/>
    </row>
    <row r="416" spans="1:7" x14ac:dyDescent="0.35">
      <c r="A416" s="7" t="s">
        <v>418</v>
      </c>
      <c r="B416" t="s">
        <v>418</v>
      </c>
      <c r="C416" s="8">
        <v>546</v>
      </c>
      <c r="D416" s="2">
        <v>261.79000854492188</v>
      </c>
      <c r="E416" s="9">
        <f t="shared" si="12"/>
        <v>142937.34466552734</v>
      </c>
      <c r="F416" s="1">
        <f t="shared" si="13"/>
        <v>2.0126223406098319E-3</v>
      </c>
      <c r="G416" s="8"/>
    </row>
    <row r="417" spans="1:7" x14ac:dyDescent="0.35">
      <c r="A417" s="7" t="s">
        <v>418</v>
      </c>
      <c r="B417" t="s">
        <v>419</v>
      </c>
      <c r="C417" s="8">
        <v>-5127</v>
      </c>
      <c r="D417" s="2">
        <v>9.5600004196166992</v>
      </c>
      <c r="E417" s="9">
        <f t="shared" si="12"/>
        <v>-49014.122151374817</v>
      </c>
      <c r="F417" s="1">
        <f t="shared" si="13"/>
        <v>6.9014096685557911E-4</v>
      </c>
      <c r="G417" s="8"/>
    </row>
    <row r="418" spans="1:7" x14ac:dyDescent="0.35">
      <c r="A418" s="7" t="s">
        <v>418</v>
      </c>
      <c r="B418" t="s">
        <v>420</v>
      </c>
      <c r="C418" s="8">
        <v>-1042</v>
      </c>
      <c r="D418" s="2">
        <v>23.10000038146973</v>
      </c>
      <c r="E418" s="9">
        <f t="shared" si="12"/>
        <v>-24070.200397491459</v>
      </c>
      <c r="F418" s="1">
        <f t="shared" si="13"/>
        <v>3.3891928786214826E-4</v>
      </c>
      <c r="G418" s="8"/>
    </row>
    <row r="419" spans="1:7" x14ac:dyDescent="0.35">
      <c r="A419" s="7" t="s">
        <v>421</v>
      </c>
      <c r="B419" t="s">
        <v>421</v>
      </c>
      <c r="C419" s="8">
        <v>55</v>
      </c>
      <c r="D419" s="2">
        <v>94.949996948242188</v>
      </c>
      <c r="E419" s="9">
        <f t="shared" si="12"/>
        <v>5222.2498321533203</v>
      </c>
      <c r="F419" s="1">
        <f t="shared" si="13"/>
        <v>7.353163517226404E-5</v>
      </c>
      <c r="G419" s="8"/>
    </row>
    <row r="420" spans="1:7" x14ac:dyDescent="0.35">
      <c r="A420" s="7" t="s">
        <v>421</v>
      </c>
      <c r="B420" t="s">
        <v>422</v>
      </c>
      <c r="C420" s="8">
        <v>-195</v>
      </c>
      <c r="D420" s="2">
        <v>13.298000335693359</v>
      </c>
      <c r="E420" s="9">
        <f t="shared" si="12"/>
        <v>-2593.1100654602051</v>
      </c>
      <c r="F420" s="1">
        <f t="shared" si="13"/>
        <v>3.6512160356817538E-5</v>
      </c>
      <c r="G420" s="8"/>
    </row>
    <row r="421" spans="1:7" x14ac:dyDescent="0.35">
      <c r="A421" s="7" t="s">
        <v>423</v>
      </c>
      <c r="B421" t="s">
        <v>423</v>
      </c>
      <c r="C421" s="8">
        <v>7976</v>
      </c>
      <c r="D421" s="2">
        <v>24.219999313354489</v>
      </c>
      <c r="E421" s="9">
        <f t="shared" si="12"/>
        <v>193178.7145233154</v>
      </c>
      <c r="F421" s="1">
        <f t="shared" si="13"/>
        <v>2.720043509201138E-3</v>
      </c>
      <c r="G421" s="8"/>
    </row>
    <row r="422" spans="1:7" x14ac:dyDescent="0.35">
      <c r="A422" s="7" t="s">
        <v>423</v>
      </c>
      <c r="B422" t="s">
        <v>424</v>
      </c>
      <c r="C422" s="8">
        <v>-7591</v>
      </c>
      <c r="D422" s="2">
        <v>12.55000019073486</v>
      </c>
      <c r="E422" s="9">
        <f t="shared" si="12"/>
        <v>-95267.051447868318</v>
      </c>
      <c r="F422" s="1">
        <f t="shared" si="13"/>
        <v>1.3414030917998979E-3</v>
      </c>
      <c r="G422" s="8"/>
    </row>
    <row r="423" spans="1:7" x14ac:dyDescent="0.35">
      <c r="A423" s="7" t="s">
        <v>425</v>
      </c>
      <c r="B423" t="s">
        <v>425</v>
      </c>
      <c r="C423" s="8">
        <v>11323</v>
      </c>
      <c r="D423" s="2">
        <v>45.290000915527337</v>
      </c>
      <c r="E423" s="9">
        <f t="shared" si="12"/>
        <v>512818.68036651606</v>
      </c>
      <c r="F423" s="1">
        <f t="shared" si="13"/>
        <v>7.2207185267281673E-3</v>
      </c>
      <c r="G423" s="8"/>
    </row>
    <row r="424" spans="1:7" x14ac:dyDescent="0.35">
      <c r="A424" s="7" t="s">
        <v>425</v>
      </c>
      <c r="B424" t="s">
        <v>426</v>
      </c>
      <c r="C424" s="8">
        <v>-8298</v>
      </c>
      <c r="D424" s="2">
        <v>31.20000076293945</v>
      </c>
      <c r="E424" s="9">
        <f t="shared" si="12"/>
        <v>-258897.60633087155</v>
      </c>
      <c r="F424" s="1">
        <f t="shared" si="13"/>
        <v>3.6453951740268195E-3</v>
      </c>
      <c r="G424" s="8"/>
    </row>
    <row r="425" spans="1:7" x14ac:dyDescent="0.35">
      <c r="A425" s="7" t="s">
        <v>427</v>
      </c>
      <c r="B425" t="s">
        <v>427</v>
      </c>
      <c r="C425" s="8">
        <v>22023</v>
      </c>
      <c r="D425" s="2">
        <v>14.22999954223633</v>
      </c>
      <c r="E425" s="9">
        <f t="shared" si="12"/>
        <v>313387.27991867071</v>
      </c>
      <c r="F425" s="1">
        <f t="shared" si="13"/>
        <v>4.4126343769934247E-3</v>
      </c>
      <c r="G425" s="8"/>
    </row>
    <row r="426" spans="1:7" x14ac:dyDescent="0.35">
      <c r="A426" s="7" t="s">
        <v>427</v>
      </c>
      <c r="B426" t="s">
        <v>428</v>
      </c>
      <c r="C426" s="8">
        <v>-20228</v>
      </c>
      <c r="D426" s="2">
        <v>7.1149997711181641</v>
      </c>
      <c r="E426" s="9">
        <f t="shared" si="12"/>
        <v>-143922.21537017822</v>
      </c>
      <c r="F426" s="1">
        <f t="shared" si="13"/>
        <v>2.0264897647419284E-3</v>
      </c>
      <c r="G426" s="8"/>
    </row>
    <row r="427" spans="1:7" x14ac:dyDescent="0.35">
      <c r="A427" s="7" t="s">
        <v>429</v>
      </c>
      <c r="B427" t="s">
        <v>429</v>
      </c>
      <c r="C427" s="8">
        <v>6441</v>
      </c>
      <c r="D427" s="2">
        <v>16.45999908447266</v>
      </c>
      <c r="E427" s="9">
        <f t="shared" si="12"/>
        <v>106018.85410308841</v>
      </c>
      <c r="F427" s="1">
        <f t="shared" si="13"/>
        <v>1.4927933269855307E-3</v>
      </c>
      <c r="G427" s="8"/>
    </row>
    <row r="428" spans="1:7" x14ac:dyDescent="0.35">
      <c r="A428" s="7" t="s">
        <v>429</v>
      </c>
      <c r="B428" t="s">
        <v>430</v>
      </c>
      <c r="C428" s="8">
        <v>-5913</v>
      </c>
      <c r="D428" s="2">
        <v>8.369999885559082</v>
      </c>
      <c r="E428" s="9">
        <f t="shared" si="12"/>
        <v>-49491.809323310852</v>
      </c>
      <c r="F428" s="1">
        <f t="shared" si="13"/>
        <v>6.9686701788381725E-4</v>
      </c>
      <c r="G428" s="8"/>
    </row>
    <row r="429" spans="1:7" x14ac:dyDescent="0.35">
      <c r="A429" s="7" t="s">
        <v>431</v>
      </c>
      <c r="B429" t="s">
        <v>431</v>
      </c>
      <c r="C429" s="8">
        <v>249</v>
      </c>
      <c r="D429" s="2">
        <v>15.10000038146973</v>
      </c>
      <c r="E429" s="9">
        <f t="shared" si="12"/>
        <v>3759.9000949859628</v>
      </c>
      <c r="F429" s="1">
        <f t="shared" si="13"/>
        <v>5.2941090708919529E-5</v>
      </c>
      <c r="G429" s="8"/>
    </row>
    <row r="430" spans="1:7" x14ac:dyDescent="0.35">
      <c r="A430" s="7" t="s">
        <v>431</v>
      </c>
      <c r="B430" t="s">
        <v>432</v>
      </c>
      <c r="C430" s="8">
        <v>-99</v>
      </c>
      <c r="D430" s="2">
        <v>19.326999664306641</v>
      </c>
      <c r="E430" s="9">
        <f t="shared" si="12"/>
        <v>-1913.3729667663574</v>
      </c>
      <c r="F430" s="1">
        <f t="shared" si="13"/>
        <v>2.6941155146291293E-5</v>
      </c>
      <c r="G430" s="8"/>
    </row>
    <row r="431" spans="1:7" x14ac:dyDescent="0.35">
      <c r="A431" s="7" t="s">
        <v>433</v>
      </c>
      <c r="B431" t="s">
        <v>433</v>
      </c>
      <c r="C431" s="8">
        <v>907</v>
      </c>
      <c r="D431" s="2">
        <v>21.930000305175781</v>
      </c>
      <c r="E431" s="9">
        <f t="shared" si="12"/>
        <v>19890.510276794434</v>
      </c>
      <c r="F431" s="1">
        <f t="shared" si="13"/>
        <v>2.800673640809601E-4</v>
      </c>
      <c r="G431" s="8"/>
    </row>
    <row r="432" spans="1:7" x14ac:dyDescent="0.35">
      <c r="A432" s="7" t="s">
        <v>433</v>
      </c>
      <c r="B432" t="s">
        <v>434</v>
      </c>
      <c r="C432" s="8">
        <v>-1278</v>
      </c>
      <c r="D432" s="2">
        <v>7.8467001914978027</v>
      </c>
      <c r="E432" s="9">
        <f t="shared" si="12"/>
        <v>-10028.082844734192</v>
      </c>
      <c r="F432" s="1">
        <f t="shared" si="13"/>
        <v>1.4119993353749329E-4</v>
      </c>
      <c r="G432" s="8"/>
    </row>
    <row r="433" spans="1:7" x14ac:dyDescent="0.35">
      <c r="A433" s="7" t="s">
        <v>435</v>
      </c>
      <c r="B433" t="s">
        <v>435</v>
      </c>
      <c r="C433" s="8">
        <v>385</v>
      </c>
      <c r="D433" s="2">
        <v>234.2200012207031</v>
      </c>
      <c r="E433" s="9">
        <f t="shared" si="12"/>
        <v>90174.700469970689</v>
      </c>
      <c r="F433" s="1">
        <f t="shared" si="13"/>
        <v>1.2697004911371693E-3</v>
      </c>
      <c r="G433" s="8"/>
    </row>
    <row r="434" spans="1:7" x14ac:dyDescent="0.35">
      <c r="A434" s="7" t="s">
        <v>435</v>
      </c>
      <c r="B434" t="s">
        <v>436</v>
      </c>
      <c r="C434" s="8">
        <v>-472</v>
      </c>
      <c r="D434" s="2">
        <v>89.230003356933594</v>
      </c>
      <c r="E434" s="9">
        <f t="shared" si="12"/>
        <v>-42116.561584472656</v>
      </c>
      <c r="F434" s="1">
        <f t="shared" si="13"/>
        <v>5.930202002347849E-4</v>
      </c>
      <c r="G434" s="8"/>
    </row>
    <row r="435" spans="1:7" x14ac:dyDescent="0.35">
      <c r="A435" s="7" t="s">
        <v>437</v>
      </c>
      <c r="B435" t="s">
        <v>437</v>
      </c>
      <c r="C435" s="8">
        <v>109</v>
      </c>
      <c r="D435" s="2">
        <v>251.66999816894531</v>
      </c>
      <c r="E435" s="9">
        <f t="shared" si="12"/>
        <v>27432.029800415039</v>
      </c>
      <c r="F435" s="1">
        <f t="shared" si="13"/>
        <v>3.8625536352156138E-4</v>
      </c>
      <c r="G435" s="8"/>
    </row>
    <row r="436" spans="1:7" x14ac:dyDescent="0.35">
      <c r="A436" s="7" t="s">
        <v>437</v>
      </c>
      <c r="B436" t="s">
        <v>438</v>
      </c>
      <c r="C436" s="8">
        <v>-512</v>
      </c>
      <c r="D436" s="2">
        <v>23.739999771118161</v>
      </c>
      <c r="E436" s="9">
        <f t="shared" si="12"/>
        <v>-12154.879882812498</v>
      </c>
      <c r="F436" s="1">
        <f t="shared" si="13"/>
        <v>1.7114619595614549E-4</v>
      </c>
      <c r="G436" s="8"/>
    </row>
    <row r="437" spans="1:7" x14ac:dyDescent="0.35">
      <c r="A437" s="7" t="s">
        <v>439</v>
      </c>
      <c r="B437" t="s">
        <v>439</v>
      </c>
      <c r="C437" s="8">
        <v>11200</v>
      </c>
      <c r="D437" s="2">
        <v>13.69999980926514</v>
      </c>
      <c r="E437" s="9">
        <f t="shared" si="12"/>
        <v>153439.99786376956</v>
      </c>
      <c r="F437" s="1">
        <f t="shared" si="13"/>
        <v>2.1605044389650385E-3</v>
      </c>
      <c r="G437" s="8"/>
    </row>
    <row r="438" spans="1:7" x14ac:dyDescent="0.35">
      <c r="A438" s="7" t="s">
        <v>439</v>
      </c>
      <c r="B438" t="s">
        <v>440</v>
      </c>
      <c r="C438" s="8">
        <v>-4048</v>
      </c>
      <c r="D438" s="2">
        <v>17.319999694824219</v>
      </c>
      <c r="E438" s="9">
        <f t="shared" si="12"/>
        <v>-70111.358764648438</v>
      </c>
      <c r="F438" s="1">
        <f t="shared" si="13"/>
        <v>9.8719958251941554E-4</v>
      </c>
      <c r="G438" s="8"/>
    </row>
    <row r="439" spans="1:7" x14ac:dyDescent="0.35">
      <c r="A439" s="7" t="s">
        <v>441</v>
      </c>
      <c r="B439" t="s">
        <v>441</v>
      </c>
      <c r="C439" s="8">
        <v>1133</v>
      </c>
      <c r="D439" s="2">
        <v>118.7799987792969</v>
      </c>
      <c r="E439" s="9">
        <f t="shared" si="12"/>
        <v>134577.73861694339</v>
      </c>
      <c r="F439" s="1">
        <f t="shared" si="13"/>
        <v>1.8949153135802833E-3</v>
      </c>
      <c r="G439" s="8"/>
    </row>
    <row r="440" spans="1:7" x14ac:dyDescent="0.35">
      <c r="A440" s="7" t="s">
        <v>441</v>
      </c>
      <c r="B440" t="s">
        <v>442</v>
      </c>
      <c r="C440" s="8">
        <v>-327</v>
      </c>
      <c r="D440" s="2">
        <v>135.78999328613281</v>
      </c>
      <c r="E440" s="9">
        <f t="shared" si="12"/>
        <v>-44403.32780456543</v>
      </c>
      <c r="F440" s="1">
        <f t="shared" si="13"/>
        <v>6.2521890095278273E-4</v>
      </c>
      <c r="G440" s="8"/>
    </row>
    <row r="441" spans="1:7" x14ac:dyDescent="0.35">
      <c r="A441" s="7" t="s">
        <v>443</v>
      </c>
      <c r="B441" t="s">
        <v>443</v>
      </c>
      <c r="C441" s="8">
        <v>545</v>
      </c>
      <c r="D441" s="2">
        <v>61.959999084472663</v>
      </c>
      <c r="E441" s="9">
        <f t="shared" si="12"/>
        <v>33768.199501037605</v>
      </c>
      <c r="F441" s="1">
        <f t="shared" si="13"/>
        <v>4.7547149331051504E-4</v>
      </c>
      <c r="G441" s="8"/>
    </row>
    <row r="442" spans="1:7" x14ac:dyDescent="0.35">
      <c r="A442" s="7" t="s">
        <v>443</v>
      </c>
      <c r="B442" t="s">
        <v>444</v>
      </c>
      <c r="C442" s="8">
        <v>-159</v>
      </c>
      <c r="D442" s="2">
        <v>105.76999664306641</v>
      </c>
      <c r="E442" s="9">
        <f t="shared" si="12"/>
        <v>-16817.429466247559</v>
      </c>
      <c r="F442" s="1">
        <f t="shared" si="13"/>
        <v>2.3679699895504594E-4</v>
      </c>
      <c r="G442" s="8"/>
    </row>
    <row r="443" spans="1:7" x14ac:dyDescent="0.35">
      <c r="A443" s="7" t="s">
        <v>445</v>
      </c>
      <c r="B443" t="s">
        <v>445</v>
      </c>
      <c r="C443" s="8">
        <v>503</v>
      </c>
      <c r="D443" s="2">
        <v>171.4700012207031</v>
      </c>
      <c r="E443" s="9">
        <f t="shared" si="12"/>
        <v>86249.410614013657</v>
      </c>
      <c r="F443" s="1">
        <f t="shared" si="13"/>
        <v>1.2144306379301259E-3</v>
      </c>
      <c r="G443" s="8"/>
    </row>
    <row r="444" spans="1:7" x14ac:dyDescent="0.35">
      <c r="A444" s="7" t="s">
        <v>445</v>
      </c>
      <c r="B444" t="s">
        <v>446</v>
      </c>
      <c r="C444" s="8">
        <v>-761</v>
      </c>
      <c r="D444" s="2">
        <v>57.319999694824219</v>
      </c>
      <c r="E444" s="9">
        <f t="shared" si="12"/>
        <v>-43620.51976776123</v>
      </c>
      <c r="F444" s="1">
        <f t="shared" si="13"/>
        <v>6.1419661040325757E-4</v>
      </c>
      <c r="G444" s="8"/>
    </row>
    <row r="445" spans="1:7" x14ac:dyDescent="0.35">
      <c r="A445" s="7" t="s">
        <v>447</v>
      </c>
      <c r="B445" t="s">
        <v>447</v>
      </c>
      <c r="C445" s="8">
        <v>992</v>
      </c>
      <c r="D445" s="2">
        <v>185.47999572753909</v>
      </c>
      <c r="E445" s="9">
        <f t="shared" si="12"/>
        <v>183996.15576171878</v>
      </c>
      <c r="F445" s="1">
        <f t="shared" si="13"/>
        <v>2.5907489364581128E-3</v>
      </c>
      <c r="G445" s="8"/>
    </row>
    <row r="446" spans="1:7" x14ac:dyDescent="0.35">
      <c r="A446" s="7" t="s">
        <v>447</v>
      </c>
      <c r="B446" t="s">
        <v>448</v>
      </c>
      <c r="C446" s="8">
        <v>-1962</v>
      </c>
      <c r="D446" s="2">
        <v>46.029998779296882</v>
      </c>
      <c r="E446" s="9">
        <f t="shared" si="12"/>
        <v>-90310.857604980483</v>
      </c>
      <c r="F446" s="1">
        <f t="shared" si="13"/>
        <v>1.2716176450649646E-3</v>
      </c>
      <c r="G446" s="8"/>
    </row>
    <row r="447" spans="1:7" x14ac:dyDescent="0.35">
      <c r="A447" s="7" t="s">
        <v>449</v>
      </c>
      <c r="B447" t="s">
        <v>449</v>
      </c>
      <c r="C447" s="8">
        <v>779</v>
      </c>
      <c r="D447" s="2">
        <v>16.719999313354489</v>
      </c>
      <c r="E447" s="9">
        <f t="shared" si="12"/>
        <v>13024.879465103146</v>
      </c>
      <c r="F447" s="1">
        <f t="shared" si="13"/>
        <v>1.8339618282792254E-4</v>
      </c>
      <c r="G447" s="8"/>
    </row>
    <row r="448" spans="1:7" x14ac:dyDescent="0.35">
      <c r="A448" s="7" t="s">
        <v>449</v>
      </c>
      <c r="B448" t="s">
        <v>450</v>
      </c>
      <c r="C448" s="8">
        <v>-714</v>
      </c>
      <c r="D448" s="2">
        <v>9.0679998397827148</v>
      </c>
      <c r="E448" s="9">
        <f t="shared" si="12"/>
        <v>-6474.5518856048584</v>
      </c>
      <c r="F448" s="1">
        <f t="shared" si="13"/>
        <v>9.1164613424839539E-5</v>
      </c>
      <c r="G448" s="8"/>
    </row>
    <row r="449" spans="1:7" x14ac:dyDescent="0.35">
      <c r="A449" s="7" t="s">
        <v>451</v>
      </c>
      <c r="B449" t="s">
        <v>451</v>
      </c>
      <c r="C449" s="8">
        <v>69388</v>
      </c>
      <c r="D449" s="2">
        <v>14.340000152587891</v>
      </c>
      <c r="E449" s="9">
        <f t="shared" si="12"/>
        <v>995023.93058776855</v>
      </c>
      <c r="F449" s="1">
        <f t="shared" si="13"/>
        <v>1.4010386136866056E-2</v>
      </c>
      <c r="G449" s="8"/>
    </row>
    <row r="450" spans="1:7" x14ac:dyDescent="0.35">
      <c r="A450" s="7" t="s">
        <v>451</v>
      </c>
      <c r="B450" t="s">
        <v>452</v>
      </c>
      <c r="C450" s="8">
        <v>-47599</v>
      </c>
      <c r="D450" s="2">
        <v>3.5799999237060551</v>
      </c>
      <c r="E450" s="9">
        <f t="shared" si="12"/>
        <v>-170404.41636848453</v>
      </c>
      <c r="F450" s="1">
        <f t="shared" si="13"/>
        <v>2.399371109938524E-3</v>
      </c>
      <c r="G450" s="8"/>
    </row>
    <row r="451" spans="1:7" x14ac:dyDescent="0.35">
      <c r="A451" s="7" t="s">
        <v>451</v>
      </c>
      <c r="B451" t="s">
        <v>453</v>
      </c>
      <c r="C451" s="8">
        <v>-137</v>
      </c>
      <c r="D451" s="2">
        <v>7.6810002326965332</v>
      </c>
      <c r="E451" s="9">
        <f t="shared" ref="E451:E457" si="14">C451*D451</f>
        <v>-1052.297031879425</v>
      </c>
      <c r="F451" s="1">
        <f t="shared" ref="F451:F456" si="15">IF($E$459=0,"",ABS(E451)/$E$459)</f>
        <v>1.4816817258455217E-5</v>
      </c>
      <c r="G451" s="8"/>
    </row>
    <row r="452" spans="1:7" x14ac:dyDescent="0.35">
      <c r="A452" s="7" t="s">
        <v>451</v>
      </c>
      <c r="B452" t="s">
        <v>454</v>
      </c>
      <c r="C452" s="8">
        <v>-3847</v>
      </c>
      <c r="D452" s="2">
        <v>39.085163116455078</v>
      </c>
      <c r="E452" s="9">
        <f t="shared" si="14"/>
        <v>-150360.62250900269</v>
      </c>
      <c r="F452" s="1">
        <f t="shared" si="15"/>
        <v>2.1171454438148941E-3</v>
      </c>
      <c r="G452" s="8"/>
    </row>
    <row r="453" spans="1:7" x14ac:dyDescent="0.35">
      <c r="A453" s="7" t="s">
        <v>451</v>
      </c>
      <c r="B453" t="s">
        <v>455</v>
      </c>
      <c r="C453" s="8">
        <v>-45810</v>
      </c>
      <c r="D453" s="2">
        <v>3.720000028610229</v>
      </c>
      <c r="E453" s="9">
        <f t="shared" si="14"/>
        <v>-170413.20131063458</v>
      </c>
      <c r="F453" s="1">
        <f t="shared" si="15"/>
        <v>2.3994948058898759E-3</v>
      </c>
      <c r="G453" s="8"/>
    </row>
    <row r="454" spans="1:7" x14ac:dyDescent="0.35">
      <c r="A454" s="7" t="s">
        <v>456</v>
      </c>
      <c r="B454" t="s">
        <v>456</v>
      </c>
      <c r="C454" s="8">
        <v>845</v>
      </c>
      <c r="D454" s="2">
        <v>57.029998779296882</v>
      </c>
      <c r="E454" s="9">
        <f t="shared" si="14"/>
        <v>48190.348968505867</v>
      </c>
      <c r="F454" s="1">
        <f t="shared" si="15"/>
        <v>6.7854186855613257E-4</v>
      </c>
      <c r="G454" s="8"/>
    </row>
    <row r="455" spans="1:7" x14ac:dyDescent="0.35">
      <c r="A455" s="7" t="s">
        <v>456</v>
      </c>
      <c r="B455" t="s">
        <v>457</v>
      </c>
      <c r="C455" s="8">
        <v>-2445</v>
      </c>
      <c r="D455" s="2">
        <v>10.02700042724609</v>
      </c>
      <c r="E455" s="9">
        <f t="shared" si="14"/>
        <v>-24516.016044616692</v>
      </c>
      <c r="F455" s="1">
        <f t="shared" si="15"/>
        <v>3.4519657343295035E-4</v>
      </c>
      <c r="G455" s="8"/>
    </row>
    <row r="456" spans="1:7" x14ac:dyDescent="0.35">
      <c r="A456" s="7" t="s">
        <v>458</v>
      </c>
      <c r="B456" t="s">
        <v>458</v>
      </c>
      <c r="C456" s="8">
        <v>12738</v>
      </c>
      <c r="D456" s="2">
        <v>14.810000419616699</v>
      </c>
      <c r="E456" s="9">
        <f t="shared" si="14"/>
        <v>188649.78534507751</v>
      </c>
      <c r="F456" s="1">
        <f t="shared" si="15"/>
        <v>2.6562741418290885E-3</v>
      </c>
      <c r="G456" s="8"/>
    </row>
    <row r="457" spans="1:7" x14ac:dyDescent="0.35">
      <c r="A457" s="7" t="s">
        <v>458</v>
      </c>
      <c r="B457" t="s">
        <v>459</v>
      </c>
      <c r="C457" s="8">
        <v>-7610</v>
      </c>
      <c r="D457" s="2">
        <v>12.340000152587891</v>
      </c>
      <c r="E457" s="9">
        <f t="shared" si="14"/>
        <v>-93907.401161193848</v>
      </c>
      <c r="F457" s="1">
        <f>IF($E$459=0,"",ABS(E457)/$E$459)</f>
        <v>1.3222586019621936E-3</v>
      </c>
      <c r="G457" s="8"/>
    </row>
    <row r="458" spans="1:7" x14ac:dyDescent="0.35">
      <c r="F458" s="1"/>
    </row>
    <row r="459" spans="1:7" x14ac:dyDescent="0.35">
      <c r="A459" s="3" t="s">
        <v>460</v>
      </c>
      <c r="B459" s="3"/>
      <c r="C459" s="3"/>
      <c r="D459" s="4"/>
      <c r="E459" s="4" cm="1">
        <f t="array" ref="E459">SUMPRODUCT(ABS(E3:E457))</f>
        <v>71020450.176567554</v>
      </c>
      <c r="F459" s="5">
        <f>SUM(F3:F457)</f>
        <v>0.99999999999999944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2026-03-30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Lilly Cordover</cp:lastModifiedBy>
  <dcterms:created xsi:type="dcterms:W3CDTF">2026-04-30T20:57:43Z</dcterms:created>
  <dcterms:modified xsi:type="dcterms:W3CDTF">2026-04-30T21:24:00Z</dcterms:modified>
</cp:coreProperties>
</file>