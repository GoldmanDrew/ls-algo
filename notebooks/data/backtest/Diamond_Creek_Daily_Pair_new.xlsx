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IRS" sheetId="1" state="visible" r:id="rId1"/>
    <sheet xmlns:r="http://schemas.openxmlformats.org/officeDocument/2006/relationships" name="AAPL_AAPB" sheetId="2" state="visible" r:id="rId2"/>
    <sheet xmlns:r="http://schemas.openxmlformats.org/officeDocument/2006/relationships" name="AAPL_AAPU" sheetId="3" state="visible" r:id="rId3"/>
    <sheet xmlns:r="http://schemas.openxmlformats.org/officeDocument/2006/relationships" name="AMZN_AMZU" sheetId="4" state="visible" r:id="rId4"/>
    <sheet xmlns:r="http://schemas.openxmlformats.org/officeDocument/2006/relationships" name="ARKK_TARK" sheetId="5" state="visible" r:id="rId5"/>
    <sheet xmlns:r="http://schemas.openxmlformats.org/officeDocument/2006/relationships" name="ASHR_CHAU" sheetId="6" state="visible" r:id="rId6"/>
    <sheet xmlns:r="http://schemas.openxmlformats.org/officeDocument/2006/relationships" name="BABA_BABX" sheetId="7" state="visible" r:id="rId7"/>
    <sheet xmlns:r="http://schemas.openxmlformats.org/officeDocument/2006/relationships" name="COIN_CONL" sheetId="8" state="visible" r:id="rId8"/>
    <sheet xmlns:r="http://schemas.openxmlformats.org/officeDocument/2006/relationships" name="EWW_MEXX" sheetId="9" state="visible" r:id="rId9"/>
    <sheet xmlns:r="http://schemas.openxmlformats.org/officeDocument/2006/relationships" name="EWY_KORU" sheetId="10" state="visible" r:id="rId10"/>
    <sheet xmlns:r="http://schemas.openxmlformats.org/officeDocument/2006/relationships" name="FXI_YINN" sheetId="11" state="visible" r:id="rId11"/>
    <sheet xmlns:r="http://schemas.openxmlformats.org/officeDocument/2006/relationships" name="GDXJ_JNUG" sheetId="12" state="visible" r:id="rId12"/>
    <sheet xmlns:r="http://schemas.openxmlformats.org/officeDocument/2006/relationships" name="GDX_GDXU" sheetId="13" state="visible" r:id="rId13"/>
    <sheet xmlns:r="http://schemas.openxmlformats.org/officeDocument/2006/relationships" name="GDX_NUGT" sheetId="14" state="visible" r:id="rId14"/>
    <sheet xmlns:r="http://schemas.openxmlformats.org/officeDocument/2006/relationships" name="GOOGL_GGLL" sheetId="15" state="visible" r:id="rId15"/>
    <sheet xmlns:r="http://schemas.openxmlformats.org/officeDocument/2006/relationships" name="KWEB_CWEB" sheetId="16" state="visible" r:id="rId16"/>
    <sheet xmlns:r="http://schemas.openxmlformats.org/officeDocument/2006/relationships" name="META_FBL" sheetId="17" state="visible" r:id="rId17"/>
    <sheet xmlns:r="http://schemas.openxmlformats.org/officeDocument/2006/relationships" name="MSFT_MSFU" sheetId="18" state="visible" r:id="rId18"/>
    <sheet xmlns:r="http://schemas.openxmlformats.org/officeDocument/2006/relationships" name="NVDA_NVDL" sheetId="19" state="visible" r:id="rId19"/>
    <sheet xmlns:r="http://schemas.openxmlformats.org/officeDocument/2006/relationships" name="SOXX_SOXL" sheetId="20" state="visible" r:id="rId20"/>
    <sheet xmlns:r="http://schemas.openxmlformats.org/officeDocument/2006/relationships" name="SOXX_SOXS" sheetId="21" state="visible" r:id="rId21"/>
    <sheet xmlns:r="http://schemas.openxmlformats.org/officeDocument/2006/relationships" name="SPHB_HIBL" sheetId="22" state="visible" r:id="rId22"/>
    <sheet xmlns:r="http://schemas.openxmlformats.org/officeDocument/2006/relationships" name="TSLA_TSLL" sheetId="23" state="visible" r:id="rId23"/>
    <sheet xmlns:r="http://schemas.openxmlformats.org/officeDocument/2006/relationships" name="TSLA_TSLQ" sheetId="24" state="visible" r:id="rId24"/>
    <sheet xmlns:r="http://schemas.openxmlformats.org/officeDocument/2006/relationships" name="XBI_LABU" sheetId="25" state="visible" r:id="rId25"/>
    <sheet xmlns:r="http://schemas.openxmlformats.org/officeDocument/2006/relationships" name="XLE_ERX" sheetId="26" state="visible" r:id="rId26"/>
    <sheet xmlns:r="http://schemas.openxmlformats.org/officeDocument/2006/relationships" name="XOP_GUSH" sheetId="27" state="visible" r:id="rId27"/>
    <sheet xmlns:r="http://schemas.openxmlformats.org/officeDocument/2006/relationships" name="portfolio_ledger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Underlying Price</t>
        </is>
      </c>
      <c r="E1" t="inlineStr">
        <is>
          <t>ETF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  <c r="Q1" t="inlineStr">
        <is>
          <t>fed_funds_rate</t>
        </is>
      </c>
      <c r="R1" t="inlineStr">
        <is>
          <t>daily_txn_cost_usd</t>
        </is>
      </c>
      <c r="S1" t="inlineStr">
        <is>
          <t>daily_pair_net_pnl_usd</t>
        </is>
      </c>
    </row>
    <row r="2">
      <c r="A2" s="1" t="n">
        <v>44929</v>
      </c>
      <c r="B2" t="inlineStr">
        <is>
          <t>AAPB</t>
        </is>
      </c>
      <c r="C2" t="inlineStr">
        <is>
          <t>AAPL</t>
        </is>
      </c>
      <c r="D2" t="n">
        <v>123.0960159301758</v>
      </c>
      <c r="E2" t="n">
        <v>11.66390609741211</v>
      </c>
      <c r="F2" t="n">
        <v>9028</v>
      </c>
      <c r="G2" t="n">
        <v>-47878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>
        <f>-I2*K2/252</f>
        <v/>
      </c>
      <c r="O2" t="n">
        <v>1</v>
      </c>
      <c r="P2" t="n">
        <v>-11.08024793912494</v>
      </c>
      <c r="Q2" t="n">
        <v>0.0432</v>
      </c>
      <c r="R2" t="n">
        <v>0</v>
      </c>
      <c r="S2" t="n">
        <v>-11.08024793912494</v>
      </c>
    </row>
    <row r="3">
      <c r="A3" s="1" t="n">
        <v>44929</v>
      </c>
      <c r="B3" t="inlineStr">
        <is>
          <t>AAPU</t>
        </is>
      </c>
      <c r="C3" t="inlineStr">
        <is>
          <t>AAPL</t>
        </is>
      </c>
      <c r="D3" t="n">
        <v>123.0960159301758</v>
      </c>
      <c r="E3" t="n">
        <v>12.15152454376221</v>
      </c>
      <c r="F3" t="n">
        <v>7633</v>
      </c>
      <c r="G3" t="n">
        <v>-38936</v>
      </c>
      <c r="H3">
        <f>D3*F3</f>
        <v/>
      </c>
      <c r="I3">
        <f>E3*G3</f>
        <v/>
      </c>
      <c r="J3">
        <f>H3-I3</f>
        <v/>
      </c>
      <c r="K3" t="n">
        <v>0.02</v>
      </c>
      <c r="L3" t="n">
        <v>0</v>
      </c>
      <c r="M3" t="n">
        <v>0</v>
      </c>
      <c r="N3">
        <f>-I3*K3/252</f>
        <v/>
      </c>
      <c r="O3" t="n">
        <v>1</v>
      </c>
      <c r="P3" t="n">
        <v>37.55013965364487</v>
      </c>
      <c r="Q3" t="n">
        <v>0.0432</v>
      </c>
      <c r="R3" t="n">
        <v>0</v>
      </c>
      <c r="S3" t="n">
        <v>37.55013965364487</v>
      </c>
    </row>
    <row r="4">
      <c r="A4" s="1" t="n">
        <v>44929</v>
      </c>
      <c r="B4" t="inlineStr">
        <is>
          <t>AMZU</t>
        </is>
      </c>
      <c r="C4" t="inlineStr">
        <is>
          <t>AMZN</t>
        </is>
      </c>
      <c r="D4" t="n">
        <v>85.81999969482422</v>
      </c>
      <c r="E4" t="n">
        <v>11.52647018432617</v>
      </c>
      <c r="F4" t="n">
        <v>27599</v>
      </c>
      <c r="G4" t="n">
        <v>-103312</v>
      </c>
      <c r="H4">
        <f>D4*F4</f>
        <v/>
      </c>
      <c r="I4">
        <f>E4*G4</f>
        <v/>
      </c>
      <c r="J4">
        <f>H4-I4</f>
        <v/>
      </c>
      <c r="K4" t="n">
        <v>-0.0025</v>
      </c>
      <c r="L4" t="n">
        <v>0</v>
      </c>
      <c r="M4" t="n">
        <v>0</v>
      </c>
      <c r="N4">
        <f>-I4*K4/252</f>
        <v/>
      </c>
      <c r="O4" t="n">
        <v>1</v>
      </c>
      <c r="P4" t="n">
        <v>-11.81371713971335</v>
      </c>
      <c r="Q4" t="n">
        <v>0.0432</v>
      </c>
      <c r="R4" t="n">
        <v>0</v>
      </c>
      <c r="S4" t="n">
        <v>-11.81371713971335</v>
      </c>
    </row>
    <row r="5">
      <c r="A5" s="1" t="n">
        <v>44929</v>
      </c>
      <c r="B5" t="inlineStr">
        <is>
          <t>TARK</t>
        </is>
      </c>
      <c r="C5" t="inlineStr">
        <is>
          <t>ARKK</t>
        </is>
      </c>
      <c r="D5" t="n">
        <v>30.20806884765625</v>
      </c>
      <c r="E5" t="n">
        <v>15.6141881942749</v>
      </c>
      <c r="F5" t="n">
        <v>20537</v>
      </c>
      <c r="G5" t="n">
        <v>-20077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0</v>
      </c>
      <c r="M5" t="n">
        <v>0</v>
      </c>
      <c r="N5">
        <f>-I5*K5/252</f>
        <v/>
      </c>
      <c r="O5" t="n">
        <v>1</v>
      </c>
      <c r="P5" t="n">
        <v>-24.87984574416327</v>
      </c>
      <c r="Q5" t="n">
        <v>0.0432</v>
      </c>
      <c r="R5" t="n">
        <v>0</v>
      </c>
      <c r="S5" t="n">
        <v>-24.87984574416327</v>
      </c>
    </row>
    <row r="6">
      <c r="A6" s="1" t="n">
        <v>44929</v>
      </c>
      <c r="B6" t="inlineStr">
        <is>
          <t>CHAU</t>
        </is>
      </c>
      <c r="C6" t="inlineStr">
        <is>
          <t>ASHR</t>
        </is>
      </c>
      <c r="D6" t="n">
        <v>26.66959190368652</v>
      </c>
      <c r="E6" t="n">
        <v>18.8960132598877</v>
      </c>
      <c r="F6" t="n">
        <v>5713</v>
      </c>
      <c r="G6" t="n">
        <v>-4099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0</v>
      </c>
      <c r="M6" t="n">
        <v>0</v>
      </c>
      <c r="N6">
        <f>-I6*K6/252</f>
        <v/>
      </c>
      <c r="O6" t="n">
        <v>1</v>
      </c>
      <c r="P6" t="n">
        <v>-3.07360152191586</v>
      </c>
      <c r="Q6" t="n">
        <v>0.0432</v>
      </c>
      <c r="R6" t="n">
        <v>0</v>
      </c>
      <c r="S6" t="n">
        <v>-3.07360152191586</v>
      </c>
    </row>
    <row r="7">
      <c r="A7" s="1" t="n">
        <v>44929</v>
      </c>
      <c r="B7" t="inlineStr">
        <is>
          <t>BABX</t>
        </is>
      </c>
      <c r="C7" t="inlineStr">
        <is>
          <t>BABA</t>
        </is>
      </c>
      <c r="D7" t="n">
        <v>87.35295104980469</v>
      </c>
      <c r="E7" t="n">
        <v>26.02000045776367</v>
      </c>
      <c r="F7" t="n">
        <v>5330</v>
      </c>
      <c r="G7" t="n">
        <v>-8920</v>
      </c>
      <c r="H7">
        <f>D7*F7</f>
        <v/>
      </c>
      <c r="I7">
        <f>E7*G7</f>
        <v/>
      </c>
      <c r="J7">
        <f>H7-I7</f>
        <v/>
      </c>
      <c r="K7" t="n">
        <v>-0.0275</v>
      </c>
      <c r="L7" t="n">
        <v>0</v>
      </c>
      <c r="M7" t="n">
        <v>0</v>
      </c>
      <c r="N7">
        <f>-I7*K7/252</f>
        <v/>
      </c>
      <c r="O7" t="n">
        <v>1</v>
      </c>
      <c r="P7" t="n">
        <v>-25.32819885829138</v>
      </c>
      <c r="Q7" t="n">
        <v>0.0432</v>
      </c>
      <c r="R7" t="n">
        <v>0</v>
      </c>
      <c r="S7" t="n">
        <v>-25.32819885829138</v>
      </c>
    </row>
    <row r="8">
      <c r="A8" s="1" t="n">
        <v>44929</v>
      </c>
      <c r="B8" t="inlineStr">
        <is>
          <t>CONL</t>
        </is>
      </c>
      <c r="C8" t="inlineStr">
        <is>
          <t>COIN</t>
        </is>
      </c>
      <c r="D8" t="n">
        <v>33.59999847412109</v>
      </c>
      <c r="E8" t="n">
        <v>4.229519844055176</v>
      </c>
      <c r="F8" t="n">
        <v>98778</v>
      </c>
      <c r="G8" t="n">
        <v>-394919</v>
      </c>
      <c r="H8">
        <f>D8*F8</f>
        <v/>
      </c>
      <c r="I8">
        <f>E8*G8</f>
        <v/>
      </c>
      <c r="J8">
        <f>H8-I8</f>
        <v/>
      </c>
      <c r="K8" t="n">
        <v>0.03</v>
      </c>
      <c r="L8" t="n">
        <v>0</v>
      </c>
      <c r="M8" t="n">
        <v>0</v>
      </c>
      <c r="N8">
        <f>-I8*K8/252</f>
        <v/>
      </c>
      <c r="O8" t="n">
        <v>1</v>
      </c>
      <c r="P8" t="n">
        <v>198.847350868384</v>
      </c>
      <c r="Q8" t="n">
        <v>0.0432</v>
      </c>
      <c r="R8" t="n">
        <v>0</v>
      </c>
      <c r="S8" t="n">
        <v>198.847350868384</v>
      </c>
    </row>
    <row r="9">
      <c r="A9" s="1" t="n">
        <v>44929</v>
      </c>
      <c r="B9" t="inlineStr">
        <is>
          <t>MEXX</t>
        </is>
      </c>
      <c r="C9" t="inlineStr">
        <is>
          <t>EWW</t>
        </is>
      </c>
      <c r="D9" t="n">
        <v>45.60512542724609</v>
      </c>
      <c r="E9" t="n">
        <v>16.08793640136719</v>
      </c>
      <c r="F9" t="n">
        <v>9067</v>
      </c>
      <c r="G9" t="n">
        <v>-8695</v>
      </c>
      <c r="H9">
        <f>D9*F9</f>
        <v/>
      </c>
      <c r="I9">
        <f>E9*G9</f>
        <v/>
      </c>
      <c r="J9">
        <f>H9-I9</f>
        <v/>
      </c>
      <c r="K9" t="n">
        <v>0.0075</v>
      </c>
      <c r="L9" t="n">
        <v>0</v>
      </c>
      <c r="M9" t="n">
        <v>0</v>
      </c>
      <c r="N9">
        <f>-I9*K9/252</f>
        <v/>
      </c>
      <c r="O9" t="n">
        <v>1</v>
      </c>
      <c r="P9" t="n">
        <v>4.163232351484753</v>
      </c>
      <c r="Q9" t="n">
        <v>0.0432</v>
      </c>
      <c r="R9" t="n">
        <v>0</v>
      </c>
      <c r="S9" t="n">
        <v>4.163232351484753</v>
      </c>
    </row>
    <row r="10">
      <c r="A10" s="1" t="n">
        <v>44929</v>
      </c>
      <c r="B10" t="inlineStr">
        <is>
          <t>KORU</t>
        </is>
      </c>
      <c r="C10" t="inlineStr">
        <is>
          <t>EWY</t>
        </is>
      </c>
      <c r="D10" t="n">
        <v>51.599609375</v>
      </c>
      <c r="E10" t="n">
        <v>66.14920043945312</v>
      </c>
      <c r="F10" t="n">
        <v>12826</v>
      </c>
      <c r="G10" t="n">
        <v>-3410</v>
      </c>
      <c r="H10">
        <f>D10*F10</f>
        <v/>
      </c>
      <c r="I10">
        <f>E10*G10</f>
        <v/>
      </c>
      <c r="J10">
        <f>H10-I10</f>
        <v/>
      </c>
      <c r="K10" t="n">
        <v>0.0225</v>
      </c>
      <c r="L10" t="n">
        <v>0</v>
      </c>
      <c r="M10" t="n">
        <v>0</v>
      </c>
      <c r="N10">
        <f>-I10*K10/252</f>
        <v/>
      </c>
      <c r="O10" t="n">
        <v>1</v>
      </c>
      <c r="P10" t="n">
        <v>20.14006906236921</v>
      </c>
      <c r="Q10" t="n">
        <v>0.0432</v>
      </c>
      <c r="R10" t="n">
        <v>0</v>
      </c>
      <c r="S10" t="n">
        <v>20.14006906236921</v>
      </c>
    </row>
    <row r="11">
      <c r="A11" s="1" t="n">
        <v>44929</v>
      </c>
      <c r="B11" t="inlineStr">
        <is>
          <t>YINN</t>
        </is>
      </c>
      <c r="C11" t="inlineStr">
        <is>
          <t>FXI</t>
        </is>
      </c>
      <c r="D11" t="n">
        <v>27.23507308959961</v>
      </c>
      <c r="E11" t="n">
        <v>47.69096374511719</v>
      </c>
      <c r="F11" t="n">
        <v>35048</v>
      </c>
      <c r="G11" t="n">
        <v>-6728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0</v>
      </c>
      <c r="M11" t="n">
        <v>0</v>
      </c>
      <c r="N11">
        <f>-I11*K11/252</f>
        <v/>
      </c>
      <c r="O11" t="n">
        <v>1</v>
      </c>
      <c r="P11" t="n">
        <v>-25.46546064104353</v>
      </c>
      <c r="Q11" t="n">
        <v>0.0432</v>
      </c>
      <c r="R11" t="n">
        <v>0</v>
      </c>
      <c r="S11" t="n">
        <v>-25.46546064104353</v>
      </c>
    </row>
    <row r="12">
      <c r="A12" s="1" t="n">
        <v>44929</v>
      </c>
      <c r="B12" t="inlineStr">
        <is>
          <t>JNUG</t>
        </is>
      </c>
      <c r="C12" t="inlineStr">
        <is>
          <t>GDXJ</t>
        </is>
      </c>
      <c r="D12" t="n">
        <v>34.86901092529297</v>
      </c>
      <c r="E12" t="n">
        <v>36.15386581420898</v>
      </c>
      <c r="F12" t="n">
        <v>13873</v>
      </c>
      <c r="G12" t="n">
        <v>-6778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0</v>
      </c>
      <c r="M12" t="n">
        <v>0</v>
      </c>
      <c r="N12">
        <f>-I12*K12/252</f>
        <v/>
      </c>
      <c r="O12" t="n">
        <v>1</v>
      </c>
      <c r="P12" t="n">
        <v>-4.862121081125167</v>
      </c>
      <c r="Q12" t="n">
        <v>0.0432</v>
      </c>
      <c r="R12" t="n">
        <v>0</v>
      </c>
      <c r="S12" t="n">
        <v>-4.862121081125167</v>
      </c>
    </row>
    <row r="13">
      <c r="A13" s="1" t="n">
        <v>44929</v>
      </c>
      <c r="B13" t="inlineStr">
        <is>
          <t>GDXU</t>
        </is>
      </c>
      <c r="C13" t="inlineStr">
        <is>
          <t>GDX</t>
        </is>
      </c>
      <c r="D13" t="n">
        <v>28.63426971435547</v>
      </c>
      <c r="E13" t="n">
        <v>46.52000045776367</v>
      </c>
      <c r="F13" t="n">
        <v>53192</v>
      </c>
      <c r="G13" t="n">
        <v>-10760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0</v>
      </c>
      <c r="M13" t="n">
        <v>0</v>
      </c>
      <c r="N13">
        <f>-I13*K13/252</f>
        <v/>
      </c>
      <c r="O13" t="n">
        <v>1</v>
      </c>
      <c r="P13" t="n">
        <v>-9.931650891379705</v>
      </c>
      <c r="Q13" t="n">
        <v>0.0432</v>
      </c>
      <c r="R13" t="n">
        <v>0</v>
      </c>
      <c r="S13" t="n">
        <v>-9.931650891379705</v>
      </c>
    </row>
    <row r="14">
      <c r="A14" s="1" t="n">
        <v>44929</v>
      </c>
      <c r="B14" t="inlineStr">
        <is>
          <t>NUGT</t>
        </is>
      </c>
      <c r="C14" t="inlineStr">
        <is>
          <t>GDX</t>
        </is>
      </c>
      <c r="D14" t="n">
        <v>28.63426971435547</v>
      </c>
      <c r="E14" t="n">
        <v>35.28508758544922</v>
      </c>
      <c r="F14" t="n">
        <v>15820</v>
      </c>
      <c r="G14" t="n">
        <v>-6494</v>
      </c>
      <c r="H14">
        <f>D14*F14</f>
        <v/>
      </c>
      <c r="I14">
        <f>E14*G14</f>
        <v/>
      </c>
      <c r="J14">
        <f>H14-I14</f>
        <v/>
      </c>
      <c r="K14" t="n">
        <v>-0.0175</v>
      </c>
      <c r="L14" t="n">
        <v>0</v>
      </c>
      <c r="M14" t="n">
        <v>0</v>
      </c>
      <c r="N14">
        <f>-I14*K14/252</f>
        <v/>
      </c>
      <c r="O14" t="n">
        <v>1</v>
      </c>
      <c r="P14" t="n">
        <v>-15.91259435971578</v>
      </c>
      <c r="Q14" t="n">
        <v>0.0432</v>
      </c>
      <c r="R14" t="n">
        <v>0</v>
      </c>
      <c r="S14" t="n">
        <v>-15.91259435971578</v>
      </c>
    </row>
    <row r="15">
      <c r="A15" s="1" t="n">
        <v>44929</v>
      </c>
      <c r="B15" t="inlineStr">
        <is>
          <t>GGLL</t>
        </is>
      </c>
      <c r="C15" t="inlineStr">
        <is>
          <t>GOOGL</t>
        </is>
      </c>
      <c r="D15" t="n">
        <v>88.38946533203125</v>
      </c>
      <c r="E15" t="n">
        <v>16.2327709197998</v>
      </c>
      <c r="F15" t="n">
        <v>20098</v>
      </c>
      <c r="G15" t="n">
        <v>-54856</v>
      </c>
      <c r="H15">
        <f>D15*F15</f>
        <v/>
      </c>
      <c r="I15">
        <f>E15*G15</f>
        <v/>
      </c>
      <c r="J15">
        <f>H15-I15</f>
        <v/>
      </c>
      <c r="K15" t="n">
        <v>0</v>
      </c>
      <c r="L15" t="n">
        <v>0</v>
      </c>
      <c r="M15" t="n">
        <v>0</v>
      </c>
      <c r="N15">
        <f>-I15*K15/252</f>
        <v/>
      </c>
      <c r="O15" t="n">
        <v>1</v>
      </c>
      <c r="P15" t="n">
        <v>0</v>
      </c>
      <c r="Q15" t="n">
        <v>0.0432</v>
      </c>
      <c r="R15" t="n">
        <v>0</v>
      </c>
      <c r="S15" t="n">
        <v>0</v>
      </c>
    </row>
    <row r="16">
      <c r="A16" s="1" t="n">
        <v>44929</v>
      </c>
      <c r="B16" t="inlineStr">
        <is>
          <t>CWEB</t>
        </is>
      </c>
      <c r="C16" t="inlineStr">
        <is>
          <t>KWEB</t>
        </is>
      </c>
      <c r="D16" t="n">
        <v>28.48882865905762</v>
      </c>
      <c r="E16" t="n">
        <v>50.57511520385742</v>
      </c>
      <c r="F16" t="n">
        <v>14605</v>
      </c>
      <c r="G16" t="n">
        <v>-4138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0</v>
      </c>
      <c r="M16" t="n">
        <v>0</v>
      </c>
      <c r="N16">
        <f>-I16*K16/252</f>
        <v/>
      </c>
      <c r="O16" t="n">
        <v>1</v>
      </c>
      <c r="P16" t="n">
        <v>-16.60951005663191</v>
      </c>
      <c r="Q16" t="n">
        <v>0.0432</v>
      </c>
      <c r="R16" t="n">
        <v>0</v>
      </c>
      <c r="S16" t="n">
        <v>-16.60951005663191</v>
      </c>
    </row>
    <row r="17">
      <c r="A17" s="1" t="n">
        <v>44929</v>
      </c>
      <c r="B17" t="inlineStr">
        <is>
          <t>FBL</t>
        </is>
      </c>
      <c r="C17" t="inlineStr">
        <is>
          <t>META</t>
        </is>
      </c>
      <c r="D17" t="n">
        <v>123.7687225341797</v>
      </c>
      <c r="E17" t="n">
        <v>3.64219331741333</v>
      </c>
      <c r="F17" t="n">
        <v>25964</v>
      </c>
      <c r="G17" t="n">
        <v>-441819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0</v>
      </c>
      <c r="M17" t="n">
        <v>0</v>
      </c>
      <c r="N17">
        <f>-I17*K17/252</f>
        <v/>
      </c>
      <c r="O17" t="n">
        <v>1</v>
      </c>
      <c r="P17" t="n">
        <v>-63.85675433754921</v>
      </c>
      <c r="Q17" t="n">
        <v>0.0432</v>
      </c>
      <c r="R17" t="n">
        <v>0</v>
      </c>
      <c r="S17" t="n">
        <v>-63.85675433754921</v>
      </c>
    </row>
    <row r="18">
      <c r="A18" s="1" t="n">
        <v>44929</v>
      </c>
      <c r="B18" t="inlineStr">
        <is>
          <t>MSFU</t>
        </is>
      </c>
      <c r="C18" t="inlineStr">
        <is>
          <t>MSFT</t>
        </is>
      </c>
      <c r="D18" t="n">
        <v>233.4527893066406</v>
      </c>
      <c r="E18" t="n">
        <v>18.77336311340332</v>
      </c>
      <c r="F18" t="n">
        <v>8314</v>
      </c>
      <c r="G18" t="n">
        <v>-51898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0</v>
      </c>
      <c r="M18" t="n">
        <v>0</v>
      </c>
      <c r="N18">
        <f>-I18*K18/252</f>
        <v/>
      </c>
      <c r="O18" t="n">
        <v>1</v>
      </c>
      <c r="P18" t="n">
        <v>-19.33134918371837</v>
      </c>
      <c r="Q18" t="n">
        <v>0.0432</v>
      </c>
      <c r="R18" t="n">
        <v>0</v>
      </c>
      <c r="S18" t="n">
        <v>-19.33134918371837</v>
      </c>
    </row>
    <row r="19">
      <c r="A19" s="1" t="n">
        <v>44929</v>
      </c>
      <c r="B19" t="inlineStr">
        <is>
          <t>NVDL</t>
        </is>
      </c>
      <c r="C19" t="inlineStr">
        <is>
          <t>NVDA</t>
        </is>
      </c>
      <c r="D19" t="n">
        <v>14.29990863800049</v>
      </c>
      <c r="E19" t="n">
        <v>2.885448932647705</v>
      </c>
      <c r="F19" t="n">
        <v>307781</v>
      </c>
      <c r="G19" t="n">
        <v>-767265</v>
      </c>
      <c r="H19">
        <f>D19*F19</f>
        <v/>
      </c>
      <c r="I19">
        <f>E19*G19</f>
        <v/>
      </c>
      <c r="J19">
        <f>H19-I19</f>
        <v/>
      </c>
      <c r="K19" t="n">
        <v>0</v>
      </c>
      <c r="L19" t="n">
        <v>0</v>
      </c>
      <c r="M19" t="n">
        <v>0</v>
      </c>
      <c r="N19">
        <f>-I19*K19/252</f>
        <v/>
      </c>
      <c r="O19" t="n">
        <v>1</v>
      </c>
      <c r="P19" t="n">
        <v>0</v>
      </c>
      <c r="Q19" t="n">
        <v>0.0432</v>
      </c>
      <c r="R19" t="n">
        <v>0</v>
      </c>
      <c r="S19" t="n">
        <v>0</v>
      </c>
    </row>
    <row r="20">
      <c r="A20" s="1" t="n">
        <v>44929</v>
      </c>
      <c r="B20" t="inlineStr">
        <is>
          <t>SOXL</t>
        </is>
      </c>
      <c r="C20" t="inlineStr">
        <is>
          <t>SOXX</t>
        </is>
      </c>
      <c r="D20" t="n">
        <v>112.2133178710938</v>
      </c>
      <c r="E20" t="n">
        <v>9.158902168273926</v>
      </c>
      <c r="F20" t="n">
        <v>8941</v>
      </c>
      <c r="G20" t="n">
        <v>-36957</v>
      </c>
      <c r="H20">
        <f>D20*F20</f>
        <v/>
      </c>
      <c r="I20">
        <f>E20*G20</f>
        <v/>
      </c>
      <c r="J20">
        <f>H20-I20</f>
        <v/>
      </c>
      <c r="K20" t="n">
        <v>-0.0175</v>
      </c>
      <c r="L20" t="n">
        <v>0</v>
      </c>
      <c r="M20" t="n">
        <v>0</v>
      </c>
      <c r="N20">
        <f>-I20*K20/252</f>
        <v/>
      </c>
      <c r="O20" t="n">
        <v>1</v>
      </c>
      <c r="P20" t="n">
        <v>-23.50594079395135</v>
      </c>
      <c r="Q20" t="n">
        <v>0.0432</v>
      </c>
      <c r="R20" t="n">
        <v>0</v>
      </c>
      <c r="S20" t="n">
        <v>-23.50594079395135</v>
      </c>
    </row>
    <row r="21">
      <c r="A21" s="1" t="n">
        <v>44929</v>
      </c>
      <c r="B21" t="inlineStr">
        <is>
          <t>SOXS</t>
        </is>
      </c>
      <c r="C21" t="inlineStr">
        <is>
          <t>SOXX</t>
        </is>
      </c>
      <c r="D21" t="n">
        <v>-0</v>
      </c>
      <c r="E21" t="n">
        <v>-0</v>
      </c>
      <c r="F21" t="n">
        <v>-6997</v>
      </c>
      <c r="G21" t="n">
        <v>-37</v>
      </c>
      <c r="H21">
        <f>D21*F21</f>
        <v/>
      </c>
      <c r="I21">
        <f>E21*G21</f>
        <v/>
      </c>
      <c r="J21">
        <f>H21-I21</f>
        <v/>
      </c>
      <c r="K21" t="n">
        <v>0.07000000000000001</v>
      </c>
      <c r="L21" t="n">
        <v>0</v>
      </c>
      <c r="M21" t="n">
        <v>0</v>
      </c>
      <c r="N21">
        <f>-I21*K21/252</f>
        <v/>
      </c>
      <c r="O21" t="n">
        <v>1</v>
      </c>
      <c r="P21" t="n">
        <v>0</v>
      </c>
      <c r="Q21" t="n">
        <v>0.0432</v>
      </c>
      <c r="R21" t="n">
        <v>0</v>
      </c>
      <c r="S21" t="n">
        <v>0</v>
      </c>
    </row>
    <row r="22">
      <c r="A22" s="1" t="n">
        <v>44929</v>
      </c>
      <c r="B22" t="inlineStr">
        <is>
          <t>HIBL</t>
        </is>
      </c>
      <c r="C22" t="inlineStr">
        <is>
          <t>SPHB</t>
        </is>
      </c>
      <c r="D22" t="n">
        <v>60.59737014770508</v>
      </c>
      <c r="E22" t="n">
        <v>22.45187759399414</v>
      </c>
      <c r="F22" t="n">
        <v>6521</v>
      </c>
      <c r="G22" t="n">
        <v>-5851</v>
      </c>
      <c r="H22">
        <f>D22*F22</f>
        <v/>
      </c>
      <c r="I22">
        <f>E22*G22</f>
        <v/>
      </c>
      <c r="J22">
        <f>H22-I22</f>
        <v/>
      </c>
      <c r="K22" t="n">
        <v>0.12</v>
      </c>
      <c r="L22" t="n">
        <v>0</v>
      </c>
      <c r="M22" t="n">
        <v>0</v>
      </c>
      <c r="N22">
        <f>-I22*K22/252</f>
        <v/>
      </c>
      <c r="O22" t="n">
        <v>1</v>
      </c>
      <c r="P22" t="n">
        <v>62.55520752498082</v>
      </c>
      <c r="Q22" t="n">
        <v>0.0432</v>
      </c>
      <c r="R22" t="n">
        <v>0</v>
      </c>
      <c r="S22" t="n">
        <v>62.55520752498082</v>
      </c>
    </row>
    <row r="23">
      <c r="A23" s="1" t="n">
        <v>44929</v>
      </c>
      <c r="B23" t="inlineStr">
        <is>
          <t>TSLL</t>
        </is>
      </c>
      <c r="C23" t="inlineStr">
        <is>
          <t>TSLA</t>
        </is>
      </c>
      <c r="D23" t="n">
        <v>108.0999984741211</v>
      </c>
      <c r="E23" t="n">
        <v>4.406934261322021</v>
      </c>
      <c r="F23" t="n">
        <v>16893</v>
      </c>
      <c r="G23" t="n">
        <v>-207812</v>
      </c>
      <c r="H23">
        <f>D23*F23</f>
        <v/>
      </c>
      <c r="I23">
        <f>E23*G23</f>
        <v/>
      </c>
      <c r="J23">
        <f>H23-I23</f>
        <v/>
      </c>
      <c r="K23" t="n">
        <v>0.01</v>
      </c>
      <c r="L23" t="n">
        <v>0</v>
      </c>
      <c r="M23" t="n">
        <v>0</v>
      </c>
      <c r="N23">
        <f>-I23*K23/252</f>
        <v/>
      </c>
      <c r="O23" t="n">
        <v>1</v>
      </c>
      <c r="P23" t="n">
        <v>36.34181836166078</v>
      </c>
      <c r="Q23" t="n">
        <v>0.0432</v>
      </c>
      <c r="R23" t="n">
        <v>0</v>
      </c>
      <c r="S23" t="n">
        <v>36.34181836166078</v>
      </c>
    </row>
    <row r="24">
      <c r="A24" s="1" t="n">
        <v>44929</v>
      </c>
      <c r="B24" t="inlineStr">
        <is>
          <t>TSLQ</t>
        </is>
      </c>
      <c r="C24" t="inlineStr">
        <is>
          <t>TSLA</t>
        </is>
      </c>
      <c r="D24" t="n">
        <v>-0</v>
      </c>
      <c r="E24" t="n">
        <v>-0</v>
      </c>
      <c r="F24" t="n">
        <v>-6277</v>
      </c>
      <c r="G24" t="n">
        <v>-302</v>
      </c>
      <c r="H24">
        <f>D24*F24</f>
        <v/>
      </c>
      <c r="I24">
        <f>E24*G24</f>
        <v/>
      </c>
      <c r="J24">
        <f>H24-I24</f>
        <v/>
      </c>
      <c r="K24" t="n">
        <v>-0.02</v>
      </c>
      <c r="L24" t="n">
        <v>0</v>
      </c>
      <c r="M24" t="n">
        <v>0</v>
      </c>
      <c r="N24">
        <f>-I24*K24/252</f>
        <v/>
      </c>
      <c r="O24" t="n">
        <v>1</v>
      </c>
      <c r="P24" t="n">
        <v>0</v>
      </c>
      <c r="Q24" t="n">
        <v>0.0432</v>
      </c>
      <c r="R24" t="n">
        <v>0</v>
      </c>
      <c r="S24" t="n">
        <v>0</v>
      </c>
    </row>
    <row r="25">
      <c r="A25" s="1" t="n">
        <v>44929</v>
      </c>
      <c r="B25" t="inlineStr">
        <is>
          <t>LABU</t>
        </is>
      </c>
      <c r="C25" t="inlineStr">
        <is>
          <t>XBI</t>
        </is>
      </c>
      <c r="D25" t="n">
        <v>81.09487152099609</v>
      </c>
      <c r="E25" t="n">
        <v>131.4068603515625</v>
      </c>
      <c r="F25" t="n">
        <v>3382</v>
      </c>
      <c r="G25" t="n">
        <v>-699</v>
      </c>
      <c r="H25">
        <f>D25*F25</f>
        <v/>
      </c>
      <c r="I25">
        <f>E25*G25</f>
        <v/>
      </c>
      <c r="J25">
        <f>H25-I25</f>
        <v/>
      </c>
      <c r="K25" t="n">
        <v>0.1</v>
      </c>
      <c r="L25" t="n">
        <v>0</v>
      </c>
      <c r="M25" t="n">
        <v>0</v>
      </c>
      <c r="N25">
        <f>-I25*K25/252</f>
        <v/>
      </c>
      <c r="O25" t="n">
        <v>1</v>
      </c>
      <c r="P25" t="n">
        <v>36.44976007370722</v>
      </c>
      <c r="Q25" t="n">
        <v>0.0432</v>
      </c>
      <c r="R25" t="n">
        <v>0</v>
      </c>
      <c r="S25" t="n">
        <v>36.44976007370722</v>
      </c>
    </row>
    <row r="26">
      <c r="A26" s="1" t="n">
        <v>44929</v>
      </c>
      <c r="B26" t="inlineStr">
        <is>
          <t>ERX</t>
        </is>
      </c>
      <c r="C26" t="inlineStr">
        <is>
          <t>XLE</t>
        </is>
      </c>
      <c r="D26" t="n">
        <v>37.8776741027832</v>
      </c>
      <c r="E26" t="n">
        <v>56.53576278686522</v>
      </c>
      <c r="F26" t="n">
        <v>1856</v>
      </c>
      <c r="G26" t="n">
        <v>-625</v>
      </c>
      <c r="H26">
        <f>D26*F26</f>
        <v/>
      </c>
      <c r="I26">
        <f>E26*G26</f>
        <v/>
      </c>
      <c r="J26">
        <f>H26-I26</f>
        <v/>
      </c>
      <c r="K26" t="n">
        <v>0.12</v>
      </c>
      <c r="L26" t="n">
        <v>0</v>
      </c>
      <c r="M26" t="n">
        <v>0</v>
      </c>
      <c r="N26">
        <f>-I26*K26/252</f>
        <v/>
      </c>
      <c r="O26" t="n">
        <v>1</v>
      </c>
      <c r="P26" t="n">
        <v>16.82611987704322</v>
      </c>
      <c r="Q26" t="n">
        <v>0.0432</v>
      </c>
      <c r="R26" t="n">
        <v>0</v>
      </c>
      <c r="S26" t="n">
        <v>16.82611987704322</v>
      </c>
    </row>
    <row r="27">
      <c r="A27" s="1" t="n">
        <v>44929</v>
      </c>
      <c r="B27" t="inlineStr">
        <is>
          <t>GUSH</t>
        </is>
      </c>
      <c r="C27" t="inlineStr">
        <is>
          <t>XOP</t>
        </is>
      </c>
      <c r="D27" t="n">
        <v>118.3479843139648</v>
      </c>
      <c r="E27" t="n">
        <v>29.7099552154541</v>
      </c>
      <c r="F27" t="n">
        <v>3057</v>
      </c>
      <c r="G27" t="n">
        <v>-6059</v>
      </c>
      <c r="H27">
        <f>D27*F27</f>
        <v/>
      </c>
      <c r="I27">
        <f>E27*G27</f>
        <v/>
      </c>
      <c r="J27">
        <f>H27-I27</f>
        <v/>
      </c>
      <c r="K27" t="n">
        <v>-0.01</v>
      </c>
      <c r="L27" t="n">
        <v>0</v>
      </c>
      <c r="M27" t="n">
        <v>0</v>
      </c>
      <c r="N27">
        <f>-I27*K27/252</f>
        <v/>
      </c>
      <c r="O27" t="n">
        <v>1</v>
      </c>
      <c r="P27" t="n">
        <v>-7.143357882953826</v>
      </c>
      <c r="Q27" t="n">
        <v>0.0432</v>
      </c>
      <c r="R27" t="n">
        <v>0</v>
      </c>
      <c r="S27" t="n">
        <v>-7.143357882953826</v>
      </c>
    </row>
    <row r="28">
      <c r="A28" s="1" t="n">
        <v>44930</v>
      </c>
      <c r="B28" t="inlineStr">
        <is>
          <t>AAPB</t>
        </is>
      </c>
      <c r="C28" t="inlineStr">
        <is>
          <t>AAPL</t>
        </is>
      </c>
      <c r="D28" t="n">
        <v>124.3656616210938</v>
      </c>
      <c r="E28" t="n">
        <v>11.82626438140869</v>
      </c>
      <c r="F28" t="n">
        <v>9028</v>
      </c>
      <c r="G28" t="n">
        <v>-47878</v>
      </c>
      <c r="H28">
        <f>D28*F28</f>
        <v/>
      </c>
      <c r="I28">
        <f>E28*G28</f>
        <v/>
      </c>
      <c r="J28">
        <f>H28-I28</f>
        <v/>
      </c>
      <c r="K28" t="n">
        <v>-0.005</v>
      </c>
      <c r="L28" t="n">
        <v>0</v>
      </c>
      <c r="M28" t="n">
        <v>0</v>
      </c>
      <c r="N28">
        <f>-I28*K28/252</f>
        <v/>
      </c>
      <c r="O28" t="n">
        <v>0</v>
      </c>
      <c r="P28" t="n">
        <v>-22.31472980525758</v>
      </c>
      <c r="Q28" t="n">
        <v>0.0432</v>
      </c>
      <c r="R28" t="n">
        <v>0</v>
      </c>
      <c r="S28" t="n">
        <v>-11.23448186613264</v>
      </c>
    </row>
    <row r="29">
      <c r="A29" s="1" t="n">
        <v>44930</v>
      </c>
      <c r="B29" t="inlineStr">
        <is>
          <t>AAPU</t>
        </is>
      </c>
      <c r="C29" t="inlineStr">
        <is>
          <t>AAPL</t>
        </is>
      </c>
      <c r="D29" t="n">
        <v>124.3656616210938</v>
      </c>
      <c r="E29" t="n">
        <v>12.34465026855469</v>
      </c>
      <c r="F29" t="n">
        <v>7633</v>
      </c>
      <c r="G29" t="n">
        <v>-38936</v>
      </c>
      <c r="H29">
        <f>D29*F29</f>
        <v/>
      </c>
      <c r="I29">
        <f>E29*G29</f>
        <v/>
      </c>
      <c r="J29">
        <f>H29-I29</f>
        <v/>
      </c>
      <c r="K29" t="n">
        <v>0.02</v>
      </c>
      <c r="L29" t="n">
        <v>0</v>
      </c>
      <c r="M29" t="n">
        <v>0</v>
      </c>
      <c r="N29">
        <f>-I29*K29/252</f>
        <v/>
      </c>
      <c r="O29" t="n">
        <v>0</v>
      </c>
      <c r="P29" t="n">
        <v>75.69706845177545</v>
      </c>
      <c r="Q29" t="n">
        <v>0.0432</v>
      </c>
      <c r="R29" t="n">
        <v>0</v>
      </c>
      <c r="S29" t="n">
        <v>38.14692879813058</v>
      </c>
    </row>
    <row r="30">
      <c r="A30" s="1" t="n">
        <v>44930</v>
      </c>
      <c r="B30" t="inlineStr">
        <is>
          <t>AMZU</t>
        </is>
      </c>
      <c r="C30" t="inlineStr">
        <is>
          <t>AMZN</t>
        </is>
      </c>
      <c r="D30" t="n">
        <v>85.13999938964844</v>
      </c>
      <c r="E30" t="n">
        <v>11.3672924041748</v>
      </c>
      <c r="F30" t="n">
        <v>27599</v>
      </c>
      <c r="G30" t="n">
        <v>-103312</v>
      </c>
      <c r="H30">
        <f>D30*F30</f>
        <v/>
      </c>
      <c r="I30">
        <f>E30*G30</f>
        <v/>
      </c>
      <c r="J30">
        <f>H30-I30</f>
        <v/>
      </c>
      <c r="K30" t="n">
        <v>-0.0025</v>
      </c>
      <c r="L30" t="n">
        <v>0</v>
      </c>
      <c r="M30" t="n">
        <v>0</v>
      </c>
      <c r="N30">
        <f>-I30*K30/252</f>
        <v/>
      </c>
      <c r="O30" t="n">
        <v>0</v>
      </c>
      <c r="P30" t="n">
        <v>-23.46428968792869</v>
      </c>
      <c r="Q30" t="n">
        <v>0.0432</v>
      </c>
      <c r="R30" t="n">
        <v>0</v>
      </c>
      <c r="S30" t="n">
        <v>-11.65057254821535</v>
      </c>
    </row>
    <row r="31">
      <c r="A31" s="1" t="n">
        <v>44930</v>
      </c>
      <c r="B31" t="inlineStr">
        <is>
          <t>TARK</t>
        </is>
      </c>
      <c r="C31" t="inlineStr">
        <is>
          <t>ARKK</t>
        </is>
      </c>
      <c r="D31" t="n">
        <v>31.51715278625488</v>
      </c>
      <c r="E31" t="n">
        <v>16.97279357910156</v>
      </c>
      <c r="F31" t="n">
        <v>20537</v>
      </c>
      <c r="G31" t="n">
        <v>-20077</v>
      </c>
      <c r="H31">
        <f>D31*F31</f>
        <v/>
      </c>
      <c r="I31">
        <f>E31*G31</f>
        <v/>
      </c>
      <c r="J31">
        <f>H31-I31</f>
        <v/>
      </c>
      <c r="K31" t="n">
        <v>-0.02</v>
      </c>
      <c r="L31" t="n">
        <v>0</v>
      </c>
      <c r="M31" t="n">
        <v>0</v>
      </c>
      <c r="N31">
        <f>-I31*K31/252</f>
        <v/>
      </c>
      <c r="O31" t="n">
        <v>0</v>
      </c>
      <c r="P31" t="n">
        <v>-51.9245105606412</v>
      </c>
      <c r="Q31" t="n">
        <v>0.0432</v>
      </c>
      <c r="R31" t="n">
        <v>0</v>
      </c>
      <c r="S31" t="n">
        <v>-27.04466481647794</v>
      </c>
    </row>
    <row r="32">
      <c r="A32" s="1" t="n">
        <v>44930</v>
      </c>
      <c r="B32" t="inlineStr">
        <is>
          <t>CHAU</t>
        </is>
      </c>
      <c r="C32" t="inlineStr">
        <is>
          <t>ASHR</t>
        </is>
      </c>
      <c r="D32" t="n">
        <v>27.14078712463379</v>
      </c>
      <c r="E32" t="n">
        <v>19.54665565490723</v>
      </c>
      <c r="F32" t="n">
        <v>5713</v>
      </c>
      <c r="G32" t="n">
        <v>-4099</v>
      </c>
      <c r="H32">
        <f>D32*F32</f>
        <v/>
      </c>
      <c r="I32">
        <f>E32*G32</f>
        <v/>
      </c>
      <c r="J32">
        <f>H32-I32</f>
        <v/>
      </c>
      <c r="K32" t="n">
        <v>-0.01</v>
      </c>
      <c r="L32" t="n">
        <v>0</v>
      </c>
      <c r="M32" t="n">
        <v>0</v>
      </c>
      <c r="N32">
        <f>-I32*K32/252</f>
        <v/>
      </c>
      <c r="O32" t="n">
        <v>0</v>
      </c>
      <c r="P32" t="n">
        <v>-6.253035709593032</v>
      </c>
      <c r="Q32" t="n">
        <v>0.0432</v>
      </c>
      <c r="R32" t="n">
        <v>0</v>
      </c>
      <c r="S32" t="n">
        <v>-3.179434187677172</v>
      </c>
    </row>
    <row r="33">
      <c r="A33" s="1" t="n">
        <v>44930</v>
      </c>
      <c r="B33" t="inlineStr">
        <is>
          <t>BABX</t>
        </is>
      </c>
      <c r="C33" t="inlineStr">
        <is>
          <t>BABA</t>
        </is>
      </c>
      <c r="D33" t="n">
        <v>98.69229888916016</v>
      </c>
      <c r="E33" t="n">
        <v>31.91799926757812</v>
      </c>
      <c r="F33" t="n">
        <v>5330</v>
      </c>
      <c r="G33" t="n">
        <v>-8920</v>
      </c>
      <c r="H33">
        <f>D33*F33</f>
        <v/>
      </c>
      <c r="I33">
        <f>E33*G33</f>
        <v/>
      </c>
      <c r="J33">
        <f>H33-I33</f>
        <v/>
      </c>
      <c r="K33" t="n">
        <v>-0.0275</v>
      </c>
      <c r="L33" t="n">
        <v>0</v>
      </c>
      <c r="M33" t="n">
        <v>0</v>
      </c>
      <c r="N33">
        <f>-I33*K33/252</f>
        <v/>
      </c>
      <c r="O33" t="n">
        <v>0</v>
      </c>
      <c r="P33" t="n">
        <v>-56.39758465327913</v>
      </c>
      <c r="Q33" t="n">
        <v>0.0432</v>
      </c>
      <c r="R33" t="n">
        <v>0</v>
      </c>
      <c r="S33" t="n">
        <v>-31.06938579498775</v>
      </c>
    </row>
    <row r="34">
      <c r="A34" s="1" t="n">
        <v>44930</v>
      </c>
      <c r="B34" t="inlineStr">
        <is>
          <t>CONL</t>
        </is>
      </c>
      <c r="C34" t="inlineStr">
        <is>
          <t>COIN</t>
        </is>
      </c>
      <c r="D34" t="n">
        <v>37.70000076293945</v>
      </c>
      <c r="E34" t="n">
        <v>5.047493457794189</v>
      </c>
      <c r="F34" t="n">
        <v>98778</v>
      </c>
      <c r="G34" t="n">
        <v>-394919</v>
      </c>
      <c r="H34">
        <f>D34*F34</f>
        <v/>
      </c>
      <c r="I34">
        <f>E34*G34</f>
        <v/>
      </c>
      <c r="J34">
        <f>H34-I34</f>
        <v/>
      </c>
      <c r="K34" t="n">
        <v>0.03</v>
      </c>
      <c r="L34" t="n">
        <v>0</v>
      </c>
      <c r="M34" t="n">
        <v>0</v>
      </c>
      <c r="N34">
        <f>-I34*K34/252</f>
        <v/>
      </c>
      <c r="O34" t="n">
        <v>0</v>
      </c>
      <c r="P34" t="n">
        <v>436.1510495420296</v>
      </c>
      <c r="Q34" t="n">
        <v>0.0432</v>
      </c>
      <c r="R34" t="n">
        <v>0</v>
      </c>
      <c r="S34" t="n">
        <v>237.3036986736456</v>
      </c>
    </row>
    <row r="35">
      <c r="A35" s="1" t="n">
        <v>44930</v>
      </c>
      <c r="B35" t="inlineStr">
        <is>
          <t>MEXX</t>
        </is>
      </c>
      <c r="C35" t="inlineStr">
        <is>
          <t>EWW</t>
        </is>
      </c>
      <c r="D35" t="n">
        <v>46.71038436889648</v>
      </c>
      <c r="E35" t="n">
        <v>17.26618576049805</v>
      </c>
      <c r="F35" t="n">
        <v>9067</v>
      </c>
      <c r="G35" t="n">
        <v>-8695</v>
      </c>
      <c r="H35">
        <f>D35*F35</f>
        <v/>
      </c>
      <c r="I35">
        <f>E35*G35</f>
        <v/>
      </c>
      <c r="J35">
        <f>H35-I35</f>
        <v/>
      </c>
      <c r="K35" t="n">
        <v>0.0075</v>
      </c>
      <c r="L35" t="n">
        <v>0</v>
      </c>
      <c r="M35" t="n">
        <v>0</v>
      </c>
      <c r="N35">
        <f>-I35*K35/252</f>
        <v/>
      </c>
      <c r="O35" t="n">
        <v>0</v>
      </c>
      <c r="P35" t="n">
        <v>8.631371791589828</v>
      </c>
      <c r="Q35" t="n">
        <v>0.0432</v>
      </c>
      <c r="R35" t="n">
        <v>0</v>
      </c>
      <c r="S35" t="n">
        <v>4.468139440105076</v>
      </c>
    </row>
    <row r="36">
      <c r="A36" s="1" t="n">
        <v>44930</v>
      </c>
      <c r="B36" t="inlineStr">
        <is>
          <t>KORU</t>
        </is>
      </c>
      <c r="C36" t="inlineStr">
        <is>
          <t>EWY</t>
        </is>
      </c>
      <c r="D36" t="n">
        <v>53.63827133178711</v>
      </c>
      <c r="E36" t="n">
        <v>73.71712493896484</v>
      </c>
      <c r="F36" t="n">
        <v>12826</v>
      </c>
      <c r="G36" t="n">
        <v>-3410</v>
      </c>
      <c r="H36">
        <f>D36*F36</f>
        <v/>
      </c>
      <c r="I36">
        <f>E36*G36</f>
        <v/>
      </c>
      <c r="J36">
        <f>H36-I36</f>
        <v/>
      </c>
      <c r="K36" t="n">
        <v>0.0225</v>
      </c>
      <c r="L36" t="n">
        <v>0</v>
      </c>
      <c r="M36" t="n">
        <v>0</v>
      </c>
      <c r="N36">
        <f>-I36*K36/252</f>
        <v/>
      </c>
      <c r="O36" t="n">
        <v>0</v>
      </c>
      <c r="P36" t="n">
        <v>42.5843008518219</v>
      </c>
      <c r="Q36" t="n">
        <v>0.0432</v>
      </c>
      <c r="R36" t="n">
        <v>0</v>
      </c>
      <c r="S36" t="n">
        <v>22.44423178945269</v>
      </c>
    </row>
    <row r="37">
      <c r="A37" s="1" t="n">
        <v>44930</v>
      </c>
      <c r="B37" t="inlineStr">
        <is>
          <t>YINN</t>
        </is>
      </c>
      <c r="C37" t="inlineStr">
        <is>
          <t>FXI</t>
        </is>
      </c>
      <c r="D37" t="n">
        <v>28.97209739685059</v>
      </c>
      <c r="E37" t="n">
        <v>56.7504768371582</v>
      </c>
      <c r="F37" t="n">
        <v>35048</v>
      </c>
      <c r="G37" t="n">
        <v>-6728</v>
      </c>
      <c r="H37">
        <f>D37*F37</f>
        <v/>
      </c>
      <c r="I37">
        <f>E37*G37</f>
        <v/>
      </c>
      <c r="J37">
        <f>H37-I37</f>
        <v/>
      </c>
      <c r="K37" t="n">
        <v>-0.02</v>
      </c>
      <c r="L37" t="n">
        <v>0</v>
      </c>
      <c r="M37" t="n">
        <v>0</v>
      </c>
      <c r="N37">
        <f>-I37*K37/252</f>
        <v/>
      </c>
      <c r="O37" t="n">
        <v>0</v>
      </c>
      <c r="P37" t="n">
        <v>-55.76841366964673</v>
      </c>
      <c r="Q37" t="n">
        <v>0.0432</v>
      </c>
      <c r="R37" t="n">
        <v>0</v>
      </c>
      <c r="S37" t="n">
        <v>-30.30295302860321</v>
      </c>
    </row>
    <row r="38">
      <c r="A38" s="1" t="n">
        <v>44930</v>
      </c>
      <c r="B38" t="inlineStr">
        <is>
          <t>JNUG</t>
        </is>
      </c>
      <c r="C38" t="inlineStr">
        <is>
          <t>GDXJ</t>
        </is>
      </c>
      <c r="D38" t="n">
        <v>36.55286407470703</v>
      </c>
      <c r="E38" t="n">
        <v>39.54270172119141</v>
      </c>
      <c r="F38" t="n">
        <v>13873</v>
      </c>
      <c r="G38" t="n">
        <v>-6778</v>
      </c>
      <c r="H38">
        <f>D38*F38</f>
        <v/>
      </c>
      <c r="I38">
        <f>E38*G38</f>
        <v/>
      </c>
      <c r="J38">
        <f>H38-I38</f>
        <v/>
      </c>
      <c r="K38" t="n">
        <v>-0.005</v>
      </c>
      <c r="L38" t="n">
        <v>0</v>
      </c>
      <c r="M38" t="n">
        <v>0</v>
      </c>
      <c r="N38">
        <f>-I38*K38/252</f>
        <v/>
      </c>
      <c r="O38" t="n">
        <v>0</v>
      </c>
      <c r="P38" t="n">
        <v>-10.17998680069333</v>
      </c>
      <c r="Q38" t="n">
        <v>0.0432</v>
      </c>
      <c r="R38" t="n">
        <v>0</v>
      </c>
      <c r="S38" t="n">
        <v>-5.317865719568163</v>
      </c>
    </row>
    <row r="39">
      <c r="A39" s="1" t="n">
        <v>44930</v>
      </c>
      <c r="B39" t="inlineStr">
        <is>
          <t>GDXU</t>
        </is>
      </c>
      <c r="C39" t="inlineStr">
        <is>
          <t>GDX</t>
        </is>
      </c>
      <c r="D39" t="n">
        <v>29.85069274902344</v>
      </c>
      <c r="E39" t="n">
        <v>52.40000152587892</v>
      </c>
      <c r="F39" t="n">
        <v>53192</v>
      </c>
      <c r="G39" t="n">
        <v>-10760</v>
      </c>
      <c r="H39">
        <f>D39*F39</f>
        <v/>
      </c>
      <c r="I39">
        <f>E39*G39</f>
        <v/>
      </c>
      <c r="J39">
        <f>H39-I39</f>
        <v/>
      </c>
      <c r="K39" t="n">
        <v>-0.005</v>
      </c>
      <c r="L39" t="n">
        <v>0</v>
      </c>
      <c r="M39" t="n">
        <v>0</v>
      </c>
      <c r="N39">
        <f>-I39*K39/252</f>
        <v/>
      </c>
      <c r="O39" t="n">
        <v>0</v>
      </c>
      <c r="P39" t="n">
        <v>-21.11863534412687</v>
      </c>
      <c r="Q39" t="n">
        <v>0.0432</v>
      </c>
      <c r="R39" t="n">
        <v>0</v>
      </c>
      <c r="S39" t="n">
        <v>-11.18698445274717</v>
      </c>
    </row>
    <row r="40">
      <c r="A40" s="1" t="n">
        <v>44930</v>
      </c>
      <c r="B40" t="inlineStr">
        <is>
          <t>NUGT</t>
        </is>
      </c>
      <c r="C40" t="inlineStr">
        <is>
          <t>GDX</t>
        </is>
      </c>
      <c r="D40" t="n">
        <v>29.85069274902344</v>
      </c>
      <c r="E40" t="n">
        <v>38.31034851074219</v>
      </c>
      <c r="F40" t="n">
        <v>15820</v>
      </c>
      <c r="G40" t="n">
        <v>-6494</v>
      </c>
      <c r="H40">
        <f>D40*F40</f>
        <v/>
      </c>
      <c r="I40">
        <f>E40*G40</f>
        <v/>
      </c>
      <c r="J40">
        <f>H40-I40</f>
        <v/>
      </c>
      <c r="K40" t="n">
        <v>-0.0175</v>
      </c>
      <c r="L40" t="n">
        <v>0</v>
      </c>
      <c r="M40" t="n">
        <v>0</v>
      </c>
      <c r="N40">
        <f>-I40*K40/252</f>
        <v/>
      </c>
      <c r="O40" t="n">
        <v>0</v>
      </c>
      <c r="P40" t="n">
        <v>-33.18949736171299</v>
      </c>
      <c r="Q40" t="n">
        <v>0.0432</v>
      </c>
      <c r="R40" t="n">
        <v>0</v>
      </c>
      <c r="S40" t="n">
        <v>-17.27690300199721</v>
      </c>
    </row>
    <row r="41">
      <c r="A41" s="1" t="n">
        <v>44930</v>
      </c>
      <c r="B41" t="inlineStr">
        <is>
          <t>GGLL</t>
        </is>
      </c>
      <c r="C41" t="inlineStr">
        <is>
          <t>GOOGL</t>
        </is>
      </c>
      <c r="D41" t="n">
        <v>87.35798645019531</v>
      </c>
      <c r="E41" t="n">
        <v>15.94943714141846</v>
      </c>
      <c r="F41" t="n">
        <v>20098</v>
      </c>
      <c r="G41" t="n">
        <v>-54856</v>
      </c>
      <c r="H41">
        <f>D41*F41</f>
        <v/>
      </c>
      <c r="I41">
        <f>E41*G41</f>
        <v/>
      </c>
      <c r="J41">
        <f>H41-I41</f>
        <v/>
      </c>
      <c r="K41" t="n">
        <v>0</v>
      </c>
      <c r="L41" t="n">
        <v>0</v>
      </c>
      <c r="M41" t="n">
        <v>0</v>
      </c>
      <c r="N41">
        <f>-I41*K41/252</f>
        <v/>
      </c>
      <c r="O41" t="n">
        <v>0</v>
      </c>
      <c r="P41" t="n">
        <v>0</v>
      </c>
      <c r="Q41" t="n">
        <v>0.0432</v>
      </c>
      <c r="R41" t="n">
        <v>0</v>
      </c>
      <c r="S41" t="n">
        <v>0</v>
      </c>
    </row>
    <row r="42">
      <c r="A42" s="1" t="n">
        <v>44930</v>
      </c>
      <c r="B42" t="inlineStr">
        <is>
          <t>CWEB</t>
        </is>
      </c>
      <c r="C42" t="inlineStr">
        <is>
          <t>KWEB</t>
        </is>
      </c>
      <c r="D42" t="n">
        <v>30.99728202819824</v>
      </c>
      <c r="E42" t="n">
        <v>59.48901748657227</v>
      </c>
      <c r="F42" t="n">
        <v>14605</v>
      </c>
      <c r="G42" t="n">
        <v>-4138</v>
      </c>
      <c r="H42">
        <f>D42*F42</f>
        <v/>
      </c>
      <c r="I42">
        <f>E42*G42</f>
        <v/>
      </c>
      <c r="J42">
        <f>H42-I42</f>
        <v/>
      </c>
      <c r="K42" t="n">
        <v>-0.02</v>
      </c>
      <c r="L42" t="n">
        <v>0</v>
      </c>
      <c r="M42" t="n">
        <v>0</v>
      </c>
      <c r="N42">
        <f>-I42*K42/252</f>
        <v/>
      </c>
      <c r="O42" t="n">
        <v>0</v>
      </c>
      <c r="P42" t="n">
        <v>-36.14645881531731</v>
      </c>
      <c r="Q42" t="n">
        <v>0.0432</v>
      </c>
      <c r="R42" t="n">
        <v>0</v>
      </c>
      <c r="S42" t="n">
        <v>-19.5369487586854</v>
      </c>
    </row>
    <row r="43">
      <c r="A43" s="1" t="n">
        <v>44930</v>
      </c>
      <c r="B43" t="inlineStr">
        <is>
          <t>FBL</t>
        </is>
      </c>
      <c r="C43" t="inlineStr">
        <is>
          <t>META</t>
        </is>
      </c>
      <c r="D43" t="n">
        <v>126.3782577514648</v>
      </c>
      <c r="E43" t="n">
        <v>3.754470348358154</v>
      </c>
      <c r="F43" t="n">
        <v>25964</v>
      </c>
      <c r="G43" t="n">
        <v>-441819</v>
      </c>
      <c r="H43">
        <f>D43*F43</f>
        <v/>
      </c>
      <c r="I43">
        <f>E43*G43</f>
        <v/>
      </c>
      <c r="J43">
        <f>H43-I43</f>
        <v/>
      </c>
      <c r="K43" t="n">
        <v>-0.01</v>
      </c>
      <c r="L43" t="n">
        <v>0</v>
      </c>
      <c r="M43" t="n">
        <v>0</v>
      </c>
      <c r="N43">
        <f>-I43*K43/252</f>
        <v/>
      </c>
      <c r="O43" t="n">
        <v>0</v>
      </c>
      <c r="P43" t="n">
        <v>-129.6820057201385</v>
      </c>
      <c r="Q43" t="n">
        <v>0.0432</v>
      </c>
      <c r="R43" t="n">
        <v>0</v>
      </c>
      <c r="S43" t="n">
        <v>-65.82525138258933</v>
      </c>
    </row>
    <row r="44">
      <c r="A44" s="1" t="n">
        <v>44930</v>
      </c>
      <c r="B44" t="inlineStr">
        <is>
          <t>MSFU</t>
        </is>
      </c>
      <c r="C44" t="inlineStr">
        <is>
          <t>MSFT</t>
        </is>
      </c>
      <c r="D44" t="n">
        <v>223.2408142089844</v>
      </c>
      <c r="E44" t="n">
        <v>17.52344512939453</v>
      </c>
      <c r="F44" t="n">
        <v>8314</v>
      </c>
      <c r="G44" t="n">
        <v>-51898</v>
      </c>
      <c r="H44">
        <f>D44*F44</f>
        <v/>
      </c>
      <c r="I44">
        <f>E44*G44</f>
        <v/>
      </c>
      <c r="J44">
        <f>H44-I44</f>
        <v/>
      </c>
      <c r="K44" t="n">
        <v>-0.005</v>
      </c>
      <c r="L44" t="n">
        <v>0</v>
      </c>
      <c r="M44" t="n">
        <v>0</v>
      </c>
      <c r="N44">
        <f>-I44*K44/252</f>
        <v/>
      </c>
      <c r="O44" t="n">
        <v>0</v>
      </c>
      <c r="P44" t="n">
        <v>-37.37563004334768</v>
      </c>
      <c r="Q44" t="n">
        <v>0.0432</v>
      </c>
      <c r="R44" t="n">
        <v>0</v>
      </c>
      <c r="S44" t="n">
        <v>-18.04428085962931</v>
      </c>
    </row>
    <row r="45">
      <c r="A45" s="1" t="n">
        <v>44930</v>
      </c>
      <c r="B45" t="inlineStr">
        <is>
          <t>NVDL</t>
        </is>
      </c>
      <c r="C45" t="inlineStr">
        <is>
          <t>NVDA</t>
        </is>
      </c>
      <c r="D45" t="n">
        <v>14.73345279693604</v>
      </c>
      <c r="E45" t="n">
        <v>2.842646837234497</v>
      </c>
      <c r="F45" t="n">
        <v>307781</v>
      </c>
      <c r="G45" t="n">
        <v>-767265</v>
      </c>
      <c r="H45">
        <f>D45*F45</f>
        <v/>
      </c>
      <c r="I45">
        <f>E45*G45</f>
        <v/>
      </c>
      <c r="J45">
        <f>H45-I45</f>
        <v/>
      </c>
      <c r="K45" t="n">
        <v>0</v>
      </c>
      <c r="L45" t="n">
        <v>0</v>
      </c>
      <c r="M45" t="n">
        <v>0</v>
      </c>
      <c r="N45">
        <f>-I45*K45/252</f>
        <v/>
      </c>
      <c r="O45" t="n">
        <v>0</v>
      </c>
      <c r="P45" t="n">
        <v>0</v>
      </c>
      <c r="Q45" t="n">
        <v>0.0432</v>
      </c>
      <c r="R45" t="n">
        <v>0</v>
      </c>
      <c r="S45" t="n">
        <v>0</v>
      </c>
    </row>
    <row r="46">
      <c r="A46" s="1" t="n">
        <v>44930</v>
      </c>
      <c r="B46" t="inlineStr">
        <is>
          <t>SOXL</t>
        </is>
      </c>
      <c r="C46" t="inlineStr">
        <is>
          <t>SOXX</t>
        </is>
      </c>
      <c r="D46" t="n">
        <v>115.1017684936523</v>
      </c>
      <c r="E46" t="n">
        <v>9.853649139404297</v>
      </c>
      <c r="F46" t="n">
        <v>8941</v>
      </c>
      <c r="G46" t="n">
        <v>-36957</v>
      </c>
      <c r="H46">
        <f>D46*F46</f>
        <v/>
      </c>
      <c r="I46">
        <f>E46*G46</f>
        <v/>
      </c>
      <c r="J46">
        <f>H46-I46</f>
        <v/>
      </c>
      <c r="K46" t="n">
        <v>-0.0175</v>
      </c>
      <c r="L46" t="n">
        <v>0</v>
      </c>
      <c r="M46" t="n">
        <v>0</v>
      </c>
      <c r="N46">
        <f>-I46*K46/252</f>
        <v/>
      </c>
      <c r="O46" t="n">
        <v>0</v>
      </c>
      <c r="P46" t="n">
        <v>-48.79492074151834</v>
      </c>
      <c r="Q46" t="n">
        <v>0.0432</v>
      </c>
      <c r="R46" t="n">
        <v>0</v>
      </c>
      <c r="S46" t="n">
        <v>-25.28897994756699</v>
      </c>
    </row>
    <row r="47">
      <c r="A47" s="1" t="n">
        <v>44930</v>
      </c>
      <c r="B47" t="inlineStr">
        <is>
          <t>SOXS</t>
        </is>
      </c>
      <c r="C47" t="inlineStr">
        <is>
          <t>SOXX</t>
        </is>
      </c>
      <c r="D47" t="n">
        <v>-0</v>
      </c>
      <c r="E47" t="n">
        <v>-0</v>
      </c>
      <c r="F47" t="n">
        <v>-6997</v>
      </c>
      <c r="G47" t="n">
        <v>-37</v>
      </c>
      <c r="H47">
        <f>D47*F47</f>
        <v/>
      </c>
      <c r="I47">
        <f>E47*G47</f>
        <v/>
      </c>
      <c r="J47">
        <f>H47-I47</f>
        <v/>
      </c>
      <c r="K47" t="n">
        <v>0.07000000000000001</v>
      </c>
      <c r="L47" t="n">
        <v>0</v>
      </c>
      <c r="M47" t="n">
        <v>0</v>
      </c>
      <c r="N47">
        <f>-I47*K47/252</f>
        <v/>
      </c>
      <c r="O47" t="n">
        <v>0</v>
      </c>
      <c r="P47" t="n">
        <v>0</v>
      </c>
      <c r="Q47" t="n">
        <v>0.0432</v>
      </c>
      <c r="R47" t="n">
        <v>0</v>
      </c>
      <c r="S47" t="n">
        <v>0</v>
      </c>
    </row>
    <row r="48">
      <c r="A48" s="1" t="n">
        <v>44930</v>
      </c>
      <c r="B48" t="inlineStr">
        <is>
          <t>HIBL</t>
        </is>
      </c>
      <c r="C48" t="inlineStr">
        <is>
          <t>SPHB</t>
        </is>
      </c>
      <c r="D48" t="n">
        <v>62.3131217956543</v>
      </c>
      <c r="E48" t="n">
        <v>24.35961532592773</v>
      </c>
      <c r="F48" t="n">
        <v>6521</v>
      </c>
      <c r="G48" t="n">
        <v>-5851</v>
      </c>
      <c r="H48">
        <f>D48*F48</f>
        <v/>
      </c>
      <c r="I48">
        <f>E48*G48</f>
        <v/>
      </c>
      <c r="J48">
        <f>H48-I48</f>
        <v/>
      </c>
      <c r="K48" t="n">
        <v>0.12</v>
      </c>
      <c r="L48" t="n">
        <v>0</v>
      </c>
      <c r="M48" t="n">
        <v>0</v>
      </c>
      <c r="N48">
        <f>-I48*K48/252</f>
        <v/>
      </c>
      <c r="O48" t="n">
        <v>0</v>
      </c>
      <c r="P48" t="n">
        <v>130.4257357497442</v>
      </c>
      <c r="Q48" t="n">
        <v>0.0432</v>
      </c>
      <c r="R48" t="n">
        <v>0</v>
      </c>
      <c r="S48" t="n">
        <v>67.8705282247634</v>
      </c>
    </row>
    <row r="49">
      <c r="A49" s="1" t="n">
        <v>44930</v>
      </c>
      <c r="B49" t="inlineStr">
        <is>
          <t>TSLL</t>
        </is>
      </c>
      <c r="C49" t="inlineStr">
        <is>
          <t>TSLA</t>
        </is>
      </c>
      <c r="D49" t="n">
        <v>113.6399993896484</v>
      </c>
      <c r="E49" t="n">
        <v>4.744594573974609</v>
      </c>
      <c r="F49" t="n">
        <v>16893</v>
      </c>
      <c r="G49" t="n">
        <v>-207812</v>
      </c>
      <c r="H49">
        <f>D49*F49</f>
        <v/>
      </c>
      <c r="I49">
        <f>E49*G49</f>
        <v/>
      </c>
      <c r="J49">
        <f>H49-I49</f>
        <v/>
      </c>
      <c r="K49" t="n">
        <v>0.01</v>
      </c>
      <c r="L49" t="n">
        <v>0</v>
      </c>
      <c r="M49" t="n">
        <v>0</v>
      </c>
      <c r="N49">
        <f>-I49*K49/252</f>
        <v/>
      </c>
      <c r="O49" t="n">
        <v>0</v>
      </c>
      <c r="P49" t="n">
        <v>75.4681551714549</v>
      </c>
      <c r="Q49" t="n">
        <v>0.0432</v>
      </c>
      <c r="R49" t="n">
        <v>0</v>
      </c>
      <c r="S49" t="n">
        <v>39.1263368097941</v>
      </c>
    </row>
    <row r="50">
      <c r="A50" s="1" t="n">
        <v>44930</v>
      </c>
      <c r="B50" t="inlineStr">
        <is>
          <t>TSLQ</t>
        </is>
      </c>
      <c r="C50" t="inlineStr">
        <is>
          <t>TSLA</t>
        </is>
      </c>
      <c r="D50" t="n">
        <v>-0</v>
      </c>
      <c r="E50" t="n">
        <v>-0</v>
      </c>
      <c r="F50" t="n">
        <v>-6277</v>
      </c>
      <c r="G50" t="n">
        <v>-302</v>
      </c>
      <c r="H50">
        <f>D50*F50</f>
        <v/>
      </c>
      <c r="I50">
        <f>E50*G50</f>
        <v/>
      </c>
      <c r="J50">
        <f>H50-I50</f>
        <v/>
      </c>
      <c r="K50" t="n">
        <v>-0.02</v>
      </c>
      <c r="L50" t="n">
        <v>0</v>
      </c>
      <c r="M50" t="n">
        <v>0</v>
      </c>
      <c r="N50">
        <f>-I50*K50/252</f>
        <v/>
      </c>
      <c r="O50" t="n">
        <v>0</v>
      </c>
      <c r="P50" t="n">
        <v>0</v>
      </c>
      <c r="Q50" t="n">
        <v>0.0432</v>
      </c>
      <c r="R50" t="n">
        <v>0</v>
      </c>
      <c r="S50" t="n">
        <v>0</v>
      </c>
    </row>
    <row r="51">
      <c r="A51" s="1" t="n">
        <v>44930</v>
      </c>
      <c r="B51" t="inlineStr">
        <is>
          <t>LABU</t>
        </is>
      </c>
      <c r="C51" t="inlineStr">
        <is>
          <t>XBI</t>
        </is>
      </c>
      <c r="D51" t="n">
        <v>82.79574584960938</v>
      </c>
      <c r="E51" t="n">
        <v>139.2637481689453</v>
      </c>
      <c r="F51" t="n">
        <v>3382</v>
      </c>
      <c r="G51" t="n">
        <v>-699</v>
      </c>
      <c r="H51">
        <f>D51*F51</f>
        <v/>
      </c>
      <c r="I51">
        <f>E51*G51</f>
        <v/>
      </c>
      <c r="J51">
        <f>H51-I51</f>
        <v/>
      </c>
      <c r="K51" t="n">
        <v>0.1</v>
      </c>
      <c r="L51" t="n">
        <v>0</v>
      </c>
      <c r="M51" t="n">
        <v>0</v>
      </c>
      <c r="N51">
        <f>-I51*K51/252</f>
        <v/>
      </c>
      <c r="O51" t="n">
        <v>0</v>
      </c>
      <c r="P51" t="n">
        <v>75.07887117295039</v>
      </c>
      <c r="Q51" t="n">
        <v>0.0432</v>
      </c>
      <c r="R51" t="n">
        <v>0</v>
      </c>
      <c r="S51" t="n">
        <v>38.62911109924317</v>
      </c>
    </row>
    <row r="52">
      <c r="A52" s="1" t="n">
        <v>44930</v>
      </c>
      <c r="B52" t="inlineStr">
        <is>
          <t>ERX</t>
        </is>
      </c>
      <c r="C52" t="inlineStr">
        <is>
          <t>XLE</t>
        </is>
      </c>
      <c r="D52" t="n">
        <v>37.87318801879883</v>
      </c>
      <c r="E52" t="n">
        <v>56.59069061279297</v>
      </c>
      <c r="F52" t="n">
        <v>1856</v>
      </c>
      <c r="G52" t="n">
        <v>-625</v>
      </c>
      <c r="H52">
        <f>D52*F52</f>
        <v/>
      </c>
      <c r="I52">
        <f>E52*G52</f>
        <v/>
      </c>
      <c r="J52">
        <f>H52-I52</f>
        <v/>
      </c>
      <c r="K52" t="n">
        <v>0.12</v>
      </c>
      <c r="L52" t="n">
        <v>0</v>
      </c>
      <c r="M52" t="n">
        <v>0</v>
      </c>
      <c r="N52">
        <f>-I52*K52/252</f>
        <v/>
      </c>
      <c r="O52" t="n">
        <v>0</v>
      </c>
      <c r="P52" t="n">
        <v>33.66858732132684</v>
      </c>
      <c r="Q52" t="n">
        <v>0.0432</v>
      </c>
      <c r="R52" t="n">
        <v>0</v>
      </c>
      <c r="S52" t="n">
        <v>16.84246744428362</v>
      </c>
    </row>
    <row r="53">
      <c r="A53" s="1" t="n">
        <v>44930</v>
      </c>
      <c r="B53" t="inlineStr">
        <is>
          <t>GUSH</t>
        </is>
      </c>
      <c r="C53" t="inlineStr">
        <is>
          <t>XOP</t>
        </is>
      </c>
      <c r="D53" t="n">
        <v>118.7631225585938</v>
      </c>
      <c r="E53" t="n">
        <v>29.89154624938965</v>
      </c>
      <c r="F53" t="n">
        <v>3057</v>
      </c>
      <c r="G53" t="n">
        <v>-6059</v>
      </c>
      <c r="H53">
        <f>D53*F53</f>
        <v/>
      </c>
      <c r="I53">
        <f>E53*G53</f>
        <v/>
      </c>
      <c r="J53">
        <f>H53-I53</f>
        <v/>
      </c>
      <c r="K53" t="n">
        <v>-0.01</v>
      </c>
      <c r="L53" t="n">
        <v>0</v>
      </c>
      <c r="M53" t="n">
        <v>0</v>
      </c>
      <c r="N53">
        <f>-I53*K53/252</f>
        <v/>
      </c>
      <c r="O53" t="n">
        <v>0</v>
      </c>
      <c r="P53" t="n">
        <v>-14.33037687997969</v>
      </c>
      <c r="Q53" t="n">
        <v>0.0432</v>
      </c>
      <c r="R53" t="n">
        <v>0</v>
      </c>
      <c r="S53" t="n">
        <v>-7.187018997025868</v>
      </c>
    </row>
    <row r="54">
      <c r="A54" s="1" t="n">
        <v>44931</v>
      </c>
      <c r="B54" t="inlineStr">
        <is>
          <t>AAPB</t>
        </is>
      </c>
      <c r="C54" t="inlineStr">
        <is>
          <t>AAPL</t>
        </is>
      </c>
      <c r="D54" t="n">
        <v>123.0468139648438</v>
      </c>
      <c r="E54" t="n">
        <v>11.64209747314453</v>
      </c>
      <c r="F54" t="n">
        <v>9028</v>
      </c>
      <c r="G54" t="n">
        <v>-47878</v>
      </c>
      <c r="H54">
        <f>D54*F54</f>
        <v/>
      </c>
      <c r="I54">
        <f>E54*G54</f>
        <v/>
      </c>
      <c r="J54">
        <f>H54-I54</f>
        <v/>
      </c>
      <c r="K54" t="n">
        <v>-0.005</v>
      </c>
      <c r="L54" t="n">
        <v>-11906.556640625</v>
      </c>
      <c r="M54" t="n">
        <v>8817.54323387146</v>
      </c>
      <c r="N54">
        <f>-I54*K54/252</f>
        <v/>
      </c>
      <c r="O54" t="n">
        <v>0</v>
      </c>
      <c r="P54" t="n">
        <v>-33.37426041674992</v>
      </c>
      <c r="Q54" t="n">
        <v>0.0432</v>
      </c>
      <c r="R54" t="n">
        <v>0</v>
      </c>
      <c r="S54" t="n">
        <v>-3100.072937365032</v>
      </c>
    </row>
    <row r="55">
      <c r="A55" s="1" t="n">
        <v>44931</v>
      </c>
      <c r="B55" t="inlineStr">
        <is>
          <t>AAPU</t>
        </is>
      </c>
      <c r="C55" t="inlineStr">
        <is>
          <t>AAPL</t>
        </is>
      </c>
      <c r="D55" t="n">
        <v>123.0468139648438</v>
      </c>
      <c r="E55" t="n">
        <v>12.14379787445068</v>
      </c>
      <c r="F55" t="n">
        <v>7633</v>
      </c>
      <c r="G55" t="n">
        <v>-38936</v>
      </c>
      <c r="H55">
        <f>D55*F55</f>
        <v/>
      </c>
      <c r="I55">
        <f>E55*G55</f>
        <v/>
      </c>
      <c r="J55">
        <f>H55-I55</f>
        <v/>
      </c>
      <c r="K55" t="n">
        <v>0.02</v>
      </c>
      <c r="L55" t="n">
        <v>-10066.76416015625</v>
      </c>
      <c r="M55" t="n">
        <v>7820.388816833496</v>
      </c>
      <c r="N55">
        <f>-I55*K55/252</f>
        <v/>
      </c>
      <c r="O55" t="n">
        <v>0</v>
      </c>
      <c r="P55" t="n">
        <v>113.2233314707923</v>
      </c>
      <c r="Q55" t="n">
        <v>0.0432</v>
      </c>
      <c r="R55" t="n">
        <v>0</v>
      </c>
      <c r="S55" t="n">
        <v>-2208.849080303737</v>
      </c>
    </row>
    <row r="56">
      <c r="A56" s="1" t="n">
        <v>44931</v>
      </c>
      <c r="B56" t="inlineStr">
        <is>
          <t>AMZU</t>
        </is>
      </c>
      <c r="C56" t="inlineStr">
        <is>
          <t>AMZN</t>
        </is>
      </c>
      <c r="D56" t="n">
        <v>83.12000274658203</v>
      </c>
      <c r="E56" t="n">
        <v>10.96935272216797</v>
      </c>
      <c r="F56" t="n">
        <v>27599</v>
      </c>
      <c r="G56" t="n">
        <v>-103312</v>
      </c>
      <c r="H56">
        <f>D56*F56</f>
        <v/>
      </c>
      <c r="I56">
        <f>E56*G56</f>
        <v/>
      </c>
      <c r="J56">
        <f>H56-I56</f>
        <v/>
      </c>
      <c r="K56" t="n">
        <v>-0.0025</v>
      </c>
      <c r="L56" t="n">
        <v>-55749.88735198975</v>
      </c>
      <c r="M56" t="n">
        <v>41111.94442749023</v>
      </c>
      <c r="N56">
        <f>-I56*K56/252</f>
        <v/>
      </c>
      <c r="O56" t="n">
        <v>0</v>
      </c>
      <c r="P56" t="n">
        <v>-34.70700564460149</v>
      </c>
      <c r="Q56" t="n">
        <v>0.0432</v>
      </c>
      <c r="R56" t="n">
        <v>0</v>
      </c>
      <c r="S56" t="n">
        <v>-14649.1856404562</v>
      </c>
    </row>
    <row r="57">
      <c r="A57" s="1" t="n">
        <v>44931</v>
      </c>
      <c r="B57" t="inlineStr">
        <is>
          <t>TARK</t>
        </is>
      </c>
      <c r="C57" t="inlineStr">
        <is>
          <t>ARKK</t>
        </is>
      </c>
      <c r="D57" t="n">
        <v>30.7634391784668</v>
      </c>
      <c r="E57" t="n">
        <v>16.05270004272461</v>
      </c>
      <c r="F57" t="n">
        <v>20537</v>
      </c>
      <c r="G57" t="n">
        <v>-20077</v>
      </c>
      <c r="H57">
        <f>D57*F57</f>
        <v/>
      </c>
      <c r="I57">
        <f>E57*G57</f>
        <v/>
      </c>
      <c r="J57">
        <f>H57-I57</f>
        <v/>
      </c>
      <c r="K57" t="n">
        <v>-0.02</v>
      </c>
      <c r="L57" t="n">
        <v>-15479.01636314392</v>
      </c>
      <c r="M57" t="n">
        <v>18472.71792984009</v>
      </c>
      <c r="N57">
        <f>-I57*K57/252</f>
        <v/>
      </c>
      <c r="O57" t="n">
        <v>0</v>
      </c>
      <c r="P57" t="n">
        <v>-77.50308665252867</v>
      </c>
      <c r="Q57" t="n">
        <v>0.0432</v>
      </c>
      <c r="R57" t="n">
        <v>0</v>
      </c>
      <c r="S57" t="n">
        <v>2968.122990604283</v>
      </c>
    </row>
    <row r="58">
      <c r="A58" s="1" t="n">
        <v>44931</v>
      </c>
      <c r="B58" t="inlineStr">
        <is>
          <t>CHAU</t>
        </is>
      </c>
      <c r="C58" t="inlineStr">
        <is>
          <t>ASHR</t>
        </is>
      </c>
      <c r="D58" t="n">
        <v>27.47062301635742</v>
      </c>
      <c r="E58" t="n">
        <v>20.08732795715332</v>
      </c>
      <c r="F58" t="n">
        <v>5713</v>
      </c>
      <c r="G58" t="n">
        <v>-4099</v>
      </c>
      <c r="H58">
        <f>D58*F58</f>
        <v/>
      </c>
      <c r="I58">
        <f>E58*G58</f>
        <v/>
      </c>
      <c r="J58">
        <f>H58-I58</f>
        <v/>
      </c>
      <c r="K58" t="n">
        <v>-0.01</v>
      </c>
      <c r="L58" t="n">
        <v>1884.352449417114</v>
      </c>
      <c r="M58" t="n">
        <v>-2216.215766906738</v>
      </c>
      <c r="N58">
        <f>-I58*K58/252</f>
        <v/>
      </c>
      <c r="O58" t="n">
        <v>0</v>
      </c>
      <c r="P58" t="n">
        <v>-9.520414967385552</v>
      </c>
      <c r="Q58" t="n">
        <v>0.0432</v>
      </c>
      <c r="R58" t="n">
        <v>0</v>
      </c>
      <c r="S58" t="n">
        <v>-335.1306967474163</v>
      </c>
    </row>
    <row r="59">
      <c r="A59" s="1" t="n">
        <v>44931</v>
      </c>
      <c r="B59" t="inlineStr">
        <is>
          <t>BABX</t>
        </is>
      </c>
      <c r="C59" t="inlineStr">
        <is>
          <t>BABA</t>
        </is>
      </c>
      <c r="D59" t="n">
        <v>99.31910705566406</v>
      </c>
      <c r="E59" t="n">
        <v>32.3489990234375</v>
      </c>
      <c r="F59" t="n">
        <v>5330</v>
      </c>
      <c r="G59" t="n">
        <v>-8920</v>
      </c>
      <c r="H59">
        <f>D59*F59</f>
        <v/>
      </c>
      <c r="I59">
        <f>E59*G59</f>
        <v/>
      </c>
      <c r="J59">
        <f>H59-I59</f>
        <v/>
      </c>
      <c r="K59" t="n">
        <v>-0.0275</v>
      </c>
      <c r="L59" t="n">
        <v>3340.88752746582</v>
      </c>
      <c r="M59" t="n">
        <v>-3844.517822265625</v>
      </c>
      <c r="N59">
        <f>-I59*K59/252</f>
        <v/>
      </c>
      <c r="O59" t="n">
        <v>0</v>
      </c>
      <c r="P59" t="n">
        <v>-87.88651108363317</v>
      </c>
      <c r="Q59" t="n">
        <v>0.0432</v>
      </c>
      <c r="R59" t="n">
        <v>0</v>
      </c>
      <c r="S59" t="n">
        <v>-535.1192212301592</v>
      </c>
    </row>
    <row r="60">
      <c r="A60" s="1" t="n">
        <v>44931</v>
      </c>
      <c r="B60" t="inlineStr">
        <is>
          <t>CONL</t>
        </is>
      </c>
      <c r="C60" t="inlineStr">
        <is>
          <t>COIN</t>
        </is>
      </c>
      <c r="D60" t="n">
        <v>33.52999877929688</v>
      </c>
      <c r="E60" t="n">
        <v>4.179644107818604</v>
      </c>
      <c r="F60" t="n">
        <v>98778</v>
      </c>
      <c r="G60" t="n">
        <v>-394919</v>
      </c>
      <c r="H60">
        <f>D60*F60</f>
        <v/>
      </c>
      <c r="I60">
        <f>E60*G60</f>
        <v/>
      </c>
      <c r="J60">
        <f>H60-I60</f>
        <v/>
      </c>
      <c r="K60" t="n">
        <v>0.03</v>
      </c>
      <c r="L60" t="n">
        <v>-411904.4559402466</v>
      </c>
      <c r="M60" t="n">
        <v>342730.1974430084</v>
      </c>
      <c r="N60">
        <f>-I60*K60/252</f>
        <v/>
      </c>
      <c r="O60" t="n">
        <v>0</v>
      </c>
      <c r="P60" t="n">
        <v>632.6535342343648</v>
      </c>
      <c r="Q60" t="n">
        <v>0.0432</v>
      </c>
      <c r="R60" t="n">
        <v>0</v>
      </c>
      <c r="S60" t="n">
        <v>-68977.75601254583</v>
      </c>
    </row>
    <row r="61">
      <c r="A61" s="1" t="n">
        <v>44931</v>
      </c>
      <c r="B61" t="inlineStr">
        <is>
          <t>MEXX</t>
        </is>
      </c>
      <c r="C61" t="inlineStr">
        <is>
          <t>EWW</t>
        </is>
      </c>
      <c r="D61" t="n">
        <v>47.31735610961914</v>
      </c>
      <c r="E61" t="n">
        <v>17.93195915222168</v>
      </c>
      <c r="F61" t="n">
        <v>9067</v>
      </c>
      <c r="G61" t="n">
        <v>-8695</v>
      </c>
      <c r="H61">
        <f>D61*F61</f>
        <v/>
      </c>
      <c r="I61">
        <f>E61*G61</f>
        <v/>
      </c>
      <c r="J61">
        <f>H61-I61</f>
        <v/>
      </c>
      <c r="K61" t="n">
        <v>0.0075</v>
      </c>
      <c r="L61" t="n">
        <v>5503.412773132324</v>
      </c>
      <c r="M61" t="n">
        <v>-5788.899641036987</v>
      </c>
      <c r="N61">
        <f>-I61*K61/252</f>
        <v/>
      </c>
      <c r="O61" t="n">
        <v>0</v>
      </c>
      <c r="P61" t="n">
        <v>13.27179991148767</v>
      </c>
      <c r="Q61" t="n">
        <v>0.0432</v>
      </c>
      <c r="R61" t="n">
        <v>0</v>
      </c>
      <c r="S61" t="n">
        <v>-280.8464397847653</v>
      </c>
    </row>
    <row r="62">
      <c r="A62" s="1" t="n">
        <v>44931</v>
      </c>
      <c r="B62" t="inlineStr">
        <is>
          <t>KORU</t>
        </is>
      </c>
      <c r="C62" t="inlineStr">
        <is>
          <t>EWY</t>
        </is>
      </c>
      <c r="D62" t="n">
        <v>53.0704231262207</v>
      </c>
      <c r="E62" t="n">
        <v>71.47476959228516</v>
      </c>
      <c r="F62" t="n">
        <v>12826</v>
      </c>
      <c r="G62" t="n">
        <v>-3410</v>
      </c>
      <c r="H62">
        <f>D62*F62</f>
        <v/>
      </c>
      <c r="I62">
        <f>E62*G62</f>
        <v/>
      </c>
      <c r="J62">
        <f>H62-I62</f>
        <v/>
      </c>
      <c r="K62" t="n">
        <v>0.0225</v>
      </c>
      <c r="L62" t="n">
        <v>-7283.221084594727</v>
      </c>
      <c r="M62" t="n">
        <v>7646.431732177734</v>
      </c>
      <c r="N62">
        <f>-I62*K62/252</f>
        <v/>
      </c>
      <c r="O62" t="n">
        <v>0</v>
      </c>
      <c r="P62" t="n">
        <v>64.34581552233016</v>
      </c>
      <c r="Q62" t="n">
        <v>0.0432</v>
      </c>
      <c r="R62" t="n">
        <v>0</v>
      </c>
      <c r="S62" t="n">
        <v>384.972162253516</v>
      </c>
    </row>
    <row r="63">
      <c r="A63" s="1" t="n">
        <v>44931</v>
      </c>
      <c r="B63" t="inlineStr">
        <is>
          <t>YINN</t>
        </is>
      </c>
      <c r="C63" t="inlineStr">
        <is>
          <t>FXI</t>
        </is>
      </c>
      <c r="D63" t="n">
        <v>28.90707588195801</v>
      </c>
      <c r="E63" t="n">
        <v>56.48868560791016</v>
      </c>
      <c r="F63" t="n">
        <v>35048</v>
      </c>
      <c r="G63" t="n">
        <v>-6728</v>
      </c>
      <c r="H63">
        <f>D63*F63</f>
        <v/>
      </c>
      <c r="I63">
        <f>E63*G63</f>
        <v/>
      </c>
      <c r="J63">
        <f>H63-I63</f>
        <v/>
      </c>
      <c r="K63" t="n">
        <v>-0.02</v>
      </c>
      <c r="L63" t="n">
        <v>-2278.874053955078</v>
      </c>
      <c r="M63" t="n">
        <v>1761.331390380859</v>
      </c>
      <c r="N63">
        <f>-I63*K63/252</f>
        <v/>
      </c>
      <c r="O63" t="n">
        <v>0</v>
      </c>
      <c r="P63" t="n">
        <v>-85.93157849266416</v>
      </c>
      <c r="Q63" t="n">
        <v>0.0432</v>
      </c>
      <c r="R63" t="n">
        <v>0</v>
      </c>
      <c r="S63" t="n">
        <v>-547.7058283972366</v>
      </c>
    </row>
    <row r="64">
      <c r="A64" s="1" t="n">
        <v>44931</v>
      </c>
      <c r="B64" t="inlineStr">
        <is>
          <t>JNUG</t>
        </is>
      </c>
      <c r="C64" t="inlineStr">
        <is>
          <t>GDXJ</t>
        </is>
      </c>
      <c r="D64" t="n">
        <v>36.07041549682617</v>
      </c>
      <c r="E64" t="n">
        <v>38.6065673828125</v>
      </c>
      <c r="F64" t="n">
        <v>13873</v>
      </c>
      <c r="G64" t="n">
        <v>-6778</v>
      </c>
      <c r="H64">
        <f>D64*F64</f>
        <v/>
      </c>
      <c r="I64">
        <f>E64*G64</f>
        <v/>
      </c>
      <c r="J64">
        <f>H64-I64</f>
        <v/>
      </c>
      <c r="K64" t="n">
        <v>-0.005</v>
      </c>
      <c r="L64" t="n">
        <v>-6693.009120941162</v>
      </c>
      <c r="M64" t="n">
        <v>6345.118545532227</v>
      </c>
      <c r="N64">
        <f>-I64*K64/252</f>
        <v/>
      </c>
      <c r="O64" t="n">
        <v>0</v>
      </c>
      <c r="P64" t="n">
        <v>-15.37195731102474</v>
      </c>
      <c r="Q64" t="n">
        <v>0.0432</v>
      </c>
      <c r="R64" t="n">
        <v>0</v>
      </c>
      <c r="S64" t="n">
        <v>-353.082545919267</v>
      </c>
    </row>
    <row r="65">
      <c r="A65" s="1" t="n">
        <v>44931</v>
      </c>
      <c r="B65" t="inlineStr">
        <is>
          <t>GDXU</t>
        </is>
      </c>
      <c r="C65" t="inlineStr">
        <is>
          <t>GDX</t>
        </is>
      </c>
      <c r="D65" t="n">
        <v>29.59003067016602</v>
      </c>
      <c r="E65" t="n">
        <v>51.41999816894531</v>
      </c>
      <c r="F65" t="n">
        <v>53192</v>
      </c>
      <c r="G65" t="n">
        <v>-10760</v>
      </c>
      <c r="H65">
        <f>D65*F65</f>
        <v/>
      </c>
      <c r="I65">
        <f>E65*G65</f>
        <v/>
      </c>
      <c r="J65">
        <f>H65-I65</f>
        <v/>
      </c>
      <c r="K65" t="n">
        <v>-0.005</v>
      </c>
      <c r="L65" t="n">
        <v>-13865.13729858398</v>
      </c>
      <c r="M65" t="n">
        <v>10544.83612060547</v>
      </c>
      <c r="N65">
        <f>-I65*K65/252</f>
        <v/>
      </c>
      <c r="O65" t="n">
        <v>0</v>
      </c>
      <c r="P65" t="n">
        <v>-32.09639685797313</v>
      </c>
      <c r="Q65" t="n">
        <v>0.0432</v>
      </c>
      <c r="R65" t="n">
        <v>0</v>
      </c>
      <c r="S65" t="n">
        <v>-3331.278939492357</v>
      </c>
    </row>
    <row r="66">
      <c r="A66" s="1" t="n">
        <v>44931</v>
      </c>
      <c r="B66" t="inlineStr">
        <is>
          <t>NUGT</t>
        </is>
      </c>
      <c r="C66" t="inlineStr">
        <is>
          <t>GDX</t>
        </is>
      </c>
      <c r="D66" t="n">
        <v>29.59003067016602</v>
      </c>
      <c r="E66" t="n">
        <v>37.83975982666016</v>
      </c>
      <c r="F66" t="n">
        <v>15820</v>
      </c>
      <c r="G66" t="n">
        <v>-6494</v>
      </c>
      <c r="H66">
        <f>D66*F66</f>
        <v/>
      </c>
      <c r="I66">
        <f>E66*G66</f>
        <v/>
      </c>
      <c r="J66">
        <f>H66-I66</f>
        <v/>
      </c>
      <c r="K66" t="n">
        <v>-0.0175</v>
      </c>
      <c r="L66" t="n">
        <v>-4123.674087524414</v>
      </c>
      <c r="M66" t="n">
        <v>3056.002914428711</v>
      </c>
      <c r="N66">
        <f>-I66*K66/252</f>
        <v/>
      </c>
      <c r="O66" t="n">
        <v>0</v>
      </c>
      <c r="P66" t="n">
        <v>-50.2541779390971</v>
      </c>
      <c r="Q66" t="n">
        <v>0.0432</v>
      </c>
      <c r="R66" t="n">
        <v>0</v>
      </c>
      <c r="S66" t="n">
        <v>-1084.735853673087</v>
      </c>
    </row>
    <row r="67">
      <c r="A67" s="1" t="n">
        <v>44931</v>
      </c>
      <c r="B67" t="inlineStr">
        <is>
          <t>GGLL</t>
        </is>
      </c>
      <c r="C67" t="inlineStr">
        <is>
          <t>GOOGL</t>
        </is>
      </c>
      <c r="D67" t="n">
        <v>85.49340057373047</v>
      </c>
      <c r="E67" t="n">
        <v>15.45850563049316</v>
      </c>
      <c r="F67" t="n">
        <v>20098</v>
      </c>
      <c r="G67" t="n">
        <v>-54856</v>
      </c>
      <c r="H67">
        <f>D67*F67</f>
        <v/>
      </c>
      <c r="I67">
        <f>E67*G67</f>
        <v/>
      </c>
      <c r="J67">
        <f>H67-I67</f>
        <v/>
      </c>
      <c r="K67" t="n">
        <v>0</v>
      </c>
      <c r="L67" t="n">
        <v>-37474.44694519043</v>
      </c>
      <c r="M67" t="n">
        <v>26930.53896331787</v>
      </c>
      <c r="N67">
        <f>-I67*K67/252</f>
        <v/>
      </c>
      <c r="O67" t="n">
        <v>0</v>
      </c>
      <c r="P67" t="n">
        <v>0</v>
      </c>
      <c r="Q67" t="n">
        <v>0.0432</v>
      </c>
      <c r="R67" t="n">
        <v>0</v>
      </c>
      <c r="S67" t="n">
        <v>-10543.90798187256</v>
      </c>
    </row>
    <row r="68">
      <c r="A68" s="1" t="n">
        <v>44931</v>
      </c>
      <c r="B68" t="inlineStr">
        <is>
          <t>CWEB</t>
        </is>
      </c>
      <c r="C68" t="inlineStr">
        <is>
          <t>KWEB</t>
        </is>
      </c>
      <c r="D68" t="n">
        <v>31.1406192779541</v>
      </c>
      <c r="E68" t="n">
        <v>60.14630508422852</v>
      </c>
      <c r="F68" t="n">
        <v>14605</v>
      </c>
      <c r="G68" t="n">
        <v>-4138</v>
      </c>
      <c r="H68">
        <f>D68*F68</f>
        <v/>
      </c>
      <c r="I68">
        <f>E68*G68</f>
        <v/>
      </c>
      <c r="J68">
        <f>H68-I68</f>
        <v/>
      </c>
      <c r="K68" t="n">
        <v>-0.02</v>
      </c>
      <c r="L68" t="n">
        <v>2093.440532684326</v>
      </c>
      <c r="M68" t="n">
        <v>-2719.856079101562</v>
      </c>
      <c r="N68">
        <f>-I68*K68/252</f>
        <v/>
      </c>
      <c r="O68" t="n">
        <v>0</v>
      </c>
      <c r="P68" t="n">
        <v>-55.8992691675822</v>
      </c>
      <c r="Q68" t="n">
        <v>0.0432</v>
      </c>
      <c r="R68" t="n">
        <v>0</v>
      </c>
      <c r="S68" t="n">
        <v>-646.1683567695007</v>
      </c>
    </row>
    <row r="69">
      <c r="A69" s="1" t="n">
        <v>44931</v>
      </c>
      <c r="B69" t="inlineStr">
        <is>
          <t>FBL</t>
        </is>
      </c>
      <c r="C69" t="inlineStr">
        <is>
          <t>META</t>
        </is>
      </c>
      <c r="D69" t="n">
        <v>125.9516067504883</v>
      </c>
      <c r="E69" t="n">
        <v>3.737596273422241</v>
      </c>
      <c r="F69" t="n">
        <v>25964</v>
      </c>
      <c r="G69" t="n">
        <v>-441819</v>
      </c>
      <c r="H69">
        <f>D69*F69</f>
        <v/>
      </c>
      <c r="I69">
        <f>E69*G69</f>
        <v/>
      </c>
      <c r="J69">
        <f>H69-I69</f>
        <v/>
      </c>
      <c r="K69" t="n">
        <v>-0.01</v>
      </c>
      <c r="L69" t="n">
        <v>-11077.56658935547</v>
      </c>
      <c r="M69" t="n">
        <v>7455.286914110184</v>
      </c>
      <c r="N69">
        <f>-I69*K69/252</f>
        <v/>
      </c>
      <c r="O69" t="n">
        <v>0</v>
      </c>
      <c r="P69" t="n">
        <v>-195.211412383914</v>
      </c>
      <c r="Q69" t="n">
        <v>0.0432</v>
      </c>
      <c r="R69" t="n">
        <v>0</v>
      </c>
      <c r="S69" t="n">
        <v>-3687.809081909062</v>
      </c>
    </row>
    <row r="70">
      <c r="A70" s="1" t="n">
        <v>44931</v>
      </c>
      <c r="B70" t="inlineStr">
        <is>
          <t>MSFU</t>
        </is>
      </c>
      <c r="C70" t="inlineStr">
        <is>
          <t>MSFT</t>
        </is>
      </c>
      <c r="D70" t="n">
        <v>216.6244659423828</v>
      </c>
      <c r="E70" t="n">
        <v>16.76129722595215</v>
      </c>
      <c r="F70" t="n">
        <v>8314</v>
      </c>
      <c r="G70" t="n">
        <v>-51898</v>
      </c>
      <c r="H70">
        <f>D70*F70</f>
        <v/>
      </c>
      <c r="I70">
        <f>E70*G70</f>
        <v/>
      </c>
      <c r="J70">
        <f>H70-I70</f>
        <v/>
      </c>
      <c r="K70" t="n">
        <v>-0.005</v>
      </c>
      <c r="L70" t="n">
        <v>-55008.31948852539</v>
      </c>
      <c r="M70" t="n">
        <v>39553.95189285278</v>
      </c>
      <c r="N70">
        <f>-I70*K70/252</f>
        <v/>
      </c>
      <c r="O70" t="n">
        <v>0</v>
      </c>
      <c r="P70" t="n">
        <v>-54.6351102701823</v>
      </c>
      <c r="Q70" t="n">
        <v>0.0432</v>
      </c>
      <c r="R70" t="n">
        <v>0</v>
      </c>
      <c r="S70" t="n">
        <v>-15471.62707589944</v>
      </c>
    </row>
    <row r="71">
      <c r="A71" s="1" t="n">
        <v>44931</v>
      </c>
      <c r="B71" t="inlineStr">
        <is>
          <t>NVDL</t>
        </is>
      </c>
      <c r="C71" t="inlineStr">
        <is>
          <t>NVDA</t>
        </is>
      </c>
      <c r="D71" t="n">
        <v>14.24996280670166</v>
      </c>
      <c r="E71" t="n">
        <v>2.711843490600586</v>
      </c>
      <c r="F71" t="n">
        <v>307781</v>
      </c>
      <c r="G71" t="n">
        <v>-767265</v>
      </c>
      <c r="H71">
        <f>D71*F71</f>
        <v/>
      </c>
      <c r="I71">
        <f>E71*G71</f>
        <v/>
      </c>
      <c r="J71">
        <f>H71-I71</f>
        <v/>
      </c>
      <c r="K71" t="n">
        <v>0</v>
      </c>
      <c r="L71" t="n">
        <v>-148809.0326843262</v>
      </c>
      <c r="M71" t="n">
        <v>100360.8297550678</v>
      </c>
      <c r="N71">
        <f>-I71*K71/252</f>
        <v/>
      </c>
      <c r="O71" t="n">
        <v>0</v>
      </c>
      <c r="P71" t="n">
        <v>0</v>
      </c>
      <c r="Q71" t="n">
        <v>0.0432</v>
      </c>
      <c r="R71" t="n">
        <v>0</v>
      </c>
      <c r="S71" t="n">
        <v>-48448.2029292584</v>
      </c>
    </row>
    <row r="72">
      <c r="A72" s="1" t="n">
        <v>44931</v>
      </c>
      <c r="B72" t="inlineStr">
        <is>
          <t>SOXL</t>
        </is>
      </c>
      <c r="C72" t="inlineStr">
        <is>
          <t>SOXX</t>
        </is>
      </c>
      <c r="D72" t="n">
        <v>113.1609344482422</v>
      </c>
      <c r="E72" t="n">
        <v>9.36439037322998</v>
      </c>
      <c r="F72" t="n">
        <v>8941</v>
      </c>
      <c r="G72" t="n">
        <v>-36957</v>
      </c>
      <c r="H72">
        <f>D72*F72</f>
        <v/>
      </c>
      <c r="I72">
        <f>E72*G72</f>
        <v/>
      </c>
      <c r="J72">
        <f>H72-I72</f>
        <v/>
      </c>
      <c r="K72" t="n">
        <v>-0.0175</v>
      </c>
      <c r="L72" t="n">
        <v>-17352.99720001221</v>
      </c>
      <c r="M72" t="n">
        <v>18081.53622150421</v>
      </c>
      <c r="N72">
        <f>-I72*K72/252</f>
        <v/>
      </c>
      <c r="O72" t="n">
        <v>0</v>
      </c>
      <c r="P72" t="n">
        <v>-72.82823845148087</v>
      </c>
      <c r="Q72" t="n">
        <v>0.0432</v>
      </c>
      <c r="R72" t="n">
        <v>0</v>
      </c>
      <c r="S72" t="n">
        <v>704.5057037820383</v>
      </c>
    </row>
    <row r="73">
      <c r="A73" s="1" t="n">
        <v>44931</v>
      </c>
      <c r="B73" t="inlineStr">
        <is>
          <t>SOXS</t>
        </is>
      </c>
      <c r="C73" t="inlineStr">
        <is>
          <t>SOXX</t>
        </is>
      </c>
      <c r="D73" t="n">
        <v>-0</v>
      </c>
      <c r="E73" t="n">
        <v>-0</v>
      </c>
      <c r="F73" t="n">
        <v>-6997</v>
      </c>
      <c r="G73" t="n">
        <v>-37</v>
      </c>
      <c r="H73">
        <f>D73*F73</f>
        <v/>
      </c>
      <c r="I73">
        <f>E73*G73</f>
        <v/>
      </c>
      <c r="J73">
        <f>H73-I73</f>
        <v/>
      </c>
      <c r="K73" t="n">
        <v>0.07000000000000001</v>
      </c>
      <c r="L73" t="n">
        <v>13580.01581573486</v>
      </c>
      <c r="M73" t="n">
        <v>-13327.154296875</v>
      </c>
      <c r="N73">
        <f>-I73*K73/252</f>
        <v/>
      </c>
      <c r="O73" t="n">
        <v>0</v>
      </c>
      <c r="P73" t="n">
        <v>0</v>
      </c>
      <c r="Q73" t="n">
        <v>0.0432</v>
      </c>
      <c r="R73" t="n">
        <v>0</v>
      </c>
      <c r="S73" t="n">
        <v>252.8615188598596</v>
      </c>
    </row>
    <row r="74">
      <c r="A74" s="1" t="n">
        <v>44931</v>
      </c>
      <c r="B74" t="inlineStr">
        <is>
          <t>HIBL</t>
        </is>
      </c>
      <c r="C74" t="inlineStr">
        <is>
          <t>SPHB</t>
        </is>
      </c>
      <c r="D74" t="n">
        <v>61.43575668334961</v>
      </c>
      <c r="E74" t="n">
        <v>23.39136695861816</v>
      </c>
      <c r="F74" t="n">
        <v>6521</v>
      </c>
      <c r="G74" t="n">
        <v>-5851</v>
      </c>
      <c r="H74">
        <f>D74*F74</f>
        <v/>
      </c>
      <c r="I74">
        <f>E74*G74</f>
        <v/>
      </c>
      <c r="J74">
        <f>H74-I74</f>
        <v/>
      </c>
      <c r="K74" t="n">
        <v>0.12</v>
      </c>
      <c r="L74" t="n">
        <v>-5721.297897338867</v>
      </c>
      <c r="M74" t="n">
        <v>5665.221197128296</v>
      </c>
      <c r="N74">
        <f>-I74*K74/252</f>
        <v/>
      </c>
      <c r="O74" t="n">
        <v>0</v>
      </c>
      <c r="P74" t="n">
        <v>195.5985395949227</v>
      </c>
      <c r="Q74" t="n">
        <v>0.0432</v>
      </c>
      <c r="R74" t="n">
        <v>0</v>
      </c>
      <c r="S74" t="n">
        <v>9.096103634607204</v>
      </c>
    </row>
    <row r="75">
      <c r="A75" s="1" t="n">
        <v>44931</v>
      </c>
      <c r="B75" t="inlineStr">
        <is>
          <t>TSLL</t>
        </is>
      </c>
      <c r="C75" t="inlineStr">
        <is>
          <t>TSLA</t>
        </is>
      </c>
      <c r="D75" t="n">
        <v>110.3399963378906</v>
      </c>
      <c r="E75" t="n">
        <v>4.545462131500244</v>
      </c>
      <c r="F75" t="n">
        <v>16893</v>
      </c>
      <c r="G75" t="n">
        <v>-207812</v>
      </c>
      <c r="H75">
        <f>D75*F75</f>
        <v/>
      </c>
      <c r="I75">
        <f>E75*G75</f>
        <v/>
      </c>
      <c r="J75">
        <f>H75-I75</f>
        <v/>
      </c>
      <c r="K75" t="n">
        <v>0.01</v>
      </c>
      <c r="L75" t="n">
        <v>-55746.95155334473</v>
      </c>
      <c r="M75" t="n">
        <v>41382.11113548279</v>
      </c>
      <c r="N75">
        <f>-I75*K75/252</f>
        <v/>
      </c>
      <c r="O75" t="n">
        <v>0</v>
      </c>
      <c r="P75" t="n">
        <v>112.9523447139679</v>
      </c>
      <c r="Q75" t="n">
        <v>0.0432</v>
      </c>
      <c r="R75" t="n">
        <v>0</v>
      </c>
      <c r="S75" t="n">
        <v>-14327.35622831943</v>
      </c>
    </row>
    <row r="76">
      <c r="A76" s="1" t="n">
        <v>44931</v>
      </c>
      <c r="B76" t="inlineStr">
        <is>
          <t>TSLQ</t>
        </is>
      </c>
      <c r="C76" t="inlineStr">
        <is>
          <t>TSLA</t>
        </is>
      </c>
      <c r="D76" t="n">
        <v>-0</v>
      </c>
      <c r="E76" t="n">
        <v>-0</v>
      </c>
      <c r="F76" t="n">
        <v>-6277</v>
      </c>
      <c r="G76" t="n">
        <v>-302</v>
      </c>
      <c r="H76">
        <f>D76*F76</f>
        <v/>
      </c>
      <c r="I76">
        <f>E76*G76</f>
        <v/>
      </c>
      <c r="J76">
        <f>H76-I76</f>
        <v/>
      </c>
      <c r="K76" t="n">
        <v>-0.02</v>
      </c>
      <c r="L76" t="n">
        <v>20714.11915588379</v>
      </c>
      <c r="M76" t="n">
        <v>-10111.17529296875</v>
      </c>
      <c r="N76">
        <f>-I76*K76/252</f>
        <v/>
      </c>
      <c r="O76" t="n">
        <v>0</v>
      </c>
      <c r="P76" t="n">
        <v>0</v>
      </c>
      <c r="Q76" t="n">
        <v>0.0432</v>
      </c>
      <c r="R76" t="n">
        <v>0</v>
      </c>
      <c r="S76" t="n">
        <v>10602.94386291504</v>
      </c>
    </row>
    <row r="77">
      <c r="A77" s="1" t="n">
        <v>44931</v>
      </c>
      <c r="B77" t="inlineStr">
        <is>
          <t>LABU</t>
        </is>
      </c>
      <c r="C77" t="inlineStr">
        <is>
          <t>XBI</t>
        </is>
      </c>
      <c r="D77" t="n">
        <v>82.07957458496094</v>
      </c>
      <c r="E77" t="n">
        <v>136.1209869384766</v>
      </c>
      <c r="F77" t="n">
        <v>3382</v>
      </c>
      <c r="G77" t="n">
        <v>-699</v>
      </c>
      <c r="H77">
        <f>D77*F77</f>
        <v/>
      </c>
      <c r="I77">
        <f>E77*G77</f>
        <v/>
      </c>
      <c r="J77">
        <f>H77-I77</f>
        <v/>
      </c>
      <c r="K77" t="n">
        <v>0.1</v>
      </c>
      <c r="L77" t="n">
        <v>-2422.091217041016</v>
      </c>
      <c r="M77" t="n">
        <v>2196.790100097656</v>
      </c>
      <c r="N77">
        <f>-I77*K77/252</f>
        <v/>
      </c>
      <c r="O77" t="n">
        <v>0</v>
      </c>
      <c r="P77" t="n">
        <v>112.8362401689802</v>
      </c>
      <c r="Q77" t="n">
        <v>0.0432</v>
      </c>
      <c r="R77" t="n">
        <v>0</v>
      </c>
      <c r="S77" t="n">
        <v>-187.5437479473305</v>
      </c>
    </row>
    <row r="78">
      <c r="A78" s="1" t="n">
        <v>44931</v>
      </c>
      <c r="B78" t="inlineStr">
        <is>
          <t>ERX</t>
        </is>
      </c>
      <c r="C78" t="inlineStr">
        <is>
          <t>XLE</t>
        </is>
      </c>
      <c r="D78" t="n">
        <v>38.5643196105957</v>
      </c>
      <c r="E78" t="n">
        <v>58.78803253173828</v>
      </c>
      <c r="F78" t="n">
        <v>1856</v>
      </c>
      <c r="G78" t="n">
        <v>-625</v>
      </c>
      <c r="H78">
        <f>D78*F78</f>
        <v/>
      </c>
      <c r="I78">
        <f>E78*G78</f>
        <v/>
      </c>
      <c r="J78">
        <f>H78-I78</f>
        <v/>
      </c>
      <c r="K78" t="n">
        <v>0.12</v>
      </c>
      <c r="L78" t="n">
        <v>1282.740234375</v>
      </c>
      <c r="M78" t="n">
        <v>-1373.33869934082</v>
      </c>
      <c r="N78">
        <f>-I78*K78/252</f>
        <v/>
      </c>
      <c r="O78" t="n">
        <v>0</v>
      </c>
      <c r="P78" t="n">
        <v>51.16502557482038</v>
      </c>
      <c r="Q78" t="n">
        <v>0.0432</v>
      </c>
      <c r="R78" t="n">
        <v>0</v>
      </c>
      <c r="S78" t="n">
        <v>-73.10202671232655</v>
      </c>
    </row>
    <row r="79">
      <c r="A79" s="1" t="n">
        <v>44931</v>
      </c>
      <c r="B79" t="inlineStr">
        <is>
          <t>GUSH</t>
        </is>
      </c>
      <c r="C79" t="inlineStr">
        <is>
          <t>XOP</t>
        </is>
      </c>
      <c r="D79" t="n">
        <v>118.9384155273438</v>
      </c>
      <c r="E79" t="n">
        <v>29.97429847717285</v>
      </c>
      <c r="F79" t="n">
        <v>3057</v>
      </c>
      <c r="G79" t="n">
        <v>-6059</v>
      </c>
      <c r="H79">
        <f>D79*F79</f>
        <v/>
      </c>
      <c r="I79">
        <f>E79*G79</f>
        <v/>
      </c>
      <c r="J79">
        <f>H79-I79</f>
        <v/>
      </c>
      <c r="K79" t="n">
        <v>-0.01</v>
      </c>
      <c r="L79" t="n">
        <v>535.87060546875</v>
      </c>
      <c r="M79" t="n">
        <v>-501.3957481384277</v>
      </c>
      <c r="N79">
        <f>-I79*K79/252</f>
        <v/>
      </c>
      <c r="O79" t="n">
        <v>0</v>
      </c>
      <c r="P79" t="n">
        <v>-21.53729253367772</v>
      </c>
      <c r="Q79" t="n">
        <v>0.0432</v>
      </c>
      <c r="R79" t="n">
        <v>0</v>
      </c>
      <c r="S79" t="n">
        <v>27.26794167662429</v>
      </c>
    </row>
    <row r="80">
      <c r="A80" s="1" t="n">
        <v>44932</v>
      </c>
      <c r="B80" t="inlineStr">
        <is>
          <t>AAPB</t>
        </is>
      </c>
      <c r="C80" t="inlineStr">
        <is>
          <t>AAPL</t>
        </is>
      </c>
      <c r="D80" t="n">
        <v>127.5741882324219</v>
      </c>
      <c r="E80" t="n">
        <v>12.35453319549561</v>
      </c>
      <c r="F80" t="n">
        <v>9028</v>
      </c>
      <c r="G80" t="n">
        <v>-47878</v>
      </c>
      <c r="H80">
        <f>D80*F80</f>
        <v/>
      </c>
      <c r="I80">
        <f>E80*G80</f>
        <v/>
      </c>
      <c r="J80">
        <f>H80-I80</f>
        <v/>
      </c>
      <c r="K80" t="n">
        <v>-0.005</v>
      </c>
      <c r="L80" t="n">
        <v>40873.13488769531</v>
      </c>
      <c r="M80" t="n">
        <v>-34109.99751472473</v>
      </c>
      <c r="N80">
        <f>-I80*K80/252</f>
        <v/>
      </c>
      <c r="O80" t="n">
        <v>1</v>
      </c>
      <c r="P80" t="n">
        <v>-45.11057669321696</v>
      </c>
      <c r="Q80" t="n">
        <v>0.0432</v>
      </c>
      <c r="R80" t="n">
        <v>0</v>
      </c>
      <c r="S80" t="n">
        <v>6751.401056694114</v>
      </c>
    </row>
    <row r="81">
      <c r="A81" s="1" t="n">
        <v>44932</v>
      </c>
      <c r="B81" t="inlineStr">
        <is>
          <t>AAPU</t>
        </is>
      </c>
      <c r="C81" t="inlineStr">
        <is>
          <t>AAPL</t>
        </is>
      </c>
      <c r="D81" t="n">
        <v>127.5741882324219</v>
      </c>
      <c r="E81" t="n">
        <v>12.78497886657715</v>
      </c>
      <c r="F81" t="n">
        <v>7633</v>
      </c>
      <c r="G81" t="n">
        <v>-38936</v>
      </c>
      <c r="H81">
        <f>D81*F81</f>
        <v/>
      </c>
      <c r="I81">
        <f>E81*G81</f>
        <v/>
      </c>
      <c r="J81">
        <f>H81-I81</f>
        <v/>
      </c>
      <c r="K81" t="n">
        <v>0.02</v>
      </c>
      <c r="L81" t="n">
        <v>34557.44778442383</v>
      </c>
      <c r="M81" t="n">
        <v>-24965.02310943604</v>
      </c>
      <c r="N81">
        <f>-I81*K81/252</f>
        <v/>
      </c>
      <c r="O81" t="n">
        <v>1</v>
      </c>
      <c r="P81" t="n">
        <v>152.7309455302405</v>
      </c>
      <c r="Q81" t="n">
        <v>0.0432</v>
      </c>
      <c r="R81" t="n">
        <v>0</v>
      </c>
      <c r="S81" t="n">
        <v>9631.932289047238</v>
      </c>
    </row>
    <row r="82">
      <c r="A82" s="1" t="n">
        <v>44932</v>
      </c>
      <c r="B82" t="inlineStr">
        <is>
          <t>AMZU</t>
        </is>
      </c>
      <c r="C82" t="inlineStr">
        <is>
          <t>AMZN</t>
        </is>
      </c>
      <c r="D82" t="n">
        <v>86.08000183105469</v>
      </c>
      <c r="E82" t="n">
        <v>11.53771781921387</v>
      </c>
      <c r="F82" t="n">
        <v>27599</v>
      </c>
      <c r="G82" t="n">
        <v>-103312</v>
      </c>
      <c r="H82">
        <f>D82*F82</f>
        <v/>
      </c>
      <c r="I82">
        <f>E82*G82</f>
        <v/>
      </c>
      <c r="J82">
        <f>H82-I82</f>
        <v/>
      </c>
      <c r="K82" t="n">
        <v>-0.0025</v>
      </c>
      <c r="L82" t="n">
        <v>81693.01473236084</v>
      </c>
      <c r="M82" t="n">
        <v>-58718.93490600586</v>
      </c>
      <c r="N82">
        <f>-I82*K82/252</f>
        <v/>
      </c>
      <c r="O82" t="n">
        <v>1</v>
      </c>
      <c r="P82" t="n">
        <v>-46.53225071740529</v>
      </c>
      <c r="Q82" t="n">
        <v>0.0432</v>
      </c>
      <c r="R82" t="n">
        <v>0</v>
      </c>
      <c r="S82" t="n">
        <v>22962.25458128218</v>
      </c>
    </row>
    <row r="83">
      <c r="A83" s="1" t="n">
        <v>44932</v>
      </c>
      <c r="B83" t="inlineStr">
        <is>
          <t>TARK</t>
        </is>
      </c>
      <c r="C83" t="inlineStr">
        <is>
          <t>ARKK</t>
        </is>
      </c>
      <c r="D83" t="n">
        <v>31.11054420471191</v>
      </c>
      <c r="E83" t="n">
        <v>16.42073822021484</v>
      </c>
      <c r="F83" t="n">
        <v>20537</v>
      </c>
      <c r="G83" t="n">
        <v>-20077</v>
      </c>
      <c r="H83">
        <f>D83*F83</f>
        <v/>
      </c>
      <c r="I83">
        <f>E83*G83</f>
        <v/>
      </c>
      <c r="J83">
        <f>H83-I83</f>
        <v/>
      </c>
      <c r="K83" t="n">
        <v>-0.02</v>
      </c>
      <c r="L83" t="n">
        <v>7128.495923995972</v>
      </c>
      <c r="M83" t="n">
        <v>-7389.102489471436</v>
      </c>
      <c r="N83">
        <f>-I83*K83/252</f>
        <v/>
      </c>
      <c r="O83" t="n">
        <v>1</v>
      </c>
      <c r="P83" t="n">
        <v>-103.6680994499297</v>
      </c>
      <c r="Q83" t="n">
        <v>0.0432</v>
      </c>
      <c r="R83" t="n">
        <v>0</v>
      </c>
      <c r="S83" t="n">
        <v>-286.7715782728649</v>
      </c>
    </row>
    <row r="84">
      <c r="A84" s="1" t="n">
        <v>44932</v>
      </c>
      <c r="B84" t="inlineStr">
        <is>
          <t>CHAU</t>
        </is>
      </c>
      <c r="C84" t="inlineStr">
        <is>
          <t>ASHR</t>
        </is>
      </c>
      <c r="D84" t="n">
        <v>28.00778579711914</v>
      </c>
      <c r="E84" t="n">
        <v>20.86626434326172</v>
      </c>
      <c r="F84" t="n">
        <v>5713</v>
      </c>
      <c r="G84" t="n">
        <v>-4099</v>
      </c>
      <c r="H84">
        <f>D84*F84</f>
        <v/>
      </c>
      <c r="I84">
        <f>E84*G84</f>
        <v/>
      </c>
      <c r="J84">
        <f>H84-I84</f>
        <v/>
      </c>
      <c r="K84" t="n">
        <v>-0.01</v>
      </c>
      <c r="L84" t="n">
        <v>3068.810966491699</v>
      </c>
      <c r="M84" t="n">
        <v>-3192.860246658325</v>
      </c>
      <c r="N84">
        <f>-I84*K84/252</f>
        <v/>
      </c>
      <c r="O84" t="n">
        <v>1</v>
      </c>
      <c r="P84" t="n">
        <v>-12.91449502861689</v>
      </c>
      <c r="Q84" t="n">
        <v>0.0432</v>
      </c>
      <c r="R84" t="n">
        <v>0</v>
      </c>
      <c r="S84" t="n">
        <v>-127.4433602278573</v>
      </c>
    </row>
    <row r="85">
      <c r="A85" s="1" t="n">
        <v>44932</v>
      </c>
      <c r="B85" t="inlineStr">
        <is>
          <t>BABX</t>
        </is>
      </c>
      <c r="C85" t="inlineStr">
        <is>
          <t>BABA</t>
        </is>
      </c>
      <c r="D85" t="n">
        <v>101.9972457885742</v>
      </c>
      <c r="E85" t="n">
        <v>33.72999954223633</v>
      </c>
      <c r="F85" t="n">
        <v>5330</v>
      </c>
      <c r="G85" t="n">
        <v>-8920</v>
      </c>
      <c r="H85">
        <f>D85*F85</f>
        <v/>
      </c>
      <c r="I85">
        <f>E85*G85</f>
        <v/>
      </c>
      <c r="J85">
        <f>H85-I85</f>
        <v/>
      </c>
      <c r="K85" t="n">
        <v>-0.0275</v>
      </c>
      <c r="L85" t="n">
        <v>14274.47944641113</v>
      </c>
      <c r="M85" t="n">
        <v>-12318.52462768555</v>
      </c>
      <c r="N85">
        <f>-I85*K85/252</f>
        <v/>
      </c>
      <c r="O85" t="n">
        <v>1</v>
      </c>
      <c r="P85" t="n">
        <v>-120.7197209555005</v>
      </c>
      <c r="Q85" t="n">
        <v>0.0432</v>
      </c>
      <c r="R85" t="n">
        <v>0</v>
      </c>
      <c r="S85" t="n">
        <v>1923.121608853711</v>
      </c>
    </row>
    <row r="86">
      <c r="A86" s="1" t="n">
        <v>44932</v>
      </c>
      <c r="B86" t="inlineStr">
        <is>
          <t>CONL</t>
        </is>
      </c>
      <c r="C86" t="inlineStr">
        <is>
          <t>COIN</t>
        </is>
      </c>
      <c r="D86" t="n">
        <v>33.2599983215332</v>
      </c>
      <c r="E86" t="n">
        <v>4.105826854705811</v>
      </c>
      <c r="F86" t="n">
        <v>98778</v>
      </c>
      <c r="G86" t="n">
        <v>-394919</v>
      </c>
      <c r="H86">
        <f>D86*F86</f>
        <v/>
      </c>
      <c r="I86">
        <f>E86*G86</f>
        <v/>
      </c>
      <c r="J86">
        <f>H86-I86</f>
        <v/>
      </c>
      <c r="K86" t="n">
        <v>0.03</v>
      </c>
      <c r="L86" t="n">
        <v>-26670.10521697998</v>
      </c>
      <c r="M86" t="n">
        <v>29151.83578205109</v>
      </c>
      <c r="N86">
        <f>-I86*K86/252</f>
        <v/>
      </c>
      <c r="O86" t="n">
        <v>1</v>
      </c>
      <c r="P86" t="n">
        <v>825.6855622859796</v>
      </c>
      <c r="Q86" t="n">
        <v>0.0432</v>
      </c>
      <c r="R86" t="n">
        <v>0</v>
      </c>
      <c r="S86" t="n">
        <v>2674.762593122724</v>
      </c>
    </row>
    <row r="87">
      <c r="A87" s="1" t="n">
        <v>44932</v>
      </c>
      <c r="B87" t="inlineStr">
        <is>
          <t>MEXX</t>
        </is>
      </c>
      <c r="C87" t="inlineStr">
        <is>
          <t>EWW</t>
        </is>
      </c>
      <c r="D87" t="n">
        <v>48.64909362792969</v>
      </c>
      <c r="E87" t="n">
        <v>19.48874855041504</v>
      </c>
      <c r="F87" t="n">
        <v>9067</v>
      </c>
      <c r="G87" t="n">
        <v>-8695</v>
      </c>
      <c r="H87">
        <f>D87*F87</f>
        <v/>
      </c>
      <c r="I87">
        <f>E87*G87</f>
        <v/>
      </c>
      <c r="J87">
        <f>H87-I87</f>
        <v/>
      </c>
      <c r="K87" t="n">
        <v>0.0075</v>
      </c>
      <c r="L87" t="n">
        <v>12074.86407852173</v>
      </c>
      <c r="M87" t="n">
        <v>-13536.28381729126</v>
      </c>
      <c r="N87">
        <f>-I87*K87/252</f>
        <v/>
      </c>
      <c r="O87" t="n">
        <v>1</v>
      </c>
      <c r="P87" t="n">
        <v>18.31509362118585</v>
      </c>
      <c r="Q87" t="n">
        <v>0.0432</v>
      </c>
      <c r="R87" t="n">
        <v>0</v>
      </c>
      <c r="S87" t="n">
        <v>-1456.376445059831</v>
      </c>
    </row>
    <row r="88">
      <c r="A88" s="1" t="n">
        <v>44932</v>
      </c>
      <c r="B88" t="inlineStr">
        <is>
          <t>KORU</t>
        </is>
      </c>
      <c r="C88" t="inlineStr">
        <is>
          <t>EWY</t>
        </is>
      </c>
      <c r="D88" t="n">
        <v>55.75141143798828</v>
      </c>
      <c r="E88" t="n">
        <v>82.59306335449219</v>
      </c>
      <c r="F88" t="n">
        <v>12826</v>
      </c>
      <c r="G88" t="n">
        <v>-3410</v>
      </c>
      <c r="H88">
        <f>D88*F88</f>
        <v/>
      </c>
      <c r="I88">
        <f>E88*G88</f>
        <v/>
      </c>
      <c r="J88">
        <f>H88-I88</f>
        <v/>
      </c>
      <c r="K88" t="n">
        <v>0.0225</v>
      </c>
      <c r="L88" t="n">
        <v>34386.35608673096</v>
      </c>
      <c r="M88" t="n">
        <v>-37913.38172912598</v>
      </c>
      <c r="N88">
        <f>-I88*K88/252</f>
        <v/>
      </c>
      <c r="O88" t="n">
        <v>1</v>
      </c>
      <c r="P88" t="n">
        <v>89.49245356151036</v>
      </c>
      <c r="Q88" t="n">
        <v>0.0432</v>
      </c>
      <c r="R88" t="n">
        <v>0</v>
      </c>
      <c r="S88" t="n">
        <v>-3501.879004355839</v>
      </c>
    </row>
    <row r="89">
      <c r="A89" s="1" t="n">
        <v>44932</v>
      </c>
      <c r="B89" t="inlineStr">
        <is>
          <t>YINN</t>
        </is>
      </c>
      <c r="C89" t="inlineStr">
        <is>
          <t>FXI</t>
        </is>
      </c>
      <c r="D89" t="n">
        <v>28.98138809204102</v>
      </c>
      <c r="E89" t="n">
        <v>56.95615768432617</v>
      </c>
      <c r="F89" t="n">
        <v>35048</v>
      </c>
      <c r="G89" t="n">
        <v>-6728</v>
      </c>
      <c r="H89">
        <f>D89*F89</f>
        <v/>
      </c>
      <c r="I89">
        <f>E89*G89</f>
        <v/>
      </c>
      <c r="J89">
        <f>H89-I89</f>
        <v/>
      </c>
      <c r="K89" t="n">
        <v>-0.02</v>
      </c>
      <c r="L89" t="n">
        <v>2604.494338989258</v>
      </c>
      <c r="M89" t="n">
        <v>-3145.152130126953</v>
      </c>
      <c r="N89">
        <f>-I89*K89/252</f>
        <v/>
      </c>
      <c r="O89" t="n">
        <v>1</v>
      </c>
      <c r="P89" t="n">
        <v>-116.3443585641044</v>
      </c>
      <c r="Q89" t="n">
        <v>0.0432</v>
      </c>
      <c r="R89" t="n">
        <v>0</v>
      </c>
      <c r="S89" t="n">
        <v>-571.0705712091356</v>
      </c>
    </row>
    <row r="90">
      <c r="A90" s="1" t="n">
        <v>44932</v>
      </c>
      <c r="B90" t="inlineStr">
        <is>
          <t>JNUG</t>
        </is>
      </c>
      <c r="C90" t="inlineStr">
        <is>
          <t>GDXJ</t>
        </is>
      </c>
      <c r="D90" t="n">
        <v>37.34749221801758</v>
      </c>
      <c r="E90" t="n">
        <v>41.25585556030273</v>
      </c>
      <c r="F90" t="n">
        <v>13873</v>
      </c>
      <c r="G90" t="n">
        <v>-6778</v>
      </c>
      <c r="H90">
        <f>D90*F90</f>
        <v/>
      </c>
      <c r="I90">
        <f>E90*G90</f>
        <v/>
      </c>
      <c r="J90">
        <f>H90-I90</f>
        <v/>
      </c>
      <c r="K90" t="n">
        <v>-0.005</v>
      </c>
      <c r="L90" t="n">
        <v>17716.88535308838</v>
      </c>
      <c r="M90" t="n">
        <v>-17956.87526702881</v>
      </c>
      <c r="N90">
        <f>-I90*K90/252</f>
        <v/>
      </c>
      <c r="O90" t="n">
        <v>1</v>
      </c>
      <c r="P90" t="n">
        <v>-20.92021502903529</v>
      </c>
      <c r="Q90" t="n">
        <v>0.0432</v>
      </c>
      <c r="R90" t="n">
        <v>0</v>
      </c>
      <c r="S90" t="n">
        <v>-245.5381716584402</v>
      </c>
    </row>
    <row r="91">
      <c r="A91" s="1" t="n">
        <v>44932</v>
      </c>
      <c r="B91" t="inlineStr">
        <is>
          <t>GDXU</t>
        </is>
      </c>
      <c r="C91" t="inlineStr">
        <is>
          <t>GDX</t>
        </is>
      </c>
      <c r="D91" t="n">
        <v>30.46856307983398</v>
      </c>
      <c r="E91" t="n">
        <v>55.40000152587892</v>
      </c>
      <c r="F91" t="n">
        <v>53192</v>
      </c>
      <c r="G91" t="n">
        <v>-10760</v>
      </c>
      <c r="H91">
        <f>D91*F91</f>
        <v/>
      </c>
      <c r="I91">
        <f>E91*G91</f>
        <v/>
      </c>
      <c r="J91">
        <f>H91-I91</f>
        <v/>
      </c>
      <c r="K91" t="n">
        <v>-0.005</v>
      </c>
      <c r="L91" t="n">
        <v>46730.89593505859</v>
      </c>
      <c r="M91" t="n">
        <v>-42824.83612060547</v>
      </c>
      <c r="N91">
        <f>-I91*K91/252</f>
        <v/>
      </c>
      <c r="O91" t="n">
        <v>1</v>
      </c>
      <c r="P91" t="n">
        <v>-43.92385750119649</v>
      </c>
      <c r="Q91" t="n">
        <v>0.0432</v>
      </c>
      <c r="R91" t="n">
        <v>0</v>
      </c>
      <c r="S91" t="n">
        <v>3894.232353809894</v>
      </c>
    </row>
    <row r="92">
      <c r="A92" s="1" t="n">
        <v>44932</v>
      </c>
      <c r="B92" t="inlineStr">
        <is>
          <t>NUGT</t>
        </is>
      </c>
      <c r="C92" t="inlineStr">
        <is>
          <t>GDX</t>
        </is>
      </c>
      <c r="D92" t="n">
        <v>30.46856307983398</v>
      </c>
      <c r="E92" t="n">
        <v>39.73174285888672</v>
      </c>
      <c r="F92" t="n">
        <v>15820</v>
      </c>
      <c r="G92" t="n">
        <v>-6494</v>
      </c>
      <c r="H92">
        <f>D92*F92</f>
        <v/>
      </c>
      <c r="I92">
        <f>E92*G92</f>
        <v/>
      </c>
      <c r="J92">
        <f>H92-I92</f>
        <v/>
      </c>
      <c r="K92" t="n">
        <v>-0.0175</v>
      </c>
      <c r="L92" t="n">
        <v>13898.38272094727</v>
      </c>
      <c r="M92" t="n">
        <v>-12286.5378112793</v>
      </c>
      <c r="N92">
        <f>-I92*K92/252</f>
        <v/>
      </c>
      <c r="O92" t="n">
        <v>1</v>
      </c>
      <c r="P92" t="n">
        <v>-68.17209030893116</v>
      </c>
      <c r="Q92" t="n">
        <v>0.0432</v>
      </c>
      <c r="R92" t="n">
        <v>0</v>
      </c>
      <c r="S92" t="n">
        <v>1593.926997298135</v>
      </c>
    </row>
    <row r="93">
      <c r="A93" s="1" t="n">
        <v>44932</v>
      </c>
      <c r="B93" t="inlineStr">
        <is>
          <t>GGLL</t>
        </is>
      </c>
      <c r="C93" t="inlineStr">
        <is>
          <t>GOOGL</t>
        </is>
      </c>
      <c r="D93" t="n">
        <v>86.62403106689453</v>
      </c>
      <c r="E93" t="n">
        <v>15.72580146789551</v>
      </c>
      <c r="F93" t="n">
        <v>20098</v>
      </c>
      <c r="G93" t="n">
        <v>-54856</v>
      </c>
      <c r="H93">
        <f>D93*F93</f>
        <v/>
      </c>
      <c r="I93">
        <f>E93*G93</f>
        <v/>
      </c>
      <c r="J93">
        <f>H93-I93</f>
        <v/>
      </c>
      <c r="K93" t="n">
        <v>0</v>
      </c>
      <c r="L93" t="n">
        <v>22723.41165161133</v>
      </c>
      <c r="M93" t="n">
        <v>-14662.78045654297</v>
      </c>
      <c r="N93">
        <f>-I93*K93/252</f>
        <v/>
      </c>
      <c r="O93" t="n">
        <v>1</v>
      </c>
      <c r="P93" t="n">
        <v>0</v>
      </c>
      <c r="Q93" t="n">
        <v>0.0432</v>
      </c>
      <c r="R93" t="n">
        <v>0</v>
      </c>
      <c r="S93" t="n">
        <v>8060.631195068361</v>
      </c>
    </row>
    <row r="94">
      <c r="A94" s="1" t="n">
        <v>44932</v>
      </c>
      <c r="B94" t="inlineStr">
        <is>
          <t>CWEB</t>
        </is>
      </c>
      <c r="C94" t="inlineStr">
        <is>
          <t>KWEB</t>
        </is>
      </c>
      <c r="D94" t="n">
        <v>30.97040176391602</v>
      </c>
      <c r="E94" t="n">
        <v>59.43499755859375</v>
      </c>
      <c r="F94" t="n">
        <v>14605</v>
      </c>
      <c r="G94" t="n">
        <v>-4138</v>
      </c>
      <c r="H94">
        <f>D94*F94</f>
        <v/>
      </c>
      <c r="I94">
        <f>E94*G94</f>
        <v/>
      </c>
      <c r="J94">
        <f>H94-I94</f>
        <v/>
      </c>
      <c r="K94" t="n">
        <v>-0.02</v>
      </c>
      <c r="L94" t="n">
        <v>-2486.026792526245</v>
      </c>
      <c r="M94" t="n">
        <v>2943.39054107666</v>
      </c>
      <c r="N94">
        <f>-I94*K94/252</f>
        <v/>
      </c>
      <c r="O94" t="n">
        <v>1</v>
      </c>
      <c r="P94" t="n">
        <v>-75.41847709595211</v>
      </c>
      <c r="Q94" t="n">
        <v>0.0432</v>
      </c>
      <c r="R94" t="n">
        <v>0</v>
      </c>
      <c r="S94" t="n">
        <v>437.8445406220451</v>
      </c>
    </row>
    <row r="95">
      <c r="A95" s="1" t="n">
        <v>44932</v>
      </c>
      <c r="B95" t="inlineStr">
        <is>
          <t>FBL</t>
        </is>
      </c>
      <c r="C95" t="inlineStr">
        <is>
          <t>META</t>
        </is>
      </c>
      <c r="D95" t="n">
        <v>129.0076293945312</v>
      </c>
      <c r="E95" t="n">
        <v>3.868824481964111</v>
      </c>
      <c r="F95" t="n">
        <v>25964</v>
      </c>
      <c r="G95" t="n">
        <v>-441819</v>
      </c>
      <c r="H95">
        <f>D95*F95</f>
        <v/>
      </c>
      <c r="I95">
        <f>E95*G95</f>
        <v/>
      </c>
      <c r="J95">
        <f>H95-I95</f>
        <v/>
      </c>
      <c r="K95" t="n">
        <v>-0.01</v>
      </c>
      <c r="L95" t="n">
        <v>79346.57192993164</v>
      </c>
      <c r="M95" t="n">
        <v>-57979.11586976051</v>
      </c>
      <c r="N95">
        <f>-I95*K95/252</f>
        <v/>
      </c>
      <c r="O95" t="n">
        <v>1</v>
      </c>
      <c r="P95" t="n">
        <v>-263.0415776139498</v>
      </c>
      <c r="Q95" t="n">
        <v>0.0432</v>
      </c>
      <c r="R95" t="n">
        <v>0</v>
      </c>
      <c r="S95" t="n">
        <v>21299.62589494109</v>
      </c>
    </row>
    <row r="96">
      <c r="A96" s="1" t="n">
        <v>44932</v>
      </c>
      <c r="B96" t="inlineStr">
        <is>
          <t>MSFU</t>
        </is>
      </c>
      <c r="C96" t="inlineStr">
        <is>
          <t>MSFT</t>
        </is>
      </c>
      <c r="D96" t="n">
        <v>219.1774749755859</v>
      </c>
      <c r="E96" t="n">
        <v>17.01280403137207</v>
      </c>
      <c r="F96" t="n">
        <v>8314</v>
      </c>
      <c r="G96" t="n">
        <v>-51898</v>
      </c>
      <c r="H96">
        <f>D96*F96</f>
        <v/>
      </c>
      <c r="I96">
        <f>E96*G96</f>
        <v/>
      </c>
      <c r="J96">
        <f>H96-I96</f>
        <v/>
      </c>
      <c r="K96" t="n">
        <v>-0.005</v>
      </c>
      <c r="L96" t="n">
        <v>21225.71710205078</v>
      </c>
      <c r="M96" t="n">
        <v>-13052.70018768311</v>
      </c>
      <c r="N96">
        <f>-I96*K96/252</f>
        <v/>
      </c>
      <c r="O96" t="n">
        <v>1</v>
      </c>
      <c r="P96" t="n">
        <v>-72.15357264359793</v>
      </c>
      <c r="Q96" t="n">
        <v>0.0432</v>
      </c>
      <c r="R96" t="n">
        <v>0</v>
      </c>
      <c r="S96" t="n">
        <v>8155.498451994256</v>
      </c>
    </row>
    <row r="97">
      <c r="A97" s="1" t="n">
        <v>44932</v>
      </c>
      <c r="B97" t="inlineStr">
        <is>
          <t>NVDL</t>
        </is>
      </c>
      <c r="C97" t="inlineStr">
        <is>
          <t>NVDA</t>
        </is>
      </c>
      <c r="D97" t="n">
        <v>14.84333896636963</v>
      </c>
      <c r="E97" t="n">
        <v>2.874823570251465</v>
      </c>
      <c r="F97" t="n">
        <v>307781</v>
      </c>
      <c r="G97" t="n">
        <v>-767265</v>
      </c>
      <c r="H97">
        <f>D97*F97</f>
        <v/>
      </c>
      <c r="I97">
        <f>E97*G97</f>
        <v/>
      </c>
      <c r="J97">
        <f>H97-I97</f>
        <v/>
      </c>
      <c r="K97" t="n">
        <v>0</v>
      </c>
      <c r="L97" t="n">
        <v>182629.9077987671</v>
      </c>
      <c r="M97" t="n">
        <v>-125048.9108133316</v>
      </c>
      <c r="N97">
        <f>-I97*K97/252</f>
        <v/>
      </c>
      <c r="O97" t="n">
        <v>1</v>
      </c>
      <c r="P97" t="n">
        <v>0</v>
      </c>
      <c r="Q97" t="n">
        <v>0.0432</v>
      </c>
      <c r="R97" t="n">
        <v>0</v>
      </c>
      <c r="S97" t="n">
        <v>57580.99698543549</v>
      </c>
    </row>
    <row r="98">
      <c r="A98" s="1" t="n">
        <v>44932</v>
      </c>
      <c r="B98" t="inlineStr">
        <is>
          <t>SOXL</t>
        </is>
      </c>
      <c r="C98" t="inlineStr">
        <is>
          <t>SOXX</t>
        </is>
      </c>
      <c r="D98" t="n">
        <v>118.4265975952148</v>
      </c>
      <c r="E98" t="n">
        <v>10.63646125793457</v>
      </c>
      <c r="F98" t="n">
        <v>8941</v>
      </c>
      <c r="G98" t="n">
        <v>-36957</v>
      </c>
      <c r="H98">
        <f>D98*F98</f>
        <v/>
      </c>
      <c r="I98">
        <f>E98*G98</f>
        <v/>
      </c>
      <c r="J98">
        <f>H98-I98</f>
        <v/>
      </c>
      <c r="K98" t="n">
        <v>-0.0175</v>
      </c>
      <c r="L98" t="n">
        <v>47080.29419708252</v>
      </c>
      <c r="M98" t="n">
        <v>-47011.92368602753</v>
      </c>
      <c r="N98">
        <f>-I98*K98/252</f>
        <v/>
      </c>
      <c r="O98" t="n">
        <v>1</v>
      </c>
      <c r="P98" t="n">
        <v>-100.1262730840842</v>
      </c>
      <c r="Q98" t="n">
        <v>0.0432</v>
      </c>
      <c r="R98" t="n">
        <v>0</v>
      </c>
      <c r="S98" t="n">
        <v>41.07247642238934</v>
      </c>
    </row>
    <row r="99">
      <c r="A99" s="1" t="n">
        <v>44932</v>
      </c>
      <c r="B99" t="inlineStr">
        <is>
          <t>SOXS</t>
        </is>
      </c>
      <c r="C99" t="inlineStr">
        <is>
          <t>SOXX</t>
        </is>
      </c>
      <c r="D99" t="n">
        <v>-0</v>
      </c>
      <c r="E99" t="n">
        <v>-0</v>
      </c>
      <c r="F99" t="n">
        <v>-6997</v>
      </c>
      <c r="G99" t="n">
        <v>-37</v>
      </c>
      <c r="H99">
        <f>D99*F99</f>
        <v/>
      </c>
      <c r="I99">
        <f>E99*G99</f>
        <v/>
      </c>
      <c r="J99">
        <f>H99-I99</f>
        <v/>
      </c>
      <c r="K99" t="n">
        <v>0.07000000000000001</v>
      </c>
      <c r="L99" t="n">
        <v>-36843.84503936768</v>
      </c>
      <c r="M99" t="n">
        <v>35667.83740234375</v>
      </c>
      <c r="N99">
        <f>-I99*K99/252</f>
        <v/>
      </c>
      <c r="O99" t="n">
        <v>1</v>
      </c>
      <c r="P99" t="n">
        <v>0</v>
      </c>
      <c r="Q99" t="n">
        <v>0.0432</v>
      </c>
      <c r="R99" t="n">
        <v>0</v>
      </c>
      <c r="S99" t="n">
        <v>-1176.007637023933</v>
      </c>
    </row>
    <row r="100">
      <c r="A100" s="1" t="n">
        <v>44932</v>
      </c>
      <c r="B100" t="inlineStr">
        <is>
          <t>HIBL</t>
        </is>
      </c>
      <c r="C100" t="inlineStr">
        <is>
          <t>SPHB</t>
        </is>
      </c>
      <c r="D100" t="n">
        <v>63.11252212524414</v>
      </c>
      <c r="E100" t="n">
        <v>25.28952026367188</v>
      </c>
      <c r="F100" t="n">
        <v>6521</v>
      </c>
      <c r="G100" t="n">
        <v>-5851</v>
      </c>
      <c r="H100">
        <f>D100*F100</f>
        <v/>
      </c>
      <c r="I100">
        <f>E100*G100</f>
        <v/>
      </c>
      <c r="J100">
        <f>H100-I100</f>
        <v/>
      </c>
      <c r="K100" t="n">
        <v>0.12</v>
      </c>
      <c r="L100" t="n">
        <v>10934.18744659424</v>
      </c>
      <c r="M100" t="n">
        <v>-11106.09498786926</v>
      </c>
      <c r="N100">
        <f>-I100*K100/252</f>
        <v/>
      </c>
      <c r="O100" t="n">
        <v>1</v>
      </c>
      <c r="P100" t="n">
        <v>266.0599601009914</v>
      </c>
      <c r="Q100" t="n">
        <v>0.0432</v>
      </c>
      <c r="R100" t="n">
        <v>0</v>
      </c>
      <c r="S100" t="n">
        <v>-101.4461207689521</v>
      </c>
    </row>
    <row r="101">
      <c r="A101" s="1" t="n">
        <v>44932</v>
      </c>
      <c r="B101" t="inlineStr">
        <is>
          <t>TSLL</t>
        </is>
      </c>
      <c r="C101" t="inlineStr">
        <is>
          <t>TSLA</t>
        </is>
      </c>
      <c r="D101" t="n">
        <v>113.0599975585938</v>
      </c>
      <c r="E101" t="n">
        <v>4.709964275360107</v>
      </c>
      <c r="F101" t="n">
        <v>16893</v>
      </c>
      <c r="G101" t="n">
        <v>-207812</v>
      </c>
      <c r="H101">
        <f>D101*F101</f>
        <v/>
      </c>
      <c r="I101">
        <f>E101*G101</f>
        <v/>
      </c>
      <c r="J101">
        <f>H101-I101</f>
        <v/>
      </c>
      <c r="K101" t="n">
        <v>0.01</v>
      </c>
      <c r="L101" t="n">
        <v>45948.98062133789</v>
      </c>
      <c r="M101" t="n">
        <v>-34185.51951980591</v>
      </c>
      <c r="N101">
        <f>-I101*K101/252</f>
        <v/>
      </c>
      <c r="O101" t="n">
        <v>1</v>
      </c>
      <c r="P101" t="n">
        <v>151.7931024913939</v>
      </c>
      <c r="Q101" t="n">
        <v>0.0432</v>
      </c>
      <c r="R101" t="n">
        <v>0</v>
      </c>
      <c r="S101" t="n">
        <v>11802.30185930941</v>
      </c>
    </row>
    <row r="102">
      <c r="A102" s="1" t="n">
        <v>44932</v>
      </c>
      <c r="B102" t="inlineStr">
        <is>
          <t>TSLQ</t>
        </is>
      </c>
      <c r="C102" t="inlineStr">
        <is>
          <t>TSLA</t>
        </is>
      </c>
      <c r="D102" t="n">
        <v>-0</v>
      </c>
      <c r="E102" t="n">
        <v>-0</v>
      </c>
      <c r="F102" t="n">
        <v>-6277</v>
      </c>
      <c r="G102" t="n">
        <v>-302</v>
      </c>
      <c r="H102">
        <f>D102*F102</f>
        <v/>
      </c>
      <c r="I102">
        <f>E102*G102</f>
        <v/>
      </c>
      <c r="J102">
        <f>H102-I102</f>
        <v/>
      </c>
      <c r="K102" t="n">
        <v>-0.02</v>
      </c>
      <c r="L102" t="n">
        <v>-17073.44766235352</v>
      </c>
      <c r="M102" t="n">
        <v>8649.3212890625</v>
      </c>
      <c r="N102">
        <f>-I102*K102/252</f>
        <v/>
      </c>
      <c r="O102" t="n">
        <v>1</v>
      </c>
      <c r="P102" t="n">
        <v>0</v>
      </c>
      <c r="Q102" t="n">
        <v>0.0432</v>
      </c>
      <c r="R102" t="n">
        <v>0</v>
      </c>
      <c r="S102" t="n">
        <v>-8424.126373291019</v>
      </c>
    </row>
    <row r="103">
      <c r="A103" s="1" t="n">
        <v>44932</v>
      </c>
      <c r="B103" t="inlineStr">
        <is>
          <t>LABU</t>
        </is>
      </c>
      <c r="C103" t="inlineStr">
        <is>
          <t>XBI</t>
        </is>
      </c>
      <c r="D103" t="n">
        <v>82.71617126464844</v>
      </c>
      <c r="E103" t="n">
        <v>138.4780578613281</v>
      </c>
      <c r="F103" t="n">
        <v>3382</v>
      </c>
      <c r="G103" t="n">
        <v>-699</v>
      </c>
      <c r="H103">
        <f>D103*F103</f>
        <v/>
      </c>
      <c r="I103">
        <f>E103*G103</f>
        <v/>
      </c>
      <c r="J103">
        <f>H103-I103</f>
        <v/>
      </c>
      <c r="K103" t="n">
        <v>0.1</v>
      </c>
      <c r="L103" t="n">
        <v>2152.969970703125</v>
      </c>
      <c r="M103" t="n">
        <v>-1647.592575073242</v>
      </c>
      <c r="N103">
        <f>-I103*K103/252</f>
        <v/>
      </c>
      <c r="O103" t="n">
        <v>1</v>
      </c>
      <c r="P103" t="n">
        <v>151.24741574242</v>
      </c>
      <c r="Q103" t="n">
        <v>0.0432</v>
      </c>
      <c r="R103" t="n">
        <v>0</v>
      </c>
      <c r="S103" t="n">
        <v>543.7885712033228</v>
      </c>
    </row>
    <row r="104">
      <c r="A104" s="1" t="n">
        <v>44932</v>
      </c>
      <c r="B104" t="inlineStr">
        <is>
          <t>ERX</t>
        </is>
      </c>
      <c r="C104" t="inlineStr">
        <is>
          <t>XLE</t>
        </is>
      </c>
      <c r="D104" t="n">
        <v>39.29584121704102</v>
      </c>
      <c r="E104" t="n">
        <v>60.7747917175293</v>
      </c>
      <c r="F104" t="n">
        <v>1856</v>
      </c>
      <c r="G104" t="n">
        <v>-625</v>
      </c>
      <c r="H104">
        <f>D104*F104</f>
        <v/>
      </c>
      <c r="I104">
        <f>E104*G104</f>
        <v/>
      </c>
      <c r="J104">
        <f>H104-I104</f>
        <v/>
      </c>
      <c r="K104" t="n">
        <v>0.12</v>
      </c>
      <c r="L104" t="n">
        <v>1357.7041015625</v>
      </c>
      <c r="M104" t="n">
        <v>-1241.724491119385</v>
      </c>
      <c r="N104">
        <f>-I104*K104/252</f>
        <v/>
      </c>
      <c r="O104" t="n">
        <v>1</v>
      </c>
      <c r="P104" t="n">
        <v>69.25276120503743</v>
      </c>
      <c r="Q104" t="n">
        <v>0.0432</v>
      </c>
      <c r="R104" t="n">
        <v>0</v>
      </c>
      <c r="S104" t="n">
        <v>134.0673460733321</v>
      </c>
    </row>
    <row r="105">
      <c r="A105" s="1" t="n">
        <v>44932</v>
      </c>
      <c r="B105" t="inlineStr">
        <is>
          <t>GUSH</t>
        </is>
      </c>
      <c r="C105" t="inlineStr">
        <is>
          <t>XOP</t>
        </is>
      </c>
      <c r="D105" t="n">
        <v>121.3740386962891</v>
      </c>
      <c r="E105" t="n">
        <v>31.25464820861816</v>
      </c>
      <c r="F105" t="n">
        <v>3057</v>
      </c>
      <c r="G105" t="n">
        <v>-6059</v>
      </c>
      <c r="H105">
        <f>D105*F105</f>
        <v/>
      </c>
      <c r="I105">
        <f>E105*G105</f>
        <v/>
      </c>
      <c r="J105">
        <f>H105-I105</f>
        <v/>
      </c>
      <c r="K105" t="n">
        <v>-0.01</v>
      </c>
      <c r="L105" t="n">
        <v>7445.70002746582</v>
      </c>
      <c r="M105" t="n">
        <v>-7757.639022827148</v>
      </c>
      <c r="N105">
        <f>-I105*K105/252</f>
        <v/>
      </c>
      <c r="O105" t="n">
        <v>1</v>
      </c>
      <c r="P105" t="n">
        <v>-29.05205100574191</v>
      </c>
      <c r="Q105" t="n">
        <v>0.0432</v>
      </c>
      <c r="R105" t="n">
        <v>0</v>
      </c>
      <c r="S105" t="n">
        <v>-319.4537538333923</v>
      </c>
    </row>
    <row r="106">
      <c r="A106" s="1" t="n">
        <v>44935</v>
      </c>
      <c r="B106" t="inlineStr">
        <is>
          <t>AAPB</t>
        </is>
      </c>
      <c r="C106" t="inlineStr">
        <is>
          <t>AAPL</t>
        </is>
      </c>
      <c r="D106" t="n">
        <v>128.0958404541016</v>
      </c>
      <c r="E106" t="n">
        <v>12.46357917785645</v>
      </c>
      <c r="F106" t="n">
        <v>9028</v>
      </c>
      <c r="G106" t="n">
        <v>-47878</v>
      </c>
      <c r="H106">
        <f>D106*F106</f>
        <v/>
      </c>
      <c r="I106">
        <f>E106*G106</f>
        <v/>
      </c>
      <c r="J106">
        <f>H106-I106</f>
        <v/>
      </c>
      <c r="K106" t="n">
        <v>-0.005</v>
      </c>
      <c r="L106" t="n">
        <v>4709.476257324219</v>
      </c>
      <c r="M106" t="n">
        <v>-5220.90354347229</v>
      </c>
      <c r="N106">
        <f>-I106*K106/252</f>
        <v/>
      </c>
      <c r="O106" t="n">
        <v>0</v>
      </c>
      <c r="P106" t="n">
        <v>-56.95048232570528</v>
      </c>
      <c r="Q106" t="n">
        <v>0.0432</v>
      </c>
      <c r="R106" t="n">
        <v>0</v>
      </c>
      <c r="S106" t="n">
        <v>-523.2671917805596</v>
      </c>
    </row>
    <row r="107">
      <c r="A107" s="1" t="n">
        <v>44935</v>
      </c>
      <c r="B107" t="inlineStr">
        <is>
          <t>AAPU</t>
        </is>
      </c>
      <c r="C107" t="inlineStr">
        <is>
          <t>AAPL</t>
        </is>
      </c>
      <c r="D107" t="n">
        <v>128.0958404541016</v>
      </c>
      <c r="E107" t="n">
        <v>12.87767791748047</v>
      </c>
      <c r="F107" t="n">
        <v>7633</v>
      </c>
      <c r="G107" t="n">
        <v>-38936</v>
      </c>
      <c r="H107">
        <f>D107*F107</f>
        <v/>
      </c>
      <c r="I107">
        <f>E107*G107</f>
        <v/>
      </c>
      <c r="J107">
        <f>H107-I107</f>
        <v/>
      </c>
      <c r="K107" t="n">
        <v>0.02</v>
      </c>
      <c r="L107" t="n">
        <v>3981.771408081055</v>
      </c>
      <c r="M107" t="n">
        <v>-3609.33024597168</v>
      </c>
      <c r="N107">
        <f>-I107*K107/252</f>
        <v/>
      </c>
      <c r="O107" t="n">
        <v>0</v>
      </c>
      <c r="P107" t="n">
        <v>192.5250143711151</v>
      </c>
      <c r="Q107" t="n">
        <v>0.0432</v>
      </c>
      <c r="R107" t="n">
        <v>0</v>
      </c>
      <c r="S107" t="n">
        <v>412.2352309502496</v>
      </c>
    </row>
    <row r="108">
      <c r="A108" s="1" t="n">
        <v>44935</v>
      </c>
      <c r="B108" t="inlineStr">
        <is>
          <t>AMZU</t>
        </is>
      </c>
      <c r="C108" t="inlineStr">
        <is>
          <t>AMZN</t>
        </is>
      </c>
      <c r="D108" t="n">
        <v>87.36000061035156</v>
      </c>
      <c r="E108" t="n">
        <v>11.81714344024658</v>
      </c>
      <c r="F108" t="n">
        <v>27599</v>
      </c>
      <c r="G108" t="n">
        <v>-103312</v>
      </c>
      <c r="H108">
        <f>D108*F108</f>
        <v/>
      </c>
      <c r="I108">
        <f>E108*G108</f>
        <v/>
      </c>
      <c r="J108">
        <f>H108-I108</f>
        <v/>
      </c>
      <c r="K108" t="n">
        <v>-0.0025</v>
      </c>
      <c r="L108" t="n">
        <v>35326.68630981445</v>
      </c>
      <c r="M108" t="n">
        <v>-28868.01976013184</v>
      </c>
      <c r="N108">
        <f>-I108*K108/252</f>
        <v/>
      </c>
      <c r="O108" t="n">
        <v>0</v>
      </c>
      <c r="P108" t="n">
        <v>-58.64388487513103</v>
      </c>
      <c r="Q108" t="n">
        <v>0.0432</v>
      </c>
      <c r="R108" t="n">
        <v>0</v>
      </c>
      <c r="S108" t="n">
        <v>6446.554915524888</v>
      </c>
    </row>
    <row r="109">
      <c r="A109" s="1" t="n">
        <v>44935</v>
      </c>
      <c r="B109" t="inlineStr">
        <is>
          <t>TARK</t>
        </is>
      </c>
      <c r="C109" t="inlineStr">
        <is>
          <t>ARKK</t>
        </is>
      </c>
      <c r="D109" t="n">
        <v>32.53863525390625</v>
      </c>
      <c r="E109" t="n">
        <v>17.93987083435059</v>
      </c>
      <c r="F109" t="n">
        <v>20537</v>
      </c>
      <c r="G109" t="n">
        <v>-20077</v>
      </c>
      <c r="H109">
        <f>D109*F109</f>
        <v/>
      </c>
      <c r="I109">
        <f>E109*G109</f>
        <v/>
      </c>
      <c r="J109">
        <f>H109-I109</f>
        <v/>
      </c>
      <c r="K109" t="n">
        <v>-0.02</v>
      </c>
      <c r="L109" t="n">
        <v>29328.70587730408</v>
      </c>
      <c r="M109" t="n">
        <v>-30499.6254940033</v>
      </c>
      <c r="N109">
        <f>-I109*K109/252</f>
        <v/>
      </c>
      <c r="O109" t="n">
        <v>0</v>
      </c>
      <c r="P109" t="n">
        <v>-132.2537174452676</v>
      </c>
      <c r="Q109" t="n">
        <v>0.0432</v>
      </c>
      <c r="R109" t="n">
        <v>0</v>
      </c>
      <c r="S109" t="n">
        <v>-1199.505234694557</v>
      </c>
    </row>
    <row r="110">
      <c r="A110" s="1" t="n">
        <v>44935</v>
      </c>
      <c r="B110" t="inlineStr">
        <is>
          <t>CHAU</t>
        </is>
      </c>
      <c r="C110" t="inlineStr">
        <is>
          <t>ASHR</t>
        </is>
      </c>
      <c r="D110" t="n">
        <v>28.21511077880859</v>
      </c>
      <c r="E110" t="n">
        <v>21.12284851074219</v>
      </c>
      <c r="F110" t="n">
        <v>5713</v>
      </c>
      <c r="G110" t="n">
        <v>-3898</v>
      </c>
      <c r="H110">
        <f>D110*F110</f>
        <v/>
      </c>
      <c r="I110">
        <f>E110*G110</f>
        <v/>
      </c>
      <c r="J110">
        <f>H110-I110</f>
        <v/>
      </c>
      <c r="K110" t="n">
        <v>-0.01</v>
      </c>
      <c r="L110" t="n">
        <v>1184.447620391846</v>
      </c>
      <c r="M110" t="n">
        <v>-1000.165084838867</v>
      </c>
      <c r="N110">
        <f>-I110*K110/252</f>
        <v/>
      </c>
      <c r="O110" t="n">
        <v>0</v>
      </c>
      <c r="P110" t="n">
        <v>-16.18183088158804</v>
      </c>
      <c r="Q110" t="n">
        <v>0.0432</v>
      </c>
      <c r="R110" t="n">
        <v>0</v>
      </c>
      <c r="S110" t="n">
        <v>181.0151997000078</v>
      </c>
    </row>
    <row r="111">
      <c r="A111" s="1" t="n">
        <v>44935</v>
      </c>
      <c r="B111" t="inlineStr">
        <is>
          <t>BABX</t>
        </is>
      </c>
      <c r="C111" t="inlineStr">
        <is>
          <t>BABA</t>
        </is>
      </c>
      <c r="D111" t="n">
        <v>105.2546997070312</v>
      </c>
      <c r="E111" t="n">
        <v>35.60800170898438</v>
      </c>
      <c r="F111" t="n">
        <v>5330</v>
      </c>
      <c r="G111" t="n">
        <v>-8035</v>
      </c>
      <c r="H111">
        <f>D111*F111</f>
        <v/>
      </c>
      <c r="I111">
        <f>E111*G111</f>
        <v/>
      </c>
      <c r="J111">
        <f>H111-I111</f>
        <v/>
      </c>
      <c r="K111" t="n">
        <v>-0.0275</v>
      </c>
      <c r="L111" t="n">
        <v>17362.22938537598</v>
      </c>
      <c r="M111" t="n">
        <v>-15089.74740982056</v>
      </c>
      <c r="N111">
        <f>-I111*K111/252</f>
        <v/>
      </c>
      <c r="O111" t="n">
        <v>0</v>
      </c>
      <c r="P111" t="n">
        <v>-151.9420744381254</v>
      </c>
      <c r="Q111" t="n">
        <v>0.0432</v>
      </c>
      <c r="R111" t="n">
        <v>0</v>
      </c>
      <c r="S111" t="n">
        <v>2241.259622072795</v>
      </c>
    </row>
    <row r="112">
      <c r="A112" s="1" t="n">
        <v>44935</v>
      </c>
      <c r="B112" t="inlineStr">
        <is>
          <t>CONL</t>
        </is>
      </c>
      <c r="C112" t="inlineStr">
        <is>
          <t>COIN</t>
        </is>
      </c>
      <c r="D112" t="n">
        <v>38.27000045776367</v>
      </c>
      <c r="E112" t="n">
        <v>5.057468891143799</v>
      </c>
      <c r="F112" t="n">
        <v>98778</v>
      </c>
      <c r="G112" t="n">
        <v>-394919</v>
      </c>
      <c r="H112">
        <f>D112*F112</f>
        <v/>
      </c>
      <c r="I112">
        <f>E112*G112</f>
        <v/>
      </c>
      <c r="J112">
        <f>H112-I112</f>
        <v/>
      </c>
      <c r="K112" t="n">
        <v>0.03</v>
      </c>
      <c r="L112" t="n">
        <v>494877.9910125732</v>
      </c>
      <c r="M112" t="n">
        <v>-375821.5213880539</v>
      </c>
      <c r="N112">
        <f>-I112*K112/252</f>
        <v/>
      </c>
      <c r="O112" t="n">
        <v>0</v>
      </c>
      <c r="P112" t="n">
        <v>1063.458247645696</v>
      </c>
      <c r="Q112" t="n">
        <v>0.0432</v>
      </c>
      <c r="R112" t="n">
        <v>0</v>
      </c>
      <c r="S112" t="n">
        <v>119294.242309879</v>
      </c>
    </row>
    <row r="113">
      <c r="A113" s="1" t="n">
        <v>44935</v>
      </c>
      <c r="B113" t="inlineStr">
        <is>
          <t>MEXX</t>
        </is>
      </c>
      <c r="C113" t="inlineStr">
        <is>
          <t>EWW</t>
        </is>
      </c>
      <c r="D113" t="n">
        <v>49.05677032470703</v>
      </c>
      <c r="E113" t="n">
        <v>19.98885536193848</v>
      </c>
      <c r="F113" t="n">
        <v>9067</v>
      </c>
      <c r="G113" t="n">
        <v>-7657</v>
      </c>
      <c r="H113">
        <f>D113*F113</f>
        <v/>
      </c>
      <c r="I113">
        <f>E113*G113</f>
        <v/>
      </c>
      <c r="J113">
        <f>H113-I113</f>
        <v/>
      </c>
      <c r="K113" t="n">
        <v>0.0075</v>
      </c>
      <c r="L113" t="n">
        <v>3696.404609680176</v>
      </c>
      <c r="M113" t="n">
        <v>-3829.317855834961</v>
      </c>
      <c r="N113">
        <f>-I113*K113/252</f>
        <v/>
      </c>
      <c r="O113" t="n">
        <v>0</v>
      </c>
      <c r="P113" t="n">
        <v>22.87029199935141</v>
      </c>
      <c r="Q113" t="n">
        <v>0.0432</v>
      </c>
      <c r="R113" t="n">
        <v>0</v>
      </c>
      <c r="S113" t="n">
        <v>-128.3580477766196</v>
      </c>
    </row>
    <row r="114">
      <c r="A114" s="1" t="n">
        <v>44935</v>
      </c>
      <c r="B114" t="inlineStr">
        <is>
          <t>KORU</t>
        </is>
      </c>
      <c r="C114" t="inlineStr">
        <is>
          <t>EWY</t>
        </is>
      </c>
      <c r="D114" t="n">
        <v>56.92433929443359</v>
      </c>
      <c r="E114" t="n">
        <v>87.73178863525391</v>
      </c>
      <c r="F114" t="n">
        <v>12826</v>
      </c>
      <c r="G114" t="n">
        <v>-2951</v>
      </c>
      <c r="H114">
        <f>D114*F114</f>
        <v/>
      </c>
      <c r="I114">
        <f>E114*G114</f>
        <v/>
      </c>
      <c r="J114">
        <f>H114-I114</f>
        <v/>
      </c>
      <c r="K114" t="n">
        <v>0.0225</v>
      </c>
      <c r="L114" t="n">
        <v>15043.97268676758</v>
      </c>
      <c r="M114" t="n">
        <v>-15164.37830352783</v>
      </c>
      <c r="N114">
        <f>-I114*K114/252</f>
        <v/>
      </c>
      <c r="O114" t="n">
        <v>0</v>
      </c>
      <c r="P114" t="n">
        <v>112.608213227817</v>
      </c>
      <c r="Q114" t="n">
        <v>0.0432</v>
      </c>
      <c r="R114" t="n">
        <v>0</v>
      </c>
      <c r="S114" t="n">
        <v>-97.28985709394364</v>
      </c>
    </row>
    <row r="115">
      <c r="A115" s="1" t="n">
        <v>44935</v>
      </c>
      <c r="B115" t="inlineStr">
        <is>
          <t>YINN</t>
        </is>
      </c>
      <c r="C115" t="inlineStr">
        <is>
          <t>FXI</t>
        </is>
      </c>
      <c r="D115" t="n">
        <v>28.98138809204102</v>
      </c>
      <c r="E115" t="n">
        <v>57.05899810791016</v>
      </c>
      <c r="F115" t="n">
        <v>35048</v>
      </c>
      <c r="G115" t="n">
        <v>-5995</v>
      </c>
      <c r="H115">
        <f>D115*F115</f>
        <v/>
      </c>
      <c r="I115">
        <f>E115*G115</f>
        <v/>
      </c>
      <c r="J115">
        <f>H115-I115</f>
        <v/>
      </c>
      <c r="K115" t="n">
        <v>-0.02</v>
      </c>
      <c r="L115" t="n">
        <v>0</v>
      </c>
      <c r="M115" t="n">
        <v>-616.5283393859863</v>
      </c>
      <c r="N115">
        <f>-I115*K115/252</f>
        <v/>
      </c>
      <c r="O115" t="n">
        <v>0</v>
      </c>
      <c r="P115" t="n">
        <v>-143.4926675844949</v>
      </c>
      <c r="Q115" t="n">
        <v>0.0432</v>
      </c>
      <c r="R115" t="n">
        <v>0</v>
      </c>
      <c r="S115" t="n">
        <v>-643.6766484063769</v>
      </c>
    </row>
    <row r="116">
      <c r="A116" s="1" t="n">
        <v>44935</v>
      </c>
      <c r="B116" t="inlineStr">
        <is>
          <t>JNUG</t>
        </is>
      </c>
      <c r="C116" t="inlineStr">
        <is>
          <t>GDXJ</t>
        </is>
      </c>
      <c r="D116" t="n">
        <v>36.80828094482422</v>
      </c>
      <c r="E116" t="n">
        <v>40.16992568969727</v>
      </c>
      <c r="F116" t="n">
        <v>13873</v>
      </c>
      <c r="G116" t="n">
        <v>-6362</v>
      </c>
      <c r="H116">
        <f>D116*F116</f>
        <v/>
      </c>
      <c r="I116">
        <f>E116*G116</f>
        <v/>
      </c>
      <c r="J116">
        <f>H116-I116</f>
        <v/>
      </c>
      <c r="K116" t="n">
        <v>-0.005</v>
      </c>
      <c r="L116" t="n">
        <v>-7480.477993011475</v>
      </c>
      <c r="M116" t="n">
        <v>6908.685836791992</v>
      </c>
      <c r="N116">
        <f>-I116*K116/252</f>
        <v/>
      </c>
      <c r="O116" t="n">
        <v>0</v>
      </c>
      <c r="P116" t="n">
        <v>-25.99087112502446</v>
      </c>
      <c r="Q116" t="n">
        <v>0.0432</v>
      </c>
      <c r="R116" t="n">
        <v>0</v>
      </c>
      <c r="S116" t="n">
        <v>-576.8628123154716</v>
      </c>
    </row>
    <row r="117">
      <c r="A117" s="1" t="n">
        <v>44935</v>
      </c>
      <c r="B117" t="inlineStr">
        <is>
          <t>GDXU</t>
        </is>
      </c>
      <c r="C117" t="inlineStr">
        <is>
          <t>GDX</t>
        </is>
      </c>
      <c r="D117" t="n">
        <v>30.1789379119873</v>
      </c>
      <c r="E117" t="n">
        <v>54.38999938964844</v>
      </c>
      <c r="F117" t="n">
        <v>53192</v>
      </c>
      <c r="G117" t="n">
        <v>-9614</v>
      </c>
      <c r="H117">
        <f>D117*F117</f>
        <v/>
      </c>
      <c r="I117">
        <f>E117*G117</f>
        <v/>
      </c>
      <c r="J117">
        <f>H117-I117</f>
        <v/>
      </c>
      <c r="K117" t="n">
        <v>-0.005</v>
      </c>
      <c r="L117" t="n">
        <v>-15405.74192810059</v>
      </c>
      <c r="M117" t="n">
        <v>9710.160537719727</v>
      </c>
      <c r="N117">
        <f>-I117*K117/252</f>
        <v/>
      </c>
      <c r="O117" t="n">
        <v>0</v>
      </c>
      <c r="P117" t="n">
        <v>-54.29896571810284</v>
      </c>
      <c r="Q117" t="n">
        <v>0.0432</v>
      </c>
      <c r="R117" t="n">
        <v>0</v>
      </c>
      <c r="S117" t="n">
        <v>-5705.956498597769</v>
      </c>
    </row>
    <row r="118">
      <c r="A118" s="1" t="n">
        <v>44935</v>
      </c>
      <c r="B118" t="inlineStr">
        <is>
          <t>NUGT</t>
        </is>
      </c>
      <c r="C118" t="inlineStr">
        <is>
          <t>GDX</t>
        </is>
      </c>
      <c r="D118" t="n">
        <v>30.1789379119873</v>
      </c>
      <c r="E118" t="n">
        <v>39.24193572998047</v>
      </c>
      <c r="F118" t="n">
        <v>15820</v>
      </c>
      <c r="G118" t="n">
        <v>-6136</v>
      </c>
      <c r="H118">
        <f>D118*F118</f>
        <v/>
      </c>
      <c r="I118">
        <f>E118*G118</f>
        <v/>
      </c>
      <c r="J118">
        <f>H118-I118</f>
        <v/>
      </c>
      <c r="K118" t="n">
        <v>-0.0175</v>
      </c>
      <c r="L118" t="n">
        <v>-4581.870155334473</v>
      </c>
      <c r="M118" t="n">
        <v>3005.45654296875</v>
      </c>
      <c r="N118">
        <f>-I118*K118/252</f>
        <v/>
      </c>
      <c r="O118" t="n">
        <v>0</v>
      </c>
      <c r="P118" t="n">
        <v>-84.89351514498395</v>
      </c>
      <c r="Q118" t="n">
        <v>0.0432</v>
      </c>
      <c r="R118" t="n">
        <v>0</v>
      </c>
      <c r="S118" t="n">
        <v>-1593.135037201776</v>
      </c>
    </row>
    <row r="119">
      <c r="A119" s="1" t="n">
        <v>44935</v>
      </c>
      <c r="B119" t="inlineStr">
        <is>
          <t>GGLL</t>
        </is>
      </c>
      <c r="C119" t="inlineStr">
        <is>
          <t>GOOGL</t>
        </is>
      </c>
      <c r="D119" t="n">
        <v>87.29847717285156</v>
      </c>
      <c r="E119" t="n">
        <v>15.93963813781738</v>
      </c>
      <c r="F119" t="n">
        <v>20098</v>
      </c>
      <c r="G119" t="n">
        <v>-54856</v>
      </c>
      <c r="H119">
        <f>D119*F119</f>
        <v/>
      </c>
      <c r="I119">
        <f>E119*G119</f>
        <v/>
      </c>
      <c r="J119">
        <f>H119-I119</f>
        <v/>
      </c>
      <c r="K119" t="n">
        <v>0</v>
      </c>
      <c r="L119" t="n">
        <v>13555.01783752441</v>
      </c>
      <c r="M119" t="n">
        <v>-11730.22436523438</v>
      </c>
      <c r="N119">
        <f>-I119*K119/252</f>
        <v/>
      </c>
      <c r="O119" t="n">
        <v>0</v>
      </c>
      <c r="P119" t="n">
        <v>0</v>
      </c>
      <c r="Q119" t="n">
        <v>0.0432</v>
      </c>
      <c r="R119" t="n">
        <v>0</v>
      </c>
      <c r="S119" t="n">
        <v>1824.79347229003</v>
      </c>
    </row>
    <row r="120">
      <c r="A120" s="1" t="n">
        <v>44935</v>
      </c>
      <c r="B120" t="inlineStr">
        <is>
          <t>CWEB</t>
        </is>
      </c>
      <c r="C120" t="inlineStr">
        <is>
          <t>KWEB</t>
        </is>
      </c>
      <c r="D120" t="n">
        <v>31.00623893737793</v>
      </c>
      <c r="E120" t="n">
        <v>59.54304122924805</v>
      </c>
      <c r="F120" t="n">
        <v>14605</v>
      </c>
      <c r="G120" t="n">
        <v>-3828</v>
      </c>
      <c r="H120">
        <f>D120*F120</f>
        <v/>
      </c>
      <c r="I120">
        <f>E120*G120</f>
        <v/>
      </c>
      <c r="J120">
        <f>H120-I120</f>
        <v/>
      </c>
      <c r="K120" t="n">
        <v>-0.02</v>
      </c>
      <c r="L120" t="n">
        <v>523.4019184112549</v>
      </c>
      <c r="M120" t="n">
        <v>-413.5911712646484</v>
      </c>
      <c r="N120">
        <f>-I120*K120/252</f>
        <v/>
      </c>
      <c r="O120" t="n">
        <v>0</v>
      </c>
      <c r="P120" t="n">
        <v>-93.50822009798081</v>
      </c>
      <c r="Q120" t="n">
        <v>0.0432</v>
      </c>
      <c r="R120" t="n">
        <v>0</v>
      </c>
      <c r="S120" t="n">
        <v>91.72100414457782</v>
      </c>
    </row>
    <row r="121">
      <c r="A121" s="1" t="n">
        <v>44935</v>
      </c>
      <c r="B121" t="inlineStr">
        <is>
          <t>FBL</t>
        </is>
      </c>
      <c r="C121" t="inlineStr">
        <is>
          <t>META</t>
        </is>
      </c>
      <c r="D121" t="n">
        <v>128.4618988037109</v>
      </c>
      <c r="E121" t="n">
        <v>3.844032287597656</v>
      </c>
      <c r="F121" t="n">
        <v>25964</v>
      </c>
      <c r="G121" t="n">
        <v>-441819</v>
      </c>
      <c r="H121">
        <f>D121*F121</f>
        <v/>
      </c>
      <c r="I121">
        <f>E121*G121</f>
        <v/>
      </c>
      <c r="J121">
        <f>H121-I121</f>
        <v/>
      </c>
      <c r="K121" t="n">
        <v>-0.01</v>
      </c>
      <c r="L121" t="n">
        <v>-14169.34906005859</v>
      </c>
      <c r="M121" t="n">
        <v>10953.66252279282</v>
      </c>
      <c r="N121">
        <f>-I121*K121/252</f>
        <v/>
      </c>
      <c r="O121" t="n">
        <v>0</v>
      </c>
      <c r="P121" t="n">
        <v>-330.4370736962557</v>
      </c>
      <c r="Q121" t="n">
        <v>0.0432</v>
      </c>
      <c r="R121" t="n">
        <v>0</v>
      </c>
      <c r="S121" t="n">
        <v>-3283.082033348076</v>
      </c>
    </row>
    <row r="122">
      <c r="A122" s="1" t="n">
        <v>44935</v>
      </c>
      <c r="B122" t="inlineStr">
        <is>
          <t>MSFU</t>
        </is>
      </c>
      <c r="C122" t="inlineStr">
        <is>
          <t>MSFT</t>
        </is>
      </c>
      <c r="D122" t="n">
        <v>221.3114624023438</v>
      </c>
      <c r="E122" t="n">
        <v>17.30919075012207</v>
      </c>
      <c r="F122" t="n">
        <v>8314</v>
      </c>
      <c r="G122" t="n">
        <v>-53770</v>
      </c>
      <c r="H122">
        <f>D122*F122</f>
        <v/>
      </c>
      <c r="I122">
        <f>E122*G122</f>
        <v/>
      </c>
      <c r="J122">
        <f>H122-I122</f>
        <v/>
      </c>
      <c r="K122" t="n">
        <v>-0.005</v>
      </c>
      <c r="L122" t="n">
        <v>17741.97146606445</v>
      </c>
      <c r="M122" t="n">
        <v>-15936.7138671875</v>
      </c>
      <c r="N122">
        <f>-I122*K122/252</f>
        <v/>
      </c>
      <c r="O122" t="n">
        <v>0</v>
      </c>
      <c r="P122" t="n">
        <v>-90.62014380697219</v>
      </c>
      <c r="Q122" t="n">
        <v>0.0432</v>
      </c>
      <c r="R122" t="n">
        <v>0</v>
      </c>
      <c r="S122" t="n">
        <v>1786.791027713575</v>
      </c>
    </row>
    <row r="123">
      <c r="A123" s="1" t="n">
        <v>44935</v>
      </c>
      <c r="B123" t="inlineStr">
        <is>
          <t>NVDL</t>
        </is>
      </c>
      <c r="C123" t="inlineStr">
        <is>
          <t>NVDA</t>
        </is>
      </c>
      <c r="D123" t="n">
        <v>15.61152648925781</v>
      </c>
      <c r="E123" t="n">
        <v>3.111436367034912</v>
      </c>
      <c r="F123" t="n">
        <v>307781</v>
      </c>
      <c r="G123" t="n">
        <v>-799366</v>
      </c>
      <c r="H123">
        <f>D123*F123</f>
        <v/>
      </c>
      <c r="I123">
        <f>E123*G123</f>
        <v/>
      </c>
      <c r="J123">
        <f>H123-I123</f>
        <v/>
      </c>
      <c r="K123" t="n">
        <v>0</v>
      </c>
      <c r="L123" t="n">
        <v>236433.523982048</v>
      </c>
      <c r="M123" t="n">
        <v>-189140.2249135971</v>
      </c>
      <c r="N123">
        <f>-I123*K123/252</f>
        <v/>
      </c>
      <c r="O123" t="n">
        <v>0</v>
      </c>
      <c r="P123" t="n">
        <v>0</v>
      </c>
      <c r="Q123" t="n">
        <v>0.0432</v>
      </c>
      <c r="R123" t="n">
        <v>0</v>
      </c>
      <c r="S123" t="n">
        <v>47293.2990684509</v>
      </c>
    </row>
    <row r="124">
      <c r="A124" s="1" t="n">
        <v>44935</v>
      </c>
      <c r="B124" t="inlineStr">
        <is>
          <t>SOXL</t>
        </is>
      </c>
      <c r="C124" t="inlineStr">
        <is>
          <t>SOXX</t>
        </is>
      </c>
      <c r="D124" t="n">
        <v>120.6083908081055</v>
      </c>
      <c r="E124" t="n">
        <v>11.28227996826172</v>
      </c>
      <c r="F124" t="n">
        <v>8941</v>
      </c>
      <c r="G124" t="n">
        <v>-33586</v>
      </c>
      <c r="H124">
        <f>D124*F124</f>
        <v/>
      </c>
      <c r="I124">
        <f>E124*G124</f>
        <v/>
      </c>
      <c r="J124">
        <f>H124-I124</f>
        <v/>
      </c>
      <c r="K124" t="n">
        <v>-0.0175</v>
      </c>
      <c r="L124" t="n">
        <v>19507.41311645508</v>
      </c>
      <c r="M124" t="n">
        <v>-21690.46720504761</v>
      </c>
      <c r="N124">
        <f>-I124*K124/252</f>
        <v/>
      </c>
      <c r="O124" t="n">
        <v>0</v>
      </c>
      <c r="P124" t="n">
        <v>-126.4406241267257</v>
      </c>
      <c r="Q124" t="n">
        <v>0.0432</v>
      </c>
      <c r="R124" t="n">
        <v>0</v>
      </c>
      <c r="S124" t="n">
        <v>-2209.368439635171</v>
      </c>
    </row>
    <row r="125">
      <c r="A125" s="1" t="n">
        <v>44935</v>
      </c>
      <c r="B125" t="inlineStr">
        <is>
          <t>SOXS</t>
        </is>
      </c>
      <c r="C125" t="inlineStr">
        <is>
          <t>SOXX</t>
        </is>
      </c>
      <c r="D125" t="n">
        <v>-0</v>
      </c>
      <c r="E125" t="n">
        <v>-0</v>
      </c>
      <c r="F125" t="n">
        <v>-6997</v>
      </c>
      <c r="G125" t="n">
        <v>-37</v>
      </c>
      <c r="H125">
        <f>D125*F125</f>
        <v/>
      </c>
      <c r="I125">
        <f>E125*G125</f>
        <v/>
      </c>
      <c r="J125">
        <f>H125-I125</f>
        <v/>
      </c>
      <c r="K125" t="n">
        <v>0.07000000000000001</v>
      </c>
      <c r="L125" t="n">
        <v>-15266.0071105957</v>
      </c>
      <c r="M125" t="n">
        <v>12747.6923828125</v>
      </c>
      <c r="N125">
        <f>-I125*K125/252</f>
        <v/>
      </c>
      <c r="O125" t="n">
        <v>0</v>
      </c>
      <c r="P125" t="n">
        <v>0</v>
      </c>
      <c r="Q125" t="n">
        <v>0.0432</v>
      </c>
      <c r="R125" t="n">
        <v>0</v>
      </c>
      <c r="S125" t="n">
        <v>-2518.314727783199</v>
      </c>
    </row>
    <row r="126">
      <c r="A126" s="1" t="n">
        <v>44935</v>
      </c>
      <c r="B126" t="inlineStr">
        <is>
          <t>HIBL</t>
        </is>
      </c>
      <c r="C126" t="inlineStr">
        <is>
          <t>SPHB</t>
        </is>
      </c>
      <c r="D126" t="n">
        <v>63.97039794921875</v>
      </c>
      <c r="E126" t="n">
        <v>26.30570411682129</v>
      </c>
      <c r="F126" t="n">
        <v>6521</v>
      </c>
      <c r="G126" t="n">
        <v>-5410</v>
      </c>
      <c r="H126">
        <f>D126*F126</f>
        <v/>
      </c>
      <c r="I126">
        <f>E126*G126</f>
        <v/>
      </c>
      <c r="J126">
        <f>H126-I126</f>
        <v/>
      </c>
      <c r="K126" t="n">
        <v>0.12</v>
      </c>
      <c r="L126" t="n">
        <v>5594.208248138428</v>
      </c>
      <c r="M126" t="n">
        <v>-5497.55464553833</v>
      </c>
      <c r="N126">
        <f>-I126*K126/252</f>
        <v/>
      </c>
      <c r="O126" t="n">
        <v>0</v>
      </c>
      <c r="P126" t="n">
        <v>333.828464516231</v>
      </c>
      <c r="Q126" t="n">
        <v>0.0432</v>
      </c>
      <c r="R126" t="n">
        <v>0</v>
      </c>
      <c r="S126" t="n">
        <v>164.4221070153372</v>
      </c>
    </row>
    <row r="127">
      <c r="A127" s="1" t="n">
        <v>44935</v>
      </c>
      <c r="B127" t="inlineStr">
        <is>
          <t>TSLL</t>
        </is>
      </c>
      <c r="C127" t="inlineStr">
        <is>
          <t>TSLA</t>
        </is>
      </c>
      <c r="D127" t="n">
        <v>119.7699966430664</v>
      </c>
      <c r="E127" t="n">
        <v>5.12554931640625</v>
      </c>
      <c r="F127" t="n">
        <v>16893</v>
      </c>
      <c r="G127" t="n">
        <v>-207812</v>
      </c>
      <c r="H127">
        <f>D127*F127</f>
        <v/>
      </c>
      <c r="I127">
        <f>E127*G127</f>
        <v/>
      </c>
      <c r="J127">
        <f>H127-I127</f>
        <v/>
      </c>
      <c r="K127" t="n">
        <v>0.01</v>
      </c>
      <c r="L127" t="n">
        <v>113352.0145339966</v>
      </c>
      <c r="M127" t="n">
        <v>-86363.55854988098</v>
      </c>
      <c r="N127">
        <f>-I127*K127/252</f>
        <v/>
      </c>
      <c r="O127" t="n">
        <v>0</v>
      </c>
      <c r="P127" t="n">
        <v>194.0609856081009</v>
      </c>
      <c r="Q127" t="n">
        <v>0.0432</v>
      </c>
      <c r="R127" t="n">
        <v>0</v>
      </c>
      <c r="S127" t="n">
        <v>27030.72386723232</v>
      </c>
    </row>
    <row r="128">
      <c r="A128" s="1" t="n">
        <v>44935</v>
      </c>
      <c r="B128" t="inlineStr">
        <is>
          <t>TSLQ</t>
        </is>
      </c>
      <c r="C128" t="inlineStr">
        <is>
          <t>TSLA</t>
        </is>
      </c>
      <c r="D128" t="n">
        <v>-0</v>
      </c>
      <c r="E128" t="n">
        <v>-0</v>
      </c>
      <c r="F128" t="n">
        <v>-6277</v>
      </c>
      <c r="G128" t="n">
        <v>-302</v>
      </c>
      <c r="H128">
        <f>D128*F128</f>
        <v/>
      </c>
      <c r="I128">
        <f>E128*G128</f>
        <v/>
      </c>
      <c r="J128">
        <f>H128-I128</f>
        <v/>
      </c>
      <c r="K128" t="n">
        <v>-0.02</v>
      </c>
      <c r="L128" t="n">
        <v>-42118.66425323486</v>
      </c>
      <c r="M128" t="n">
        <v>20709.5615234375</v>
      </c>
      <c r="N128">
        <f>-I128*K128/252</f>
        <v/>
      </c>
      <c r="O128" t="n">
        <v>0</v>
      </c>
      <c r="P128" t="n">
        <v>0</v>
      </c>
      <c r="Q128" t="n">
        <v>0.0432</v>
      </c>
      <c r="R128" t="n">
        <v>0</v>
      </c>
      <c r="S128" t="n">
        <v>-21409.10272979736</v>
      </c>
    </row>
    <row r="129">
      <c r="A129" s="1" t="n">
        <v>44935</v>
      </c>
      <c r="B129" t="inlineStr">
        <is>
          <t>LABU</t>
        </is>
      </c>
      <c r="C129" t="inlineStr">
        <is>
          <t>XBI</t>
        </is>
      </c>
      <c r="D129" t="n">
        <v>80.83625793457031</v>
      </c>
      <c r="E129" t="n">
        <v>130.4247283935547</v>
      </c>
      <c r="F129" t="n">
        <v>3382</v>
      </c>
      <c r="G129" t="n">
        <v>-676</v>
      </c>
      <c r="H129">
        <f>D129*F129</f>
        <v/>
      </c>
      <c r="I129">
        <f>E129*G129</f>
        <v/>
      </c>
      <c r="J129">
        <f>H129-I129</f>
        <v/>
      </c>
      <c r="K129" t="n">
        <v>0.1</v>
      </c>
      <c r="L129" t="n">
        <v>-6357.866882324219</v>
      </c>
      <c r="M129" t="n">
        <v>5444.050720214844</v>
      </c>
      <c r="N129">
        <f>-I129*K129/252</f>
        <v/>
      </c>
      <c r="O129" t="n">
        <v>0</v>
      </c>
      <c r="P129" t="n">
        <v>186.2343666924371</v>
      </c>
      <c r="Q129" t="n">
        <v>0.0432</v>
      </c>
      <c r="R129" t="n">
        <v>0</v>
      </c>
      <c r="S129" t="n">
        <v>-878.8292111593579</v>
      </c>
    </row>
    <row r="130">
      <c r="A130" s="1" t="n">
        <v>44935</v>
      </c>
      <c r="B130" t="inlineStr">
        <is>
          <t>ERX</t>
        </is>
      </c>
      <c r="C130" t="inlineStr">
        <is>
          <t>XLE</t>
        </is>
      </c>
      <c r="D130" t="n">
        <v>39.15672302246094</v>
      </c>
      <c r="E130" t="n">
        <v>60.42688369750978</v>
      </c>
      <c r="F130" t="n">
        <v>1856</v>
      </c>
      <c r="G130" t="n">
        <v>-604</v>
      </c>
      <c r="H130">
        <f>D130*F130</f>
        <v/>
      </c>
      <c r="I130">
        <f>E130*G130</f>
        <v/>
      </c>
      <c r="J130">
        <f>H130-I130</f>
        <v/>
      </c>
      <c r="K130" t="n">
        <v>0.12</v>
      </c>
      <c r="L130" t="n">
        <v>-258.203369140625</v>
      </c>
      <c r="M130" t="n">
        <v>210.1364440917969</v>
      </c>
      <c r="N130">
        <f>-I130*K130/252</f>
        <v/>
      </c>
      <c r="O130" t="n">
        <v>0</v>
      </c>
      <c r="P130" t="n">
        <v>86.63268394470215</v>
      </c>
      <c r="Q130" t="n">
        <v>0.0432</v>
      </c>
      <c r="R130" t="n">
        <v>0</v>
      </c>
      <c r="S130" t="n">
        <v>-30.68700230916338</v>
      </c>
    </row>
    <row r="131">
      <c r="A131" s="1" t="n">
        <v>44935</v>
      </c>
      <c r="B131" t="inlineStr">
        <is>
          <t>GUSH</t>
        </is>
      </c>
      <c r="C131" t="inlineStr">
        <is>
          <t>XOP</t>
        </is>
      </c>
      <c r="D131" t="n">
        <v>122.6102752685547</v>
      </c>
      <c r="E131" t="n">
        <v>31.85918807983398</v>
      </c>
      <c r="F131" t="n">
        <v>3057</v>
      </c>
      <c r="G131" t="n">
        <v>-6059</v>
      </c>
      <c r="H131">
        <f>D131*F131</f>
        <v/>
      </c>
      <c r="I131">
        <f>E131*G131</f>
        <v/>
      </c>
      <c r="J131">
        <f>H131-I131</f>
        <v/>
      </c>
      <c r="K131" t="n">
        <v>-0.01</v>
      </c>
      <c r="L131" t="n">
        <v>3779.175201416016</v>
      </c>
      <c r="M131" t="n">
        <v>-3662.907079696655</v>
      </c>
      <c r="N131">
        <f>-I131*K131/252</f>
        <v/>
      </c>
      <c r="O131" t="n">
        <v>0</v>
      </c>
      <c r="P131" t="n">
        <v>-36.71216293334961</v>
      </c>
      <c r="Q131" t="n">
        <v>0.0432</v>
      </c>
      <c r="R131" t="n">
        <v>0</v>
      </c>
      <c r="S131" t="n">
        <v>108.6080097917536</v>
      </c>
    </row>
    <row r="132">
      <c r="A132" s="1" t="n">
        <v>44936</v>
      </c>
      <c r="B132" t="inlineStr">
        <is>
          <t>AAPB</t>
        </is>
      </c>
      <c r="C132" t="inlineStr">
        <is>
          <t>AAPL</t>
        </is>
      </c>
      <c r="D132" t="n">
        <v>128.6667175292969</v>
      </c>
      <c r="E132" t="n">
        <v>12.5685863494873</v>
      </c>
      <c r="F132" t="n">
        <v>9028</v>
      </c>
      <c r="G132" t="n">
        <v>-47878</v>
      </c>
      <c r="H132">
        <f>D132*F132</f>
        <v/>
      </c>
      <c r="I132">
        <f>E132*G132</f>
        <v/>
      </c>
      <c r="J132">
        <f>H132-I132</f>
        <v/>
      </c>
      <c r="K132" t="n">
        <v>-0.005</v>
      </c>
      <c r="L132" t="n">
        <v>5153.878234863281</v>
      </c>
      <c r="M132" t="n">
        <v>-5027.533363342285</v>
      </c>
      <c r="N132">
        <f>-I132*K132/252</f>
        <v/>
      </c>
      <c r="O132" t="n">
        <v>0</v>
      </c>
      <c r="P132" t="n">
        <v>-68.89014060429164</v>
      </c>
      <c r="Q132" t="n">
        <v>0.0432</v>
      </c>
      <c r="R132" t="n">
        <v>0</v>
      </c>
      <c r="S132" t="n">
        <v>114.4052132424097</v>
      </c>
    </row>
    <row r="133">
      <c r="A133" s="1" t="n">
        <v>44936</v>
      </c>
      <c r="B133" t="inlineStr">
        <is>
          <t>AAPU</t>
        </is>
      </c>
      <c r="C133" t="inlineStr">
        <is>
          <t>AAPL</t>
        </is>
      </c>
      <c r="D133" t="n">
        <v>128.6667175292969</v>
      </c>
      <c r="E133" t="n">
        <v>12.97037982940674</v>
      </c>
      <c r="F133" t="n">
        <v>7633</v>
      </c>
      <c r="G133" t="n">
        <v>-38936</v>
      </c>
      <c r="H133">
        <f>D133*F133</f>
        <v/>
      </c>
      <c r="I133">
        <f>E133*G133</f>
        <v/>
      </c>
      <c r="J133">
        <f>H133-I133</f>
        <v/>
      </c>
      <c r="K133" t="n">
        <v>0.02</v>
      </c>
      <c r="L133" t="n">
        <v>4357.50471496582</v>
      </c>
      <c r="M133" t="n">
        <v>-3609.44164276123</v>
      </c>
      <c r="N133">
        <f>-I133*K133/252</f>
        <v/>
      </c>
      <c r="O133" t="n">
        <v>0</v>
      </c>
      <c r="P133" t="n">
        <v>232.605546834431</v>
      </c>
      <c r="Q133" t="n">
        <v>0.0432</v>
      </c>
      <c r="R133" t="n">
        <v>0</v>
      </c>
      <c r="S133" t="n">
        <v>788.1436046679063</v>
      </c>
    </row>
    <row r="134">
      <c r="A134" s="1" t="n">
        <v>44936</v>
      </c>
      <c r="B134" t="inlineStr">
        <is>
          <t>AMZU</t>
        </is>
      </c>
      <c r="C134" t="inlineStr">
        <is>
          <t>AMZN</t>
        </is>
      </c>
      <c r="D134" t="n">
        <v>89.87000274658203</v>
      </c>
      <c r="E134" t="n">
        <v>12.32754611968994</v>
      </c>
      <c r="F134" t="n">
        <v>27599</v>
      </c>
      <c r="G134" t="n">
        <v>-103312</v>
      </c>
      <c r="H134">
        <f>D134*F134</f>
        <v/>
      </c>
      <c r="I134">
        <f>E134*G134</f>
        <v/>
      </c>
      <c r="J134">
        <f>H134-I134</f>
        <v/>
      </c>
      <c r="K134" t="n">
        <v>-0.0025</v>
      </c>
      <c r="L134" t="n">
        <v>69273.54895782471</v>
      </c>
      <c r="M134" t="n">
        <v>-52730.72161865234</v>
      </c>
      <c r="N134">
        <f>-I134*K134/252</f>
        <v/>
      </c>
      <c r="O134" t="n">
        <v>0</v>
      </c>
      <c r="P134" t="n">
        <v>-71.27864127113705</v>
      </c>
      <c r="Q134" t="n">
        <v>0.0432</v>
      </c>
      <c r="R134" t="n">
        <v>0</v>
      </c>
      <c r="S134" t="n">
        <v>16530.19258277637</v>
      </c>
    </row>
    <row r="135">
      <c r="A135" s="1" t="n">
        <v>44936</v>
      </c>
      <c r="B135" t="inlineStr">
        <is>
          <t>TARK</t>
        </is>
      </c>
      <c r="C135" t="inlineStr">
        <is>
          <t>ARKK</t>
        </is>
      </c>
      <c r="D135" t="n">
        <v>33.34193420410156</v>
      </c>
      <c r="E135" t="n">
        <v>18.72293090820312</v>
      </c>
      <c r="F135" t="n">
        <v>20537</v>
      </c>
      <c r="G135" t="n">
        <v>-20077</v>
      </c>
      <c r="H135">
        <f>D135*F135</f>
        <v/>
      </c>
      <c r="I135">
        <f>E135*G135</f>
        <v/>
      </c>
      <c r="J135">
        <f>H135-I135</f>
        <v/>
      </c>
      <c r="K135" t="n">
        <v>-0.02</v>
      </c>
      <c r="L135" t="n">
        <v>16497.35054016113</v>
      </c>
      <c r="M135" t="n">
        <v>-15721.49710273743</v>
      </c>
      <c r="N135">
        <f>-I135*K135/252</f>
        <v/>
      </c>
      <c r="O135" t="n">
        <v>0</v>
      </c>
      <c r="P135" t="n">
        <v>-162.087073305902</v>
      </c>
      <c r="Q135" t="n">
        <v>0.0432</v>
      </c>
      <c r="R135" t="n">
        <v>0</v>
      </c>
      <c r="S135" t="n">
        <v>746.0200815630643</v>
      </c>
    </row>
    <row r="136">
      <c r="A136" s="1" t="n">
        <v>44936</v>
      </c>
      <c r="B136" t="inlineStr">
        <is>
          <t>CHAU</t>
        </is>
      </c>
      <c r="C136" t="inlineStr">
        <is>
          <t>ASHR</t>
        </is>
      </c>
      <c r="D136" t="n">
        <v>28.29050254821777</v>
      </c>
      <c r="E136" t="n">
        <v>21.27863693237305</v>
      </c>
      <c r="F136" t="n">
        <v>5713</v>
      </c>
      <c r="G136" t="n">
        <v>-3898</v>
      </c>
      <c r="H136">
        <f>D136*F136</f>
        <v/>
      </c>
      <c r="I136">
        <f>E136*G136</f>
        <v/>
      </c>
      <c r="J136">
        <f>H136-I136</f>
        <v/>
      </c>
      <c r="K136" t="n">
        <v>-0.01</v>
      </c>
      <c r="L136" t="n">
        <v>430.7131786346436</v>
      </c>
      <c r="M136" t="n">
        <v>-607.2632675170898</v>
      </c>
      <c r="N136">
        <f>-I136*K136/252</f>
        <v/>
      </c>
      <c r="O136" t="n">
        <v>0</v>
      </c>
      <c r="P136" t="n">
        <v>-19.47326448327019</v>
      </c>
      <c r="Q136" t="n">
        <v>0.0432</v>
      </c>
      <c r="R136" t="n">
        <v>0</v>
      </c>
      <c r="S136" t="n">
        <v>-179.8415224841284</v>
      </c>
    </row>
    <row r="137">
      <c r="A137" s="1" t="n">
        <v>44936</v>
      </c>
      <c r="B137" t="inlineStr">
        <is>
          <t>BABX</t>
        </is>
      </c>
      <c r="C137" t="inlineStr">
        <is>
          <t>BABA</t>
        </is>
      </c>
      <c r="D137" t="n">
        <v>109.100959777832</v>
      </c>
      <c r="E137" t="n">
        <v>37.84999847412109</v>
      </c>
      <c r="F137" t="n">
        <v>5330</v>
      </c>
      <c r="G137" t="n">
        <v>-8035</v>
      </c>
      <c r="H137">
        <f>D137*F137</f>
        <v/>
      </c>
      <c r="I137">
        <f>E137*G137</f>
        <v/>
      </c>
      <c r="J137">
        <f>H137-I137</f>
        <v/>
      </c>
      <c r="K137" t="n">
        <v>-0.0275</v>
      </c>
      <c r="L137" t="n">
        <v>20500.56617736816</v>
      </c>
      <c r="M137" t="n">
        <v>-18014.44400787354</v>
      </c>
      <c r="N137">
        <f>-I137*K137/252</f>
        <v/>
      </c>
      <c r="O137" t="n">
        <v>0</v>
      </c>
      <c r="P137" t="n">
        <v>-185.1302898660539</v>
      </c>
      <c r="Q137" t="n">
        <v>0.0432</v>
      </c>
      <c r="R137" t="n">
        <v>0</v>
      </c>
      <c r="S137" t="n">
        <v>2452.933954066693</v>
      </c>
    </row>
    <row r="138">
      <c r="A138" s="1" t="n">
        <v>44936</v>
      </c>
      <c r="B138" t="inlineStr">
        <is>
          <t>CONL</t>
        </is>
      </c>
      <c r="C138" t="inlineStr">
        <is>
          <t>COIN</t>
        </is>
      </c>
      <c r="D138" t="n">
        <v>43.22999954223633</v>
      </c>
      <c r="E138" t="n">
        <v>6.015096187591553</v>
      </c>
      <c r="F138" t="n">
        <v>98778</v>
      </c>
      <c r="G138" t="n">
        <v>-394919</v>
      </c>
      <c r="H138">
        <f>D138*F138</f>
        <v/>
      </c>
      <c r="I138">
        <f>E138*G138</f>
        <v/>
      </c>
      <c r="J138">
        <f>H138-I138</f>
        <v/>
      </c>
      <c r="K138" t="n">
        <v>0.03</v>
      </c>
      <c r="L138" t="n">
        <v>489938.78956604</v>
      </c>
      <c r="M138" t="n">
        <v>-378185.2142858505</v>
      </c>
      <c r="N138">
        <f>-I138*K138/252</f>
        <v/>
      </c>
      <c r="O138" t="n">
        <v>0</v>
      </c>
      <c r="P138" t="n">
        <v>1346.252982325157</v>
      </c>
      <c r="Q138" t="n">
        <v>0.0432</v>
      </c>
      <c r="R138" t="n">
        <v>0</v>
      </c>
      <c r="S138" t="n">
        <v>112036.3700148689</v>
      </c>
    </row>
    <row r="139">
      <c r="A139" s="1" t="n">
        <v>44936</v>
      </c>
      <c r="B139" t="inlineStr">
        <is>
          <t>MEXX</t>
        </is>
      </c>
      <c r="C139" t="inlineStr">
        <is>
          <t>EWW</t>
        </is>
      </c>
      <c r="D139" t="n">
        <v>49.36478805541992</v>
      </c>
      <c r="E139" t="n">
        <v>20.35855293273926</v>
      </c>
      <c r="F139" t="n">
        <v>9067</v>
      </c>
      <c r="G139" t="n">
        <v>-7657</v>
      </c>
      <c r="H139">
        <f>D139*F139</f>
        <v/>
      </c>
      <c r="I139">
        <f>E139*G139</f>
        <v/>
      </c>
      <c r="J139">
        <f>H139-I139</f>
        <v/>
      </c>
      <c r="K139" t="n">
        <v>0.0075</v>
      </c>
      <c r="L139" t="n">
        <v>2792.796764373779</v>
      </c>
      <c r="M139" t="n">
        <v>-2830.774299621582</v>
      </c>
      <c r="N139">
        <f>-I139*K139/252</f>
        <v/>
      </c>
      <c r="O139" t="n">
        <v>0</v>
      </c>
      <c r="P139" t="n">
        <v>27.50973961262476</v>
      </c>
      <c r="Q139" t="n">
        <v>0.0432</v>
      </c>
      <c r="R139" t="n">
        <v>0</v>
      </c>
      <c r="S139" t="n">
        <v>-33.33808763452984</v>
      </c>
    </row>
    <row r="140">
      <c r="A140" s="1" t="n">
        <v>44936</v>
      </c>
      <c r="B140" t="inlineStr">
        <is>
          <t>KORU</t>
        </is>
      </c>
      <c r="C140" t="inlineStr">
        <is>
          <t>EWY</t>
        </is>
      </c>
      <c r="D140" t="n">
        <v>57.11051559448242</v>
      </c>
      <c r="E140" t="n">
        <v>88.57265472412109</v>
      </c>
      <c r="F140" t="n">
        <v>12826</v>
      </c>
      <c r="G140" t="n">
        <v>-2951</v>
      </c>
      <c r="H140">
        <f>D140*F140</f>
        <v/>
      </c>
      <c r="I140">
        <f>E140*G140</f>
        <v/>
      </c>
      <c r="J140">
        <f>H140-I140</f>
        <v/>
      </c>
      <c r="K140" t="n">
        <v>0.0225</v>
      </c>
      <c r="L140" t="n">
        <v>2387.89722442627</v>
      </c>
      <c r="M140" t="n">
        <v>-2481.39582824707</v>
      </c>
      <c r="N140">
        <f>-I140*K140/252</f>
        <v/>
      </c>
      <c r="O140" t="n">
        <v>0</v>
      </c>
      <c r="P140" t="n">
        <v>135.9455260930742</v>
      </c>
      <c r="Q140" t="n">
        <v>0.0432</v>
      </c>
      <c r="R140" t="n">
        <v>0</v>
      </c>
      <c r="S140" t="n">
        <v>-70.16129095554261</v>
      </c>
    </row>
    <row r="141">
      <c r="A141" s="1" t="n">
        <v>44936</v>
      </c>
      <c r="B141" t="inlineStr">
        <is>
          <t>YINN</t>
        </is>
      </c>
      <c r="C141" t="inlineStr">
        <is>
          <t>FXI</t>
        </is>
      </c>
      <c r="D141" t="n">
        <v>29.34365463256836</v>
      </c>
      <c r="E141" t="n">
        <v>58.9569091796875</v>
      </c>
      <c r="F141" t="n">
        <v>35048</v>
      </c>
      <c r="G141" t="n">
        <v>-5995</v>
      </c>
      <c r="H141">
        <f>D141*F141</f>
        <v/>
      </c>
      <c r="I141">
        <f>E141*G141</f>
        <v/>
      </c>
      <c r="J141">
        <f>H141-I141</f>
        <v/>
      </c>
      <c r="K141" t="n">
        <v>-0.02</v>
      </c>
      <c r="L141" t="n">
        <v>12696.71771240234</v>
      </c>
      <c r="M141" t="n">
        <v>-11377.97687530518</v>
      </c>
      <c r="N141">
        <f>-I141*K141/252</f>
        <v/>
      </c>
      <c r="O141" t="n">
        <v>0</v>
      </c>
      <c r="P141" t="n">
        <v>-171.5439906426082</v>
      </c>
      <c r="Q141" t="n">
        <v>0.0432</v>
      </c>
      <c r="R141" t="n">
        <v>0</v>
      </c>
      <c r="S141" t="n">
        <v>1290.689514039047</v>
      </c>
    </row>
    <row r="142">
      <c r="A142" s="1" t="n">
        <v>44936</v>
      </c>
      <c r="B142" t="inlineStr">
        <is>
          <t>JNUG</t>
        </is>
      </c>
      <c r="C142" t="inlineStr">
        <is>
          <t>GDXJ</t>
        </is>
      </c>
      <c r="D142" t="n">
        <v>37.53668975830078</v>
      </c>
      <c r="E142" t="n">
        <v>41.63967132568359</v>
      </c>
      <c r="F142" t="n">
        <v>13873</v>
      </c>
      <c r="G142" t="n">
        <v>-6362</v>
      </c>
      <c r="H142">
        <f>D142*F142</f>
        <v/>
      </c>
      <c r="I142">
        <f>E142*G142</f>
        <v/>
      </c>
      <c r="J142">
        <f>H142-I142</f>
        <v/>
      </c>
      <c r="K142" t="n">
        <v>-0.005</v>
      </c>
      <c r="L142" t="n">
        <v>10105.21546936035</v>
      </c>
      <c r="M142" t="n">
        <v>-9350.52173614502</v>
      </c>
      <c r="N142">
        <f>-I142*K142/252</f>
        <v/>
      </c>
      <c r="O142" t="n">
        <v>0</v>
      </c>
      <c r="P142" t="n">
        <v>-31.24705344593714</v>
      </c>
      <c r="Q142" t="n">
        <v>0.0432</v>
      </c>
      <c r="R142" t="n">
        <v>0</v>
      </c>
      <c r="S142" t="n">
        <v>749.4375508944175</v>
      </c>
    </row>
    <row r="143">
      <c r="A143" s="1" t="n">
        <v>44936</v>
      </c>
      <c r="B143" t="inlineStr">
        <is>
          <t>GDXU</t>
        </is>
      </c>
      <c r="C143" t="inlineStr">
        <is>
          <t>GDX</t>
        </is>
      </c>
      <c r="D143" t="n">
        <v>30.73887825012207</v>
      </c>
      <c r="E143" t="n">
        <v>57</v>
      </c>
      <c r="F143" t="n">
        <v>53192</v>
      </c>
      <c r="G143" t="n">
        <v>-9614</v>
      </c>
      <c r="H143">
        <f>D143*F143</f>
        <v/>
      </c>
      <c r="I143">
        <f>E143*G143</f>
        <v/>
      </c>
      <c r="J143">
        <f>H143-I143</f>
        <v/>
      </c>
      <c r="K143" t="n">
        <v>-0.005</v>
      </c>
      <c r="L143" t="n">
        <v>29784.34646606445</v>
      </c>
      <c r="M143" t="n">
        <v>-25092.54586791992</v>
      </c>
      <c r="N143">
        <f>-I143*K143/252</f>
        <v/>
      </c>
      <c r="O143" t="n">
        <v>0</v>
      </c>
      <c r="P143" t="n">
        <v>-65.17194190857903</v>
      </c>
      <c r="Q143" t="n">
        <v>0.0432</v>
      </c>
      <c r="R143" t="n">
        <v>0</v>
      </c>
      <c r="S143" t="n">
        <v>4680.927621954055</v>
      </c>
    </row>
    <row r="144">
      <c r="A144" s="1" t="n">
        <v>44936</v>
      </c>
      <c r="B144" t="inlineStr">
        <is>
          <t>NUGT</t>
        </is>
      </c>
      <c r="C144" t="inlineStr">
        <is>
          <t>GDX</t>
        </is>
      </c>
      <c r="D144" t="n">
        <v>30.73887825012207</v>
      </c>
      <c r="E144" t="n">
        <v>40.57689666748047</v>
      </c>
      <c r="F144" t="n">
        <v>15820</v>
      </c>
      <c r="G144" t="n">
        <v>-6136</v>
      </c>
      <c r="H144">
        <f>D144*F144</f>
        <v/>
      </c>
      <c r="I144">
        <f>E144*G144</f>
        <v/>
      </c>
      <c r="J144">
        <f>H144-I144</f>
        <v/>
      </c>
      <c r="K144" t="n">
        <v>-0.0175</v>
      </c>
      <c r="L144" t="n">
        <v>8858.256149291992</v>
      </c>
      <c r="M144" t="n">
        <v>-8191.3203125</v>
      </c>
      <c r="N144">
        <f>-I144*K144/252</f>
        <v/>
      </c>
      <c r="O144" t="n">
        <v>0</v>
      </c>
      <c r="P144" t="n">
        <v>-102.1837816694048</v>
      </c>
      <c r="Q144" t="n">
        <v>0.0432</v>
      </c>
      <c r="R144" t="n">
        <v>0</v>
      </c>
      <c r="S144" t="n">
        <v>649.6455702675713</v>
      </c>
    </row>
    <row r="145">
      <c r="A145" s="1" t="n">
        <v>44936</v>
      </c>
      <c r="B145" t="inlineStr">
        <is>
          <t>GGLL</t>
        </is>
      </c>
      <c r="C145" t="inlineStr">
        <is>
          <t>GOOGL</t>
        </is>
      </c>
      <c r="D145" t="n">
        <v>87.6951904296875</v>
      </c>
      <c r="E145" t="n">
        <v>15.99309921264648</v>
      </c>
      <c r="F145" t="n">
        <v>20098</v>
      </c>
      <c r="G145" t="n">
        <v>-54856</v>
      </c>
      <c r="H145">
        <f>D145*F145</f>
        <v/>
      </c>
      <c r="I145">
        <f>E145*G145</f>
        <v/>
      </c>
      <c r="J145">
        <f>H145-I145</f>
        <v/>
      </c>
      <c r="K145" t="n">
        <v>0</v>
      </c>
      <c r="L145" t="n">
        <v>7973.143035888672</v>
      </c>
      <c r="M145" t="n">
        <v>-2932.660720825195</v>
      </c>
      <c r="N145">
        <f>-I145*K145/252</f>
        <v/>
      </c>
      <c r="O145" t="n">
        <v>0</v>
      </c>
      <c r="P145" t="n">
        <v>0</v>
      </c>
      <c r="Q145" t="n">
        <v>0.0432</v>
      </c>
      <c r="R145" t="n">
        <v>0</v>
      </c>
      <c r="S145" t="n">
        <v>5040.482315063477</v>
      </c>
    </row>
    <row r="146">
      <c r="A146" s="1" t="n">
        <v>44936</v>
      </c>
      <c r="B146" t="inlineStr">
        <is>
          <t>CWEB</t>
        </is>
      </c>
      <c r="C146" t="inlineStr">
        <is>
          <t>KWEB</t>
        </is>
      </c>
      <c r="D146" t="n">
        <v>31.3914680480957</v>
      </c>
      <c r="E146" t="n">
        <v>61.03770065307617</v>
      </c>
      <c r="F146" t="n">
        <v>14605</v>
      </c>
      <c r="G146" t="n">
        <v>-3828</v>
      </c>
      <c r="H146">
        <f>D146*F146</f>
        <v/>
      </c>
      <c r="I146">
        <f>E146*G146</f>
        <v/>
      </c>
      <c r="J146">
        <f>H146-I146</f>
        <v/>
      </c>
      <c r="K146" t="n">
        <v>-0.02</v>
      </c>
      <c r="L146" t="n">
        <v>5626.271162033081</v>
      </c>
      <c r="M146" t="n">
        <v>-5721.556274414062</v>
      </c>
      <c r="N146">
        <f>-I146*K146/252</f>
        <v/>
      </c>
      <c r="O146" t="n">
        <v>0</v>
      </c>
      <c r="P146" t="n">
        <v>-112.0520548678201</v>
      </c>
      <c r="Q146" t="n">
        <v>0.0432</v>
      </c>
      <c r="R146" t="n">
        <v>0</v>
      </c>
      <c r="S146" t="n">
        <v>-113.8289471508199</v>
      </c>
    </row>
    <row r="147">
      <c r="A147" s="1" t="n">
        <v>44936</v>
      </c>
      <c r="B147" t="inlineStr">
        <is>
          <t>FBL</t>
        </is>
      </c>
      <c r="C147" t="inlineStr">
        <is>
          <t>META</t>
        </is>
      </c>
      <c r="D147" t="n">
        <v>131.9544982910156</v>
      </c>
      <c r="E147" t="n">
        <v>3.990317106246948</v>
      </c>
      <c r="F147" t="n">
        <v>25964</v>
      </c>
      <c r="G147" t="n">
        <v>-441819</v>
      </c>
      <c r="H147">
        <f>D147*F147</f>
        <v/>
      </c>
      <c r="I147">
        <f>E147*G147</f>
        <v/>
      </c>
      <c r="J147">
        <f>H147-I147</f>
        <v/>
      </c>
      <c r="K147" t="n">
        <v>-0.01</v>
      </c>
      <c r="L147" t="n">
        <v>90681.85308837891</v>
      </c>
      <c r="M147" t="n">
        <v>-64631.41229081154</v>
      </c>
      <c r="N147">
        <f>-I147*K147/252</f>
        <v/>
      </c>
      <c r="O147" t="n">
        <v>0</v>
      </c>
      <c r="P147" t="n">
        <v>-400.3973083615302</v>
      </c>
      <c r="Q147" t="n">
        <v>0.0432</v>
      </c>
      <c r="R147" t="n">
        <v>0</v>
      </c>
      <c r="S147" t="n">
        <v>25980.48056290209</v>
      </c>
    </row>
    <row r="148">
      <c r="A148" s="1" t="n">
        <v>44936</v>
      </c>
      <c r="B148" t="inlineStr">
        <is>
          <t>MSFU</t>
        </is>
      </c>
      <c r="C148" t="inlineStr">
        <is>
          <t>MSFT</t>
        </is>
      </c>
      <c r="D148" t="n">
        <v>222.9972381591797</v>
      </c>
      <c r="E148" t="n">
        <v>17.46246910095215</v>
      </c>
      <c r="F148" t="n">
        <v>8314</v>
      </c>
      <c r="G148" t="n">
        <v>-53770</v>
      </c>
      <c r="H148">
        <f>D148*F148</f>
        <v/>
      </c>
      <c r="I148">
        <f>E148*G148</f>
        <v/>
      </c>
      <c r="J148">
        <f>H148-I148</f>
        <v/>
      </c>
      <c r="K148" t="n">
        <v>-0.005</v>
      </c>
      <c r="L148" t="n">
        <v>14015.53964233398</v>
      </c>
      <c r="M148" t="n">
        <v>-8241.776924133301</v>
      </c>
      <c r="N148">
        <f>-I148*K148/252</f>
        <v/>
      </c>
      <c r="O148" t="n">
        <v>0</v>
      </c>
      <c r="P148" t="n">
        <v>-109.2502422902698</v>
      </c>
      <c r="Q148" t="n">
        <v>0.0432</v>
      </c>
      <c r="R148" t="n">
        <v>0</v>
      </c>
      <c r="S148" t="n">
        <v>5755.132619717382</v>
      </c>
    </row>
    <row r="149">
      <c r="A149" s="1" t="n">
        <v>44936</v>
      </c>
      <c r="B149" t="inlineStr">
        <is>
          <t>NVDL</t>
        </is>
      </c>
      <c r="C149" t="inlineStr">
        <is>
          <t>NVDA</t>
        </is>
      </c>
      <c r="D149" t="n">
        <v>15.89223003387451</v>
      </c>
      <c r="E149" t="n">
        <v>3.185817241668701</v>
      </c>
      <c r="F149" t="n">
        <v>307781</v>
      </c>
      <c r="G149" t="n">
        <v>-799366</v>
      </c>
      <c r="H149">
        <f>D149*F149</f>
        <v/>
      </c>
      <c r="I149">
        <f>E149*G149</f>
        <v/>
      </c>
      <c r="J149">
        <f>H149-I149</f>
        <v/>
      </c>
      <c r="K149" t="n">
        <v>0</v>
      </c>
      <c r="L149" t="n">
        <v>86395.2176656723</v>
      </c>
      <c r="M149" t="n">
        <v>-59457.54223251343</v>
      </c>
      <c r="N149">
        <f>-I149*K149/252</f>
        <v/>
      </c>
      <c r="O149" t="n">
        <v>0</v>
      </c>
      <c r="P149" t="n">
        <v>0</v>
      </c>
      <c r="Q149" t="n">
        <v>0.0432</v>
      </c>
      <c r="R149" t="n">
        <v>0</v>
      </c>
      <c r="S149" t="n">
        <v>26937.67543315887</v>
      </c>
    </row>
    <row r="150">
      <c r="A150" s="1" t="n">
        <v>44936</v>
      </c>
      <c r="B150" t="inlineStr">
        <is>
          <t>SOXL</t>
        </is>
      </c>
      <c r="C150" t="inlineStr">
        <is>
          <t>SOXX</t>
        </is>
      </c>
      <c r="D150" t="n">
        <v>122.168212890625</v>
      </c>
      <c r="E150" t="n">
        <v>11.71282768249512</v>
      </c>
      <c r="F150" t="n">
        <v>8941</v>
      </c>
      <c r="G150" t="n">
        <v>-33586</v>
      </c>
      <c r="H150">
        <f>D150*F150</f>
        <v/>
      </c>
      <c r="I150">
        <f>E150*G150</f>
        <v/>
      </c>
      <c r="J150">
        <f>H150-I150</f>
        <v/>
      </c>
      <c r="K150" t="n">
        <v>-0.0175</v>
      </c>
      <c r="L150" t="n">
        <v>13946.36923980713</v>
      </c>
      <c r="M150" t="n">
        <v>-14460.37553024292</v>
      </c>
      <c r="N150">
        <f>-I150*K150/252</f>
        <v/>
      </c>
      <c r="O150" t="n">
        <v>0</v>
      </c>
      <c r="P150" t="n">
        <v>-153.7591679145231</v>
      </c>
      <c r="Q150" t="n">
        <v>0.0432</v>
      </c>
      <c r="R150" t="n">
        <v>0</v>
      </c>
      <c r="S150" t="n">
        <v>-541.3248342235865</v>
      </c>
    </row>
    <row r="151">
      <c r="A151" s="1" t="n">
        <v>44936</v>
      </c>
      <c r="B151" t="inlineStr">
        <is>
          <t>SOXS</t>
        </is>
      </c>
      <c r="C151" t="inlineStr">
        <is>
          <t>SOXX</t>
        </is>
      </c>
      <c r="D151" t="n">
        <v>-0</v>
      </c>
      <c r="E151" t="n">
        <v>-0</v>
      </c>
      <c r="F151" t="n">
        <v>-6997</v>
      </c>
      <c r="G151" t="n">
        <v>-37</v>
      </c>
      <c r="H151">
        <f>D151*F151</f>
        <v/>
      </c>
      <c r="I151">
        <f>E151*G151</f>
        <v/>
      </c>
      <c r="J151">
        <f>H151-I151</f>
        <v/>
      </c>
      <c r="K151" t="n">
        <v>0.07000000000000001</v>
      </c>
      <c r="L151" t="n">
        <v>-10914.07511138916</v>
      </c>
      <c r="M151" t="n">
        <v>7983.41845703125</v>
      </c>
      <c r="N151">
        <f>-I151*K151/252</f>
        <v/>
      </c>
      <c r="O151" t="n">
        <v>0</v>
      </c>
      <c r="P151" t="n">
        <v>0</v>
      </c>
      <c r="Q151" t="n">
        <v>0.0432</v>
      </c>
      <c r="R151" t="n">
        <v>0</v>
      </c>
      <c r="S151" t="n">
        <v>-2930.65665435791</v>
      </c>
    </row>
    <row r="152">
      <c r="A152" s="1" t="n">
        <v>44936</v>
      </c>
      <c r="B152" t="inlineStr">
        <is>
          <t>HIBL</t>
        </is>
      </c>
      <c r="C152" t="inlineStr">
        <is>
          <t>SPHB</t>
        </is>
      </c>
      <c r="D152" t="n">
        <v>64.85752868652344</v>
      </c>
      <c r="E152" t="n">
        <v>27.33147430419922</v>
      </c>
      <c r="F152" t="n">
        <v>6521</v>
      </c>
      <c r="G152" t="n">
        <v>-5410</v>
      </c>
      <c r="H152">
        <f>D152*F152</f>
        <v/>
      </c>
      <c r="I152">
        <f>E152*G152</f>
        <v/>
      </c>
      <c r="J152">
        <f>H152-I152</f>
        <v/>
      </c>
      <c r="K152" t="n">
        <v>0.12</v>
      </c>
      <c r="L152" t="n">
        <v>5784.979537963867</v>
      </c>
      <c r="M152" t="n">
        <v>-5549.4167137146</v>
      </c>
      <c r="N152">
        <f>-I152*K152/252</f>
        <v/>
      </c>
      <c r="O152" t="n">
        <v>0</v>
      </c>
      <c r="P152" t="n">
        <v>404.2395483189537</v>
      </c>
      <c r="Q152" t="n">
        <v>0.0432</v>
      </c>
      <c r="R152" t="n">
        <v>0</v>
      </c>
      <c r="S152" t="n">
        <v>305.9739080519903</v>
      </c>
    </row>
    <row r="153">
      <c r="A153" s="1" t="n">
        <v>44936</v>
      </c>
      <c r="B153" t="inlineStr">
        <is>
          <t>TSLL</t>
        </is>
      </c>
      <c r="C153" t="inlineStr">
        <is>
          <t>TSLA</t>
        </is>
      </c>
      <c r="D153" t="n">
        <v>118.8499984741211</v>
      </c>
      <c r="E153" t="n">
        <v>5.073601722717285</v>
      </c>
      <c r="F153" t="n">
        <v>16893</v>
      </c>
      <c r="G153" t="n">
        <v>-207812</v>
      </c>
      <c r="H153">
        <f>D153*F153</f>
        <v/>
      </c>
      <c r="I153">
        <f>E153*G153</f>
        <v/>
      </c>
      <c r="J153">
        <f>H153-I153</f>
        <v/>
      </c>
      <c r="K153" t="n">
        <v>0.01</v>
      </c>
      <c r="L153" t="n">
        <v>-15541.52906799316</v>
      </c>
      <c r="M153" t="n">
        <v>10795.33333969116</v>
      </c>
      <c r="N153">
        <f>-I153*K153/252</f>
        <v/>
      </c>
      <c r="O153" t="n">
        <v>0</v>
      </c>
      <c r="P153" t="n">
        <v>235.9004824811693</v>
      </c>
      <c r="Q153" t="n">
        <v>0.0432</v>
      </c>
      <c r="R153" t="n">
        <v>0</v>
      </c>
      <c r="S153" t="n">
        <v>-4704.356231428932</v>
      </c>
    </row>
    <row r="154">
      <c r="A154" s="1" t="n">
        <v>44936</v>
      </c>
      <c r="B154" t="inlineStr">
        <is>
          <t>TSLQ</t>
        </is>
      </c>
      <c r="C154" t="inlineStr">
        <is>
          <t>TSLA</t>
        </is>
      </c>
      <c r="D154" t="n">
        <v>-0</v>
      </c>
      <c r="E154" t="n">
        <v>-0</v>
      </c>
      <c r="F154" t="n">
        <v>-6277</v>
      </c>
      <c r="G154" t="n">
        <v>-302</v>
      </c>
      <c r="H154">
        <f>D154*F154</f>
        <v/>
      </c>
      <c r="I154">
        <f>E154*G154</f>
        <v/>
      </c>
      <c r="J154">
        <f>H154-I154</f>
        <v/>
      </c>
      <c r="K154" t="n">
        <v>-0.02</v>
      </c>
      <c r="L154" t="n">
        <v>5774.828506469727</v>
      </c>
      <c r="M154" t="n">
        <v>-2680.065673828125</v>
      </c>
      <c r="N154">
        <f>-I154*K154/252</f>
        <v/>
      </c>
      <c r="O154" t="n">
        <v>0</v>
      </c>
      <c r="P154" t="n">
        <v>0</v>
      </c>
      <c r="Q154" t="n">
        <v>0.0432</v>
      </c>
      <c r="R154" t="n">
        <v>0</v>
      </c>
      <c r="S154" t="n">
        <v>3094.762832641602</v>
      </c>
    </row>
    <row r="155">
      <c r="A155" s="1" t="n">
        <v>44936</v>
      </c>
      <c r="B155" t="inlineStr">
        <is>
          <t>LABU</t>
        </is>
      </c>
      <c r="C155" t="inlineStr">
        <is>
          <t>XBI</t>
        </is>
      </c>
      <c r="D155" t="n">
        <v>83.13391876220703</v>
      </c>
      <c r="E155" t="n">
        <v>140.6387176513672</v>
      </c>
      <c r="F155" t="n">
        <v>3382</v>
      </c>
      <c r="G155" t="n">
        <v>-676</v>
      </c>
      <c r="H155">
        <f>D155*F155</f>
        <v/>
      </c>
      <c r="I155">
        <f>E155*G155</f>
        <v/>
      </c>
      <c r="J155">
        <f>H155-I155</f>
        <v/>
      </c>
      <c r="K155" t="n">
        <v>0.1</v>
      </c>
      <c r="L155" t="n">
        <v>7770.688919067383</v>
      </c>
      <c r="M155" t="n">
        <v>-6904.65673828125</v>
      </c>
      <c r="N155">
        <f>-I155*K155/252</f>
        <v/>
      </c>
      <c r="O155" t="n">
        <v>0</v>
      </c>
      <c r="P155" t="n">
        <v>223.9612607925657</v>
      </c>
      <c r="Q155" t="n">
        <v>0.0432</v>
      </c>
      <c r="R155" t="n">
        <v>0</v>
      </c>
      <c r="S155" t="n">
        <v>903.7590748862615</v>
      </c>
    </row>
    <row r="156">
      <c r="A156" s="1" t="n">
        <v>44936</v>
      </c>
      <c r="B156" t="inlineStr">
        <is>
          <t>ERX</t>
        </is>
      </c>
      <c r="C156" t="inlineStr">
        <is>
          <t>XLE</t>
        </is>
      </c>
      <c r="D156" t="n">
        <v>39.43496704101562</v>
      </c>
      <c r="E156" t="n">
        <v>61.25090026855469</v>
      </c>
      <c r="F156" t="n">
        <v>1856</v>
      </c>
      <c r="G156" t="n">
        <v>-604</v>
      </c>
      <c r="H156">
        <f>D156*F156</f>
        <v/>
      </c>
      <c r="I156">
        <f>E156*G156</f>
        <v/>
      </c>
      <c r="J156">
        <f>H156-I156</f>
        <v/>
      </c>
      <c r="K156" t="n">
        <v>0.12</v>
      </c>
      <c r="L156" t="n">
        <v>516.4208984375</v>
      </c>
      <c r="M156" t="n">
        <v>-497.7060089111328</v>
      </c>
      <c r="N156">
        <f>-I156*K156/252</f>
        <v/>
      </c>
      <c r="O156" t="n">
        <v>0</v>
      </c>
      <c r="P156" t="n">
        <v>104.2496095457531</v>
      </c>
      <c r="Q156" t="n">
        <v>0.0432</v>
      </c>
      <c r="R156" t="n">
        <v>0</v>
      </c>
      <c r="S156" t="n">
        <v>36.33181512741815</v>
      </c>
    </row>
    <row r="157">
      <c r="A157" s="1" t="n">
        <v>44936</v>
      </c>
      <c r="B157" t="inlineStr">
        <is>
          <t>GUSH</t>
        </is>
      </c>
      <c r="C157" t="inlineStr">
        <is>
          <t>XOP</t>
        </is>
      </c>
      <c r="D157" t="n">
        <v>123.0254592895508</v>
      </c>
      <c r="E157" t="n">
        <v>32.0292854309082</v>
      </c>
      <c r="F157" t="n">
        <v>3057</v>
      </c>
      <c r="G157" t="n">
        <v>-6059</v>
      </c>
      <c r="H157">
        <f>D157*F157</f>
        <v/>
      </c>
      <c r="I157">
        <f>E157*G157</f>
        <v/>
      </c>
      <c r="J157">
        <f>H157-I157</f>
        <v/>
      </c>
      <c r="K157" t="n">
        <v>-0.01</v>
      </c>
      <c r="L157" t="n">
        <v>1269.217552185059</v>
      </c>
      <c r="M157" t="n">
        <v>-1030.619850158691</v>
      </c>
      <c r="N157">
        <f>-I157*K157/252</f>
        <v/>
      </c>
      <c r="O157" t="n">
        <v>0</v>
      </c>
      <c r="P157" t="n">
        <v>-44.41317247405885</v>
      </c>
      <c r="Q157" t="n">
        <v>0.0432</v>
      </c>
      <c r="R157" t="n">
        <v>0</v>
      </c>
      <c r="S157" t="n">
        <v>230.8966924856589</v>
      </c>
    </row>
    <row r="158">
      <c r="A158" s="1" t="n">
        <v>44937</v>
      </c>
      <c r="B158" t="inlineStr">
        <is>
          <t>AAPB</t>
        </is>
      </c>
      <c r="C158" t="inlineStr">
        <is>
          <t>AAPL</t>
        </is>
      </c>
      <c r="D158" t="n">
        <v>131.3831634521484</v>
      </c>
      <c r="E158" t="n">
        <v>12.97246074676514</v>
      </c>
      <c r="F158" t="n">
        <v>9028</v>
      </c>
      <c r="G158" t="n">
        <v>-47878</v>
      </c>
      <c r="H158">
        <f>D158*F158</f>
        <v/>
      </c>
      <c r="I158">
        <f>E158*G158</f>
        <v/>
      </c>
      <c r="J158">
        <f>H158-I158</f>
        <v/>
      </c>
      <c r="K158" t="n">
        <v>-0.005</v>
      </c>
      <c r="L158" t="n">
        <v>24524.07379150391</v>
      </c>
      <c r="M158" t="n">
        <v>-19336.69839286804</v>
      </c>
      <c r="N158">
        <f>-I158*K158/252</f>
        <v/>
      </c>
      <c r="O158" t="n">
        <v>0</v>
      </c>
      <c r="P158" t="n">
        <v>-81.21346353353016</v>
      </c>
      <c r="Q158" t="n">
        <v>0.0432</v>
      </c>
      <c r="R158" t="n">
        <v>0</v>
      </c>
      <c r="S158" t="n">
        <v>5175.052075706633</v>
      </c>
    </row>
    <row r="159">
      <c r="A159" s="1" t="n">
        <v>44937</v>
      </c>
      <c r="B159" t="inlineStr">
        <is>
          <t>AAPU</t>
        </is>
      </c>
      <c r="C159" t="inlineStr">
        <is>
          <t>AAPL</t>
        </is>
      </c>
      <c r="D159" t="n">
        <v>131.3831634521484</v>
      </c>
      <c r="E159" t="n">
        <v>13.35663414001465</v>
      </c>
      <c r="F159" t="n">
        <v>7633</v>
      </c>
      <c r="G159" t="n">
        <v>-38936</v>
      </c>
      <c r="H159">
        <f>D159*F159</f>
        <v/>
      </c>
      <c r="I159">
        <f>E159*G159</f>
        <v/>
      </c>
      <c r="J159">
        <f>H159-I159</f>
        <v/>
      </c>
      <c r="K159" t="n">
        <v>0.02</v>
      </c>
      <c r="L159" t="n">
        <v>20734.63172912598</v>
      </c>
      <c r="M159" t="n">
        <v>-15039.19783782959</v>
      </c>
      <c r="N159">
        <f>-I159*K159/252</f>
        <v/>
      </c>
      <c r="O159" t="n">
        <v>0</v>
      </c>
      <c r="P159" t="n">
        <v>273.8796664277334</v>
      </c>
      <c r="Q159" t="n">
        <v>0.0432</v>
      </c>
      <c r="R159" t="n">
        <v>0</v>
      </c>
      <c r="S159" t="n">
        <v>5736.708010889693</v>
      </c>
    </row>
    <row r="160">
      <c r="A160" s="1" t="n">
        <v>44937</v>
      </c>
      <c r="B160" t="inlineStr">
        <is>
          <t>AMZU</t>
        </is>
      </c>
      <c r="C160" t="inlineStr">
        <is>
          <t>AMZN</t>
        </is>
      </c>
      <c r="D160" t="n">
        <v>95.08999633789062</v>
      </c>
      <c r="E160" t="n">
        <v>13.40025615692139</v>
      </c>
      <c r="F160" t="n">
        <v>27599</v>
      </c>
      <c r="G160" t="n">
        <v>-103312</v>
      </c>
      <c r="H160">
        <f>D160*F160</f>
        <v/>
      </c>
      <c r="I160">
        <f>E160*G160</f>
        <v/>
      </c>
      <c r="J160">
        <f>H160-I160</f>
        <v/>
      </c>
      <c r="K160" t="n">
        <v>-0.0025</v>
      </c>
      <c r="L160" t="n">
        <v>144066.6031265259</v>
      </c>
      <c r="M160" t="n">
        <v>-110823.8193664551</v>
      </c>
      <c r="N160">
        <f>-I160*K160/252</f>
        <v/>
      </c>
      <c r="O160" t="n">
        <v>0</v>
      </c>
      <c r="P160" t="n">
        <v>-85.01284031958807</v>
      </c>
      <c r="Q160" t="n">
        <v>0.0432</v>
      </c>
      <c r="R160" t="n">
        <v>0</v>
      </c>
      <c r="S160" t="n">
        <v>33229.04956102235</v>
      </c>
    </row>
    <row r="161">
      <c r="A161" s="1" t="n">
        <v>44937</v>
      </c>
      <c r="B161" t="inlineStr">
        <is>
          <t>TARK</t>
        </is>
      </c>
      <c r="C161" t="inlineStr">
        <is>
          <t>ARKK</t>
        </is>
      </c>
      <c r="D161" t="n">
        <v>34.47250366210938</v>
      </c>
      <c r="E161" t="n">
        <v>20.12460517883301</v>
      </c>
      <c r="F161" t="n">
        <v>20537</v>
      </c>
      <c r="G161" t="n">
        <v>-20077</v>
      </c>
      <c r="H161">
        <f>D161*F161</f>
        <v/>
      </c>
      <c r="I161">
        <f>E161*G161</f>
        <v/>
      </c>
      <c r="J161">
        <f>H161-I161</f>
        <v/>
      </c>
      <c r="K161" t="n">
        <v>-0.02</v>
      </c>
      <c r="L161" t="n">
        <v>23218.50495910645</v>
      </c>
      <c r="M161" t="n">
        <v>-28141.41433143616</v>
      </c>
      <c r="N161">
        <f>-I161*K161/252</f>
        <v/>
      </c>
      <c r="O161" t="n">
        <v>0</v>
      </c>
      <c r="P161" t="n">
        <v>-194.1538747483965</v>
      </c>
      <c r="Q161" t="n">
        <v>0.0432</v>
      </c>
      <c r="R161" t="n">
        <v>0</v>
      </c>
      <c r="S161" t="n">
        <v>-4954.976173772206</v>
      </c>
    </row>
    <row r="162">
      <c r="A162" s="1" t="n">
        <v>44937</v>
      </c>
      <c r="B162" t="inlineStr">
        <is>
          <t>CHAU</t>
        </is>
      </c>
      <c r="C162" t="inlineStr">
        <is>
          <t>ASHR</t>
        </is>
      </c>
      <c r="D162" t="n">
        <v>28.36589431762695</v>
      </c>
      <c r="E162" t="n">
        <v>21.39776802062988</v>
      </c>
      <c r="F162" t="n">
        <v>5713</v>
      </c>
      <c r="G162" t="n">
        <v>-3898</v>
      </c>
      <c r="H162">
        <f>D162*F162</f>
        <v/>
      </c>
      <c r="I162">
        <f>E162*G162</f>
        <v/>
      </c>
      <c r="J162">
        <f>H162-I162</f>
        <v/>
      </c>
      <c r="K162" t="n">
        <v>-0.01</v>
      </c>
      <c r="L162" t="n">
        <v>430.7131786346436</v>
      </c>
      <c r="M162" t="n">
        <v>-464.3729820251465</v>
      </c>
      <c r="N162">
        <f>-I162*K162/252</f>
        <v/>
      </c>
      <c r="O162" t="n">
        <v>0</v>
      </c>
      <c r="P162" t="n">
        <v>-22.78312558423906</v>
      </c>
      <c r="Q162" t="n">
        <v>0.0432</v>
      </c>
      <c r="R162" t="n">
        <v>0</v>
      </c>
      <c r="S162" t="n">
        <v>-36.96966449147173</v>
      </c>
    </row>
    <row r="163">
      <c r="A163" s="1" t="n">
        <v>44937</v>
      </c>
      <c r="B163" t="inlineStr">
        <is>
          <t>BABX</t>
        </is>
      </c>
      <c r="C163" t="inlineStr">
        <is>
          <t>BABA</t>
        </is>
      </c>
      <c r="D163" t="n">
        <v>109.2339172363281</v>
      </c>
      <c r="E163" t="n">
        <v>37.94800186157227</v>
      </c>
      <c r="F163" t="n">
        <v>5330</v>
      </c>
      <c r="G163" t="n">
        <v>-8035</v>
      </c>
      <c r="H163">
        <f>D163*F163</f>
        <v/>
      </c>
      <c r="I163">
        <f>E163*G163</f>
        <v/>
      </c>
      <c r="J163">
        <f>H163-I163</f>
        <v/>
      </c>
      <c r="K163" t="n">
        <v>-0.0275</v>
      </c>
      <c r="L163" t="n">
        <v>708.6632537841797</v>
      </c>
      <c r="M163" t="n">
        <v>-787.457218170166</v>
      </c>
      <c r="N163">
        <f>-I163*K163/252</f>
        <v/>
      </c>
      <c r="O163" t="n">
        <v>0</v>
      </c>
      <c r="P163" t="n">
        <v>-218.4044381253303</v>
      </c>
      <c r="Q163" t="n">
        <v>0.0432</v>
      </c>
      <c r="R163" t="n">
        <v>0</v>
      </c>
      <c r="S163" t="n">
        <v>-112.0681126452628</v>
      </c>
    </row>
    <row r="164">
      <c r="A164" s="1" t="n">
        <v>44937</v>
      </c>
      <c r="B164" t="inlineStr">
        <is>
          <t>CONL</t>
        </is>
      </c>
      <c r="C164" t="inlineStr">
        <is>
          <t>COIN</t>
        </is>
      </c>
      <c r="D164" t="n">
        <v>43.79000091552734</v>
      </c>
      <c r="E164" t="n">
        <v>6.104873657226562</v>
      </c>
      <c r="F164" t="n">
        <v>98778</v>
      </c>
      <c r="G164" t="n">
        <v>-394919</v>
      </c>
      <c r="H164">
        <f>D164*F164</f>
        <v/>
      </c>
      <c r="I164">
        <f>E164*G164</f>
        <v/>
      </c>
      <c r="J164">
        <f>H164-I164</f>
        <v/>
      </c>
      <c r="K164" t="n">
        <v>0.03</v>
      </c>
      <c r="L164" t="n">
        <v>55315.81565093994</v>
      </c>
      <c r="M164" t="n">
        <v>-35454.82853078842</v>
      </c>
      <c r="N164">
        <f>-I164*K164/252</f>
        <v/>
      </c>
      <c r="O164" t="n">
        <v>0</v>
      </c>
      <c r="P164" t="n">
        <v>1633.268529924949</v>
      </c>
      <c r="Q164" t="n">
        <v>0.0432</v>
      </c>
      <c r="R164" t="n">
        <v>0</v>
      </c>
      <c r="S164" t="n">
        <v>20148.00266775131</v>
      </c>
    </row>
    <row r="165">
      <c r="A165" s="1" t="n">
        <v>44937</v>
      </c>
      <c r="B165" t="inlineStr">
        <is>
          <t>MEXX</t>
        </is>
      </c>
      <c r="C165" t="inlineStr">
        <is>
          <t>EWW</t>
        </is>
      </c>
      <c r="D165" t="n">
        <v>50.45191955566406</v>
      </c>
      <c r="E165" t="n">
        <v>21.49141311645508</v>
      </c>
      <c r="F165" t="n">
        <v>9067</v>
      </c>
      <c r="G165" t="n">
        <v>-7657</v>
      </c>
      <c r="H165">
        <f>D165*F165</f>
        <v/>
      </c>
      <c r="I165">
        <f>E165*G165</f>
        <v/>
      </c>
      <c r="J165">
        <f>H165-I165</f>
        <v/>
      </c>
      <c r="K165" t="n">
        <v>0.0075</v>
      </c>
      <c r="L165" t="n">
        <v>9857.021312713623</v>
      </c>
      <c r="M165" t="n">
        <v>-8674.310426712036</v>
      </c>
      <c r="N165">
        <f>-I165*K165/252</f>
        <v/>
      </c>
      <c r="O165" t="n">
        <v>0</v>
      </c>
      <c r="P165" t="n">
        <v>32.40735122669311</v>
      </c>
      <c r="Q165" t="n">
        <v>0.0432</v>
      </c>
      <c r="R165" t="n">
        <v>0</v>
      </c>
      <c r="S165" t="n">
        <v>1187.608497615655</v>
      </c>
    </row>
    <row r="166">
      <c r="A166" s="1" t="n">
        <v>44937</v>
      </c>
      <c r="B166" t="inlineStr">
        <is>
          <t>KORU</t>
        </is>
      </c>
      <c r="C166" t="inlineStr">
        <is>
          <t>EWY</t>
        </is>
      </c>
      <c r="D166" t="n">
        <v>57.25946426391602</v>
      </c>
      <c r="E166" t="n">
        <v>89.22666168212891</v>
      </c>
      <c r="F166" t="n">
        <v>12826</v>
      </c>
      <c r="G166" t="n">
        <v>-2951</v>
      </c>
      <c r="H166">
        <f>D166*F166</f>
        <v/>
      </c>
      <c r="I166">
        <f>E166*G166</f>
        <v/>
      </c>
      <c r="J166">
        <f>H166-I166</f>
        <v/>
      </c>
      <c r="K166" t="n">
        <v>0.0225</v>
      </c>
      <c r="L166" t="n">
        <v>1910.415634155273</v>
      </c>
      <c r="M166" t="n">
        <v>-1929.974533081055</v>
      </c>
      <c r="N166">
        <f>-I166*K166/252</f>
        <v/>
      </c>
      <c r="O166" t="n">
        <v>0</v>
      </c>
      <c r="P166" t="n">
        <v>159.4551581130709</v>
      </c>
      <c r="Q166" t="n">
        <v>0.0432</v>
      </c>
      <c r="R166" t="n">
        <v>0</v>
      </c>
      <c r="S166" t="n">
        <v>3.950733094214709</v>
      </c>
    </row>
    <row r="167">
      <c r="A167" s="1" t="n">
        <v>44937</v>
      </c>
      <c r="B167" t="inlineStr">
        <is>
          <t>YINN</t>
        </is>
      </c>
      <c r="C167" t="inlineStr">
        <is>
          <t>FXI</t>
        </is>
      </c>
      <c r="D167" t="n">
        <v>29.64089965820312</v>
      </c>
      <c r="E167" t="n">
        <v>60.72393417358398</v>
      </c>
      <c r="F167" t="n">
        <v>35048</v>
      </c>
      <c r="G167" t="n">
        <v>-5995</v>
      </c>
      <c r="H167">
        <f>D167*F167</f>
        <v/>
      </c>
      <c r="I167">
        <f>E167*G167</f>
        <v/>
      </c>
      <c r="J167">
        <f>H167-I167</f>
        <v/>
      </c>
      <c r="K167" t="n">
        <v>-0.02</v>
      </c>
      <c r="L167" t="n">
        <v>10417.84365844727</v>
      </c>
      <c r="M167" t="n">
        <v>-10593.31483840942</v>
      </c>
      <c r="N167">
        <f>-I167*K167/252</f>
        <v/>
      </c>
      <c r="O167" t="n">
        <v>0</v>
      </c>
      <c r="P167" t="n">
        <v>-200.436052973611</v>
      </c>
      <c r="Q167" t="n">
        <v>0.0432</v>
      </c>
      <c r="R167" t="n">
        <v>0</v>
      </c>
      <c r="S167" t="n">
        <v>-204.3632422931538</v>
      </c>
    </row>
    <row r="168">
      <c r="A168" s="1" t="n">
        <v>44937</v>
      </c>
      <c r="B168" t="inlineStr">
        <is>
          <t>JNUG</t>
        </is>
      </c>
      <c r="C168" t="inlineStr">
        <is>
          <t>GDXJ</t>
        </is>
      </c>
      <c r="D168" t="n">
        <v>36.98801422119141</v>
      </c>
      <c r="E168" t="n">
        <v>40.55373764038086</v>
      </c>
      <c r="F168" t="n">
        <v>13873</v>
      </c>
      <c r="G168" t="n">
        <v>-6362</v>
      </c>
      <c r="H168">
        <f>D168*F168</f>
        <v/>
      </c>
      <c r="I168">
        <f>E168*G168</f>
        <v/>
      </c>
      <c r="J168">
        <f>H168-I168</f>
        <v/>
      </c>
      <c r="K168" t="n">
        <v>-0.005</v>
      </c>
      <c r="L168" t="n">
        <v>-7611.775726318359</v>
      </c>
      <c r="M168" t="n">
        <v>6908.710105895996</v>
      </c>
      <c r="N168">
        <f>-I168*K168/252</f>
        <v/>
      </c>
      <c r="O168" t="n">
        <v>0</v>
      </c>
      <c r="P168" t="n">
        <v>-36.36615818538363</v>
      </c>
      <c r="Q168" t="n">
        <v>0.0432</v>
      </c>
      <c r="R168" t="n">
        <v>0</v>
      </c>
      <c r="S168" t="n">
        <v>-708.1847251618098</v>
      </c>
    </row>
    <row r="169">
      <c r="A169" s="1" t="n">
        <v>44937</v>
      </c>
      <c r="B169" t="inlineStr">
        <is>
          <t>GDXU</t>
        </is>
      </c>
      <c r="C169" t="inlineStr">
        <is>
          <t>GDX</t>
        </is>
      </c>
      <c r="D169" t="n">
        <v>30.47821617126465</v>
      </c>
      <c r="E169" t="n">
        <v>55.5</v>
      </c>
      <c r="F169" t="n">
        <v>53192</v>
      </c>
      <c r="G169" t="n">
        <v>-9614</v>
      </c>
      <c r="H169">
        <f>D169*F169</f>
        <v/>
      </c>
      <c r="I169">
        <f>E169*G169</f>
        <v/>
      </c>
      <c r="J169">
        <f>H169-I169</f>
        <v/>
      </c>
      <c r="K169" t="n">
        <v>-0.005</v>
      </c>
      <c r="L169" t="n">
        <v>-13865.13729858398</v>
      </c>
      <c r="M169" t="n">
        <v>14421</v>
      </c>
      <c r="N169">
        <f>-I169*K169/252</f>
        <v/>
      </c>
      <c r="O169" t="n">
        <v>0</v>
      </c>
      <c r="P169" t="n">
        <v>-75.75878714667428</v>
      </c>
      <c r="Q169" t="n">
        <v>0.0432</v>
      </c>
      <c r="R169" t="n">
        <v>0</v>
      </c>
      <c r="S169" t="n">
        <v>545.275856177924</v>
      </c>
    </row>
    <row r="170">
      <c r="A170" s="1" t="n">
        <v>44937</v>
      </c>
      <c r="B170" t="inlineStr">
        <is>
          <t>NUGT</t>
        </is>
      </c>
      <c r="C170" t="inlineStr">
        <is>
          <t>GDX</t>
        </is>
      </c>
      <c r="D170" t="n">
        <v>30.47821617126465</v>
      </c>
      <c r="E170" t="n">
        <v>39.93342590332031</v>
      </c>
      <c r="F170" t="n">
        <v>15820</v>
      </c>
      <c r="G170" t="n">
        <v>-6136</v>
      </c>
      <c r="H170">
        <f>D170*F170</f>
        <v/>
      </c>
      <c r="I170">
        <f>E170*G170</f>
        <v/>
      </c>
      <c r="J170">
        <f>H170-I170</f>
        <v/>
      </c>
      <c r="K170" t="n">
        <v>-0.0175</v>
      </c>
      <c r="L170" t="n">
        <v>-4123.674087524414</v>
      </c>
      <c r="M170" t="n">
        <v>3948.336608886719</v>
      </c>
      <c r="N170">
        <f>-I170*K170/252</f>
        <v/>
      </c>
      <c r="O170" t="n">
        <v>0</v>
      </c>
      <c r="P170" t="n">
        <v>-119.1998581515418</v>
      </c>
      <c r="Q170" t="n">
        <v>0.0432</v>
      </c>
      <c r="R170" t="n">
        <v>0</v>
      </c>
      <c r="S170" t="n">
        <v>-192.3535551198319</v>
      </c>
    </row>
    <row r="171">
      <c r="A171" s="1" t="n">
        <v>44937</v>
      </c>
      <c r="B171" t="inlineStr">
        <is>
          <t>GGLL</t>
        </is>
      </c>
      <c r="C171" t="inlineStr">
        <is>
          <t>GOOGL</t>
        </is>
      </c>
      <c r="D171" t="n">
        <v>90.769775390625</v>
      </c>
      <c r="E171" t="n">
        <v>16.86269378662109</v>
      </c>
      <c r="F171" t="n">
        <v>20098</v>
      </c>
      <c r="G171" t="n">
        <v>-54856</v>
      </c>
      <c r="H171">
        <f>D171*F171</f>
        <v/>
      </c>
      <c r="I171">
        <f>E171*G171</f>
        <v/>
      </c>
      <c r="J171">
        <f>H171-I171</f>
        <v/>
      </c>
      <c r="K171" t="n">
        <v>0</v>
      </c>
      <c r="L171" t="n">
        <v>61793.00854492188</v>
      </c>
      <c r="M171" t="n">
        <v>-47702.47994995117</v>
      </c>
      <c r="N171">
        <f>-I171*K171/252</f>
        <v/>
      </c>
      <c r="O171" t="n">
        <v>0</v>
      </c>
      <c r="P171" t="n">
        <v>0</v>
      </c>
      <c r="Q171" t="n">
        <v>0.0432</v>
      </c>
      <c r="R171" t="n">
        <v>0</v>
      </c>
      <c r="S171" t="n">
        <v>14090.52859497071</v>
      </c>
    </row>
    <row r="172">
      <c r="A172" s="1" t="n">
        <v>44937</v>
      </c>
      <c r="B172" t="inlineStr">
        <is>
          <t>CWEB</t>
        </is>
      </c>
      <c r="C172" t="inlineStr">
        <is>
          <t>KWEB</t>
        </is>
      </c>
      <c r="D172" t="n">
        <v>31.23021125793457</v>
      </c>
      <c r="E172" t="n">
        <v>60.36240005493164</v>
      </c>
      <c r="F172" t="n">
        <v>14605</v>
      </c>
      <c r="G172" t="n">
        <v>-3828</v>
      </c>
      <c r="H172">
        <f>D172*F172</f>
        <v/>
      </c>
      <c r="I172">
        <f>E172*G172</f>
        <v/>
      </c>
      <c r="J172">
        <f>H172-I172</f>
        <v/>
      </c>
      <c r="K172" t="n">
        <v>-0.02</v>
      </c>
      <c r="L172" t="n">
        <v>-2355.155420303345</v>
      </c>
      <c r="M172" t="n">
        <v>2585.050689697266</v>
      </c>
      <c r="N172">
        <f>-I172*K172/252</f>
        <v/>
      </c>
      <c r="O172" t="n">
        <v>0</v>
      </c>
      <c r="P172" t="n">
        <v>-130.3907268845089</v>
      </c>
      <c r="Q172" t="n">
        <v>0.0432</v>
      </c>
      <c r="R172" t="n">
        <v>0</v>
      </c>
      <c r="S172" t="n">
        <v>211.5565973772322</v>
      </c>
    </row>
    <row r="173">
      <c r="A173" s="1" t="n">
        <v>44937</v>
      </c>
      <c r="B173" t="inlineStr">
        <is>
          <t>FBL</t>
        </is>
      </c>
      <c r="C173" t="inlineStr">
        <is>
          <t>META</t>
        </is>
      </c>
      <c r="D173" t="n">
        <v>131.8552856445312</v>
      </c>
      <c r="E173" t="n">
        <v>3.994081497192383</v>
      </c>
      <c r="F173" t="n">
        <v>25964</v>
      </c>
      <c r="G173" t="n">
        <v>-441819</v>
      </c>
      <c r="H173">
        <f>D173*F173</f>
        <v/>
      </c>
      <c r="I173">
        <f>E173*G173</f>
        <v/>
      </c>
      <c r="J173">
        <f>H173-I173</f>
        <v/>
      </c>
      <c r="K173" t="n">
        <v>-0.01</v>
      </c>
      <c r="L173" t="n">
        <v>-2575.957153320312</v>
      </c>
      <c r="M173" t="n">
        <v>-1663.179443120956</v>
      </c>
      <c r="N173">
        <f>-I173*K173/252</f>
        <v/>
      </c>
      <c r="O173" t="n">
        <v>0</v>
      </c>
      <c r="P173" t="n">
        <v>-470.4235422110557</v>
      </c>
      <c r="Q173" t="n">
        <v>0.0432</v>
      </c>
      <c r="R173" t="n">
        <v>0</v>
      </c>
      <c r="S173" t="n">
        <v>-4309.162830290794</v>
      </c>
    </row>
    <row r="174">
      <c r="A174" s="1" t="n">
        <v>44937</v>
      </c>
      <c r="B174" t="inlineStr">
        <is>
          <t>MSFU</t>
        </is>
      </c>
      <c r="C174" t="inlineStr">
        <is>
          <t>MSFT</t>
        </is>
      </c>
      <c r="D174" t="n">
        <v>229.7402496337891</v>
      </c>
      <c r="E174" t="n">
        <v>18.25510406494141</v>
      </c>
      <c r="F174" t="n">
        <v>8314</v>
      </c>
      <c r="G174" t="n">
        <v>-53770</v>
      </c>
      <c r="H174">
        <f>D174*F174</f>
        <v/>
      </c>
      <c r="I174">
        <f>E174*G174</f>
        <v/>
      </c>
      <c r="J174">
        <f>H174-I174</f>
        <v/>
      </c>
      <c r="K174" t="n">
        <v>-0.005</v>
      </c>
      <c r="L174" t="n">
        <v>56061.39739990234</v>
      </c>
      <c r="M174" t="n">
        <v>-42619.98201370239</v>
      </c>
      <c r="N174">
        <f>-I174*K174/252</f>
        <v/>
      </c>
      <c r="O174" t="n">
        <v>0</v>
      </c>
      <c r="P174" t="n">
        <v>-128.7259753373312</v>
      </c>
      <c r="Q174" t="n">
        <v>0.0432</v>
      </c>
      <c r="R174" t="n">
        <v>0</v>
      </c>
      <c r="S174" t="n">
        <v>13421.93965315288</v>
      </c>
    </row>
    <row r="175">
      <c r="A175" s="1" t="n">
        <v>44937</v>
      </c>
      <c r="B175" t="inlineStr">
        <is>
          <t>NVDL</t>
        </is>
      </c>
      <c r="C175" t="inlineStr">
        <is>
          <t>NVDA</t>
        </is>
      </c>
      <c r="D175" t="n">
        <v>15.984130859375</v>
      </c>
      <c r="E175" t="n">
        <v>3.231164216995239</v>
      </c>
      <c r="F175" t="n">
        <v>307781</v>
      </c>
      <c r="G175" t="n">
        <v>-799366</v>
      </c>
      <c r="H175">
        <f>D175*F175</f>
        <v/>
      </c>
      <c r="I175">
        <f>E175*G175</f>
        <v/>
      </c>
      <c r="J175">
        <f>H175-I175</f>
        <v/>
      </c>
      <c r="K175" t="n">
        <v>0</v>
      </c>
      <c r="L175" t="n">
        <v>28285.32797336578</v>
      </c>
      <c r="M175" t="n">
        <v>-36248.83027887344</v>
      </c>
      <c r="N175">
        <f>-I175*K175/252</f>
        <v/>
      </c>
      <c r="O175" t="n">
        <v>0</v>
      </c>
      <c r="P175" t="n">
        <v>0</v>
      </c>
      <c r="Q175" t="n">
        <v>0.0432</v>
      </c>
      <c r="R175" t="n">
        <v>0</v>
      </c>
      <c r="S175" t="n">
        <v>-7963.502305507664</v>
      </c>
    </row>
    <row r="176">
      <c r="A176" s="1" t="n">
        <v>44937</v>
      </c>
      <c r="B176" t="inlineStr">
        <is>
          <t>SOXL</t>
        </is>
      </c>
      <c r="C176" t="inlineStr">
        <is>
          <t>SOXX</t>
        </is>
      </c>
      <c r="D176" t="n">
        <v>123.7443161010742</v>
      </c>
      <c r="E176" t="n">
        <v>12.13358879089355</v>
      </c>
      <c r="F176" t="n">
        <v>8941</v>
      </c>
      <c r="G176" t="n">
        <v>-33586</v>
      </c>
      <c r="H176">
        <f>D176*F176</f>
        <v/>
      </c>
      <c r="I176">
        <f>E176*G176</f>
        <v/>
      </c>
      <c r="J176">
        <f>H176-I176</f>
        <v/>
      </c>
      <c r="K176" t="n">
        <v>-0.0175</v>
      </c>
      <c r="L176" t="n">
        <v>14091.93880462646</v>
      </c>
      <c r="M176" t="n">
        <v>-14131.68258666992</v>
      </c>
      <c r="N176">
        <f>-I176*K176/252</f>
        <v/>
      </c>
      <c r="O176" t="n">
        <v>0</v>
      </c>
      <c r="P176" t="n">
        <v>-182.0590785486169</v>
      </c>
      <c r="Q176" t="n">
        <v>0.0432</v>
      </c>
      <c r="R176" t="n">
        <v>0</v>
      </c>
      <c r="S176" t="n">
        <v>-68.04369267755447</v>
      </c>
    </row>
    <row r="177">
      <c r="A177" s="1" t="n">
        <v>44937</v>
      </c>
      <c r="B177" t="inlineStr">
        <is>
          <t>SOXS</t>
        </is>
      </c>
      <c r="C177" t="inlineStr">
        <is>
          <t>SOXX</t>
        </is>
      </c>
      <c r="D177" t="n">
        <v>-0</v>
      </c>
      <c r="E177" t="n">
        <v>-0</v>
      </c>
      <c r="F177" t="n">
        <v>-6997</v>
      </c>
      <c r="G177" t="n">
        <v>-37</v>
      </c>
      <c r="H177">
        <f>D177*F177</f>
        <v/>
      </c>
      <c r="I177">
        <f>E177*G177</f>
        <v/>
      </c>
      <c r="J177">
        <f>H177-I177</f>
        <v/>
      </c>
      <c r="K177" t="n">
        <v>0.07000000000000001</v>
      </c>
      <c r="L177" t="n">
        <v>-11027.99416351318</v>
      </c>
      <c r="M177" t="n">
        <v>7468.34521484375</v>
      </c>
      <c r="N177">
        <f>-I177*K177/252</f>
        <v/>
      </c>
      <c r="O177" t="n">
        <v>0</v>
      </c>
      <c r="P177" t="n">
        <v>0</v>
      </c>
      <c r="Q177" t="n">
        <v>0.0432</v>
      </c>
      <c r="R177" t="n">
        <v>0</v>
      </c>
      <c r="S177" t="n">
        <v>-3559.64894866943</v>
      </c>
    </row>
    <row r="178">
      <c r="A178" s="1" t="n">
        <v>44937</v>
      </c>
      <c r="B178" t="inlineStr">
        <is>
          <t>HIBL</t>
        </is>
      </c>
      <c r="C178" t="inlineStr">
        <is>
          <t>SPHB</t>
        </is>
      </c>
      <c r="D178" t="n">
        <v>65.94935607910156</v>
      </c>
      <c r="E178" t="n">
        <v>28.65442848205566</v>
      </c>
      <c r="F178" t="n">
        <v>6521</v>
      </c>
      <c r="G178" t="n">
        <v>-5410</v>
      </c>
      <c r="H178">
        <f>D178*F178</f>
        <v/>
      </c>
      <c r="I178">
        <f>E178*G178</f>
        <v/>
      </c>
      <c r="J178">
        <f>H178-I178</f>
        <v/>
      </c>
      <c r="K178" t="n">
        <v>0.12</v>
      </c>
      <c r="L178" t="n">
        <v>7119.806427001953</v>
      </c>
      <c r="M178" t="n">
        <v>-7157.182102203369</v>
      </c>
      <c r="N178">
        <f>-I178*K178/252</f>
        <v/>
      </c>
      <c r="O178" t="n">
        <v>0</v>
      </c>
      <c r="P178" t="n">
        <v>478.0588140751066</v>
      </c>
      <c r="Q178" t="n">
        <v>0.0432</v>
      </c>
      <c r="R178" t="n">
        <v>0</v>
      </c>
      <c r="S178" t="n">
        <v>36.4435905547369</v>
      </c>
    </row>
    <row r="179">
      <c r="A179" s="1" t="n">
        <v>44937</v>
      </c>
      <c r="B179" t="inlineStr">
        <is>
          <t>TSLL</t>
        </is>
      </c>
      <c r="C179" t="inlineStr">
        <is>
          <t>TSLA</t>
        </is>
      </c>
      <c r="D179" t="n">
        <v>123.2200012207031</v>
      </c>
      <c r="E179" t="n">
        <v>5.341999053955078</v>
      </c>
      <c r="F179" t="n">
        <v>16893</v>
      </c>
      <c r="G179" t="n">
        <v>-207812</v>
      </c>
      <c r="H179">
        <f>D179*F179</f>
        <v/>
      </c>
      <c r="I179">
        <f>E179*G179</f>
        <v/>
      </c>
      <c r="J179">
        <f>H179-I179</f>
        <v/>
      </c>
      <c r="K179" t="n">
        <v>0.01</v>
      </c>
      <c r="L179" t="n">
        <v>73822.45639801025</v>
      </c>
      <c r="M179" t="n">
        <v>-55776.18619918823</v>
      </c>
      <c r="N179">
        <f>-I179*K179/252</f>
        <v/>
      </c>
      <c r="O179" t="n">
        <v>0</v>
      </c>
      <c r="P179" t="n">
        <v>279.9533200764278</v>
      </c>
      <c r="Q179" t="n">
        <v>0.0432</v>
      </c>
      <c r="R179" t="n">
        <v>0</v>
      </c>
      <c r="S179" t="n">
        <v>18090.32303641728</v>
      </c>
    </row>
    <row r="180">
      <c r="A180" s="1" t="n">
        <v>44937</v>
      </c>
      <c r="B180" t="inlineStr">
        <is>
          <t>TSLQ</t>
        </is>
      </c>
      <c r="C180" t="inlineStr">
        <is>
          <t>TSLA</t>
        </is>
      </c>
      <c r="D180" t="n">
        <v>-0</v>
      </c>
      <c r="E180" t="n">
        <v>-0</v>
      </c>
      <c r="F180" t="n">
        <v>-6277</v>
      </c>
      <c r="G180" t="n">
        <v>-302</v>
      </c>
      <c r="H180">
        <f>D180*F180</f>
        <v/>
      </c>
      <c r="I180">
        <f>E180*G180</f>
        <v/>
      </c>
      <c r="J180">
        <f>H180-I180</f>
        <v/>
      </c>
      <c r="K180" t="n">
        <v>-0.02</v>
      </c>
      <c r="L180" t="n">
        <v>-27430.50724029541</v>
      </c>
      <c r="M180" t="n">
        <v>12344.50805664062</v>
      </c>
      <c r="N180">
        <f>-I180*K180/252</f>
        <v/>
      </c>
      <c r="O180" t="n">
        <v>0</v>
      </c>
      <c r="P180" t="n">
        <v>0</v>
      </c>
      <c r="Q180" t="n">
        <v>0.0432</v>
      </c>
      <c r="R180" t="n">
        <v>0</v>
      </c>
      <c r="S180" t="n">
        <v>-15085.99918365479</v>
      </c>
    </row>
    <row r="181">
      <c r="A181" s="1" t="n">
        <v>44937</v>
      </c>
      <c r="B181" t="inlineStr">
        <is>
          <t>LABU</t>
        </is>
      </c>
      <c r="C181" t="inlineStr">
        <is>
          <t>XBI</t>
        </is>
      </c>
      <c r="D181" t="n">
        <v>83.92966461181641</v>
      </c>
      <c r="E181" t="n">
        <v>144.17431640625</v>
      </c>
      <c r="F181" t="n">
        <v>3382</v>
      </c>
      <c r="G181" t="n">
        <v>-676</v>
      </c>
      <c r="H181">
        <f>D181*F181</f>
        <v/>
      </c>
      <c r="I181">
        <f>E181*G181</f>
        <v/>
      </c>
      <c r="J181">
        <f>H181-I181</f>
        <v/>
      </c>
      <c r="K181" t="n">
        <v>0.1</v>
      </c>
      <c r="L181" t="n">
        <v>2691.212463378906</v>
      </c>
      <c r="M181" t="n">
        <v>-2390.064758300781</v>
      </c>
      <c r="N181">
        <f>-I181*K181/252</f>
        <v/>
      </c>
      <c r="O181" t="n">
        <v>0</v>
      </c>
      <c r="P181" t="n">
        <v>262.6365932888455</v>
      </c>
      <c r="Q181" t="n">
        <v>0.0432</v>
      </c>
      <c r="R181" t="n">
        <v>0</v>
      </c>
      <c r="S181" t="n">
        <v>339.8230375744048</v>
      </c>
    </row>
    <row r="182">
      <c r="A182" s="1" t="n">
        <v>44937</v>
      </c>
      <c r="B182" t="inlineStr">
        <is>
          <t>ERX</t>
        </is>
      </c>
      <c r="C182" t="inlineStr">
        <is>
          <t>XLE</t>
        </is>
      </c>
      <c r="D182" t="n">
        <v>39.5561408996582</v>
      </c>
      <c r="E182" t="n">
        <v>61.54387283325195</v>
      </c>
      <c r="F182" t="n">
        <v>1856</v>
      </c>
      <c r="G182" t="n">
        <v>-604</v>
      </c>
      <c r="H182">
        <f>D182*F182</f>
        <v/>
      </c>
      <c r="I182">
        <f>E182*G182</f>
        <v/>
      </c>
      <c r="J182">
        <f>H182-I182</f>
        <v/>
      </c>
      <c r="K182" t="n">
        <v>0.12</v>
      </c>
      <c r="L182" t="n">
        <v>224.898681640625</v>
      </c>
      <c r="M182" t="n">
        <v>-176.9554290771484</v>
      </c>
      <c r="N182">
        <f>-I182*K182/252</f>
        <v/>
      </c>
      <c r="O182" t="n">
        <v>0</v>
      </c>
      <c r="P182" t="n">
        <v>121.9507996368408</v>
      </c>
      <c r="Q182" t="n">
        <v>0.0432</v>
      </c>
      <c r="R182" t="n">
        <v>0</v>
      </c>
      <c r="S182" t="n">
        <v>65.6444426545643</v>
      </c>
    </row>
    <row r="183">
      <c r="A183" s="1" t="n">
        <v>44937</v>
      </c>
      <c r="B183" t="inlineStr">
        <is>
          <t>GUSH</t>
        </is>
      </c>
      <c r="C183" t="inlineStr">
        <is>
          <t>XOP</t>
        </is>
      </c>
      <c r="D183" t="n">
        <v>123.9849319458008</v>
      </c>
      <c r="E183" t="n">
        <v>32.53498077392578</v>
      </c>
      <c r="F183" t="n">
        <v>3057</v>
      </c>
      <c r="G183" t="n">
        <v>-6059</v>
      </c>
      <c r="H183">
        <f>D183*F183</f>
        <v/>
      </c>
      <c r="I183">
        <f>E183*G183</f>
        <v/>
      </c>
      <c r="J183">
        <f>H183-I183</f>
        <v/>
      </c>
      <c r="K183" t="n">
        <v>-0.01</v>
      </c>
      <c r="L183" t="n">
        <v>2933.10791015625</v>
      </c>
      <c r="M183" t="n">
        <v>-3064.008083343506</v>
      </c>
      <c r="N183">
        <f>-I183*K183/252</f>
        <v/>
      </c>
      <c r="O183" t="n">
        <v>0</v>
      </c>
      <c r="P183" t="n">
        <v>-52.23576963712298</v>
      </c>
      <c r="Q183" t="n">
        <v>0.0432</v>
      </c>
      <c r="R183" t="n">
        <v>0</v>
      </c>
      <c r="S183" t="n">
        <v>-138.72277035032</v>
      </c>
    </row>
    <row r="184">
      <c r="A184" s="1" t="n">
        <v>44938</v>
      </c>
      <c r="B184" t="inlineStr">
        <is>
          <t>AAPB</t>
        </is>
      </c>
      <c r="C184" t="inlineStr">
        <is>
          <t>AAPL</t>
        </is>
      </c>
      <c r="D184" t="n">
        <v>131.3044128417969</v>
      </c>
      <c r="E184" t="n">
        <v>12.98376941680908</v>
      </c>
      <c r="F184" t="n">
        <v>9028</v>
      </c>
      <c r="G184" t="n">
        <v>-47878</v>
      </c>
      <c r="H184">
        <f>D184*F184</f>
        <v/>
      </c>
      <c r="I184">
        <f>E184*G184</f>
        <v/>
      </c>
      <c r="J184">
        <f>H184-I184</f>
        <v/>
      </c>
      <c r="K184" t="n">
        <v>-0.005</v>
      </c>
      <c r="L184" t="n">
        <v>-710.9605102539062</v>
      </c>
      <c r="M184" t="n">
        <v>-541.4365043640137</v>
      </c>
      <c r="N184">
        <f>-I184*K184/252</f>
        <v/>
      </c>
      <c r="O184" t="n">
        <v>0</v>
      </c>
      <c r="P184" t="n">
        <v>-93.54752925055368</v>
      </c>
      <c r="Q184" t="n">
        <v>0.0432</v>
      </c>
      <c r="R184" t="n">
        <v>0</v>
      </c>
      <c r="S184" t="n">
        <v>-1264.731080334943</v>
      </c>
    </row>
    <row r="185">
      <c r="A185" s="1" t="n">
        <v>44938</v>
      </c>
      <c r="B185" t="inlineStr">
        <is>
          <t>AAPU</t>
        </is>
      </c>
      <c r="C185" t="inlineStr">
        <is>
          <t>AAPL</t>
        </is>
      </c>
      <c r="D185" t="n">
        <v>131.3044128417969</v>
      </c>
      <c r="E185" t="n">
        <v>13.35663414001465</v>
      </c>
      <c r="F185" t="n">
        <v>7633</v>
      </c>
      <c r="G185" t="n">
        <v>-38936</v>
      </c>
      <c r="H185">
        <f>D185*F185</f>
        <v/>
      </c>
      <c r="I185">
        <f>E185*G185</f>
        <v/>
      </c>
      <c r="J185">
        <f>H185-I185</f>
        <v/>
      </c>
      <c r="K185" t="n">
        <v>0.02</v>
      </c>
      <c r="L185" t="n">
        <v>-601.1034088134766</v>
      </c>
      <c r="M185" t="n">
        <v>0</v>
      </c>
      <c r="N185">
        <f>-I185*K185/252</f>
        <v/>
      </c>
      <c r="O185" t="n">
        <v>0</v>
      </c>
      <c r="P185" t="n">
        <v>315.1537860210358</v>
      </c>
      <c r="Q185" t="n">
        <v>0.0432</v>
      </c>
      <c r="R185" t="n">
        <v>0</v>
      </c>
      <c r="S185" t="n">
        <v>-559.8292892201741</v>
      </c>
    </row>
    <row r="186">
      <c r="A186" s="1" t="n">
        <v>44938</v>
      </c>
      <c r="B186" t="inlineStr">
        <is>
          <t>AMZU</t>
        </is>
      </c>
      <c r="C186" t="inlineStr">
        <is>
          <t>AMZN</t>
        </is>
      </c>
      <c r="D186" t="n">
        <v>95.26999664306641</v>
      </c>
      <c r="E186" t="n">
        <v>13.40977478027344</v>
      </c>
      <c r="F186" t="n">
        <v>27599</v>
      </c>
      <c r="G186" t="n">
        <v>-103312</v>
      </c>
      <c r="H186">
        <f>D186*F186</f>
        <v/>
      </c>
      <c r="I186">
        <f>E186*G186</f>
        <v/>
      </c>
      <c r="J186">
        <f>H186-I186</f>
        <v/>
      </c>
      <c r="K186" t="n">
        <v>-0.0025</v>
      </c>
      <c r="L186" t="n">
        <v>4967.828422546387</v>
      </c>
      <c r="M186" t="n">
        <v>-983.3880157470703</v>
      </c>
      <c r="N186">
        <f>-I186*K186/252</f>
        <v/>
      </c>
      <c r="O186" t="n">
        <v>0</v>
      </c>
      <c r="P186" t="n">
        <v>-98.75679520152865</v>
      </c>
      <c r="Q186" t="n">
        <v>0.0432</v>
      </c>
      <c r="R186" t="n">
        <v>0</v>
      </c>
      <c r="S186" t="n">
        <v>3970.696451917376</v>
      </c>
    </row>
    <row r="187">
      <c r="A187" s="1" t="n">
        <v>44938</v>
      </c>
      <c r="B187" t="inlineStr">
        <is>
          <t>TARK</t>
        </is>
      </c>
      <c r="C187" t="inlineStr">
        <is>
          <t>ARKK</t>
        </is>
      </c>
      <c r="D187" t="n">
        <v>35.19646835327148</v>
      </c>
      <c r="E187" t="n">
        <v>20.95856285095215</v>
      </c>
      <c r="F187" t="n">
        <v>20537</v>
      </c>
      <c r="G187" t="n">
        <v>-20077</v>
      </c>
      <c r="H187">
        <f>D187*F187</f>
        <v/>
      </c>
      <c r="I187">
        <f>E187*G187</f>
        <v/>
      </c>
      <c r="J187">
        <f>H187-I187</f>
        <v/>
      </c>
      <c r="K187" t="n">
        <v>-0.02</v>
      </c>
      <c r="L187" t="n">
        <v>14868.06286239624</v>
      </c>
      <c r="M187" t="n">
        <v>-16743.36818313599</v>
      </c>
      <c r="N187">
        <f>-I187*K187/252</f>
        <v/>
      </c>
      <c r="O187" t="n">
        <v>0</v>
      </c>
      <c r="P187" t="n">
        <v>-227.5495149355843</v>
      </c>
      <c r="Q187" t="n">
        <v>0.0432</v>
      </c>
      <c r="R187" t="n">
        <v>0</v>
      </c>
      <c r="S187" t="n">
        <v>-1908.700960926938</v>
      </c>
    </row>
    <row r="188">
      <c r="A188" s="1" t="n">
        <v>44938</v>
      </c>
      <c r="B188" t="inlineStr">
        <is>
          <t>CHAU</t>
        </is>
      </c>
      <c r="C188" t="inlineStr">
        <is>
          <t>ASHR</t>
        </is>
      </c>
      <c r="D188" t="n">
        <v>28.63918685913086</v>
      </c>
      <c r="E188" t="n">
        <v>21.77349281311035</v>
      </c>
      <c r="F188" t="n">
        <v>5713</v>
      </c>
      <c r="G188" t="n">
        <v>-3898</v>
      </c>
      <c r="H188">
        <f>D188*F188</f>
        <v/>
      </c>
      <c r="I188">
        <f>E188*G188</f>
        <v/>
      </c>
      <c r="J188">
        <f>H188-I188</f>
        <v/>
      </c>
      <c r="K188" t="n">
        <v>-0.01</v>
      </c>
      <c r="L188" t="n">
        <v>1561.320289611816</v>
      </c>
      <c r="M188" t="n">
        <v>-1464.575241088867</v>
      </c>
      <c r="N188">
        <f>-I188*K188/252</f>
        <v/>
      </c>
      <c r="O188" t="n">
        <v>0</v>
      </c>
      <c r="P188" t="n">
        <v>-26.15110475033049</v>
      </c>
      <c r="Q188" t="n">
        <v>0.0432</v>
      </c>
      <c r="R188" t="n">
        <v>0</v>
      </c>
      <c r="S188" t="n">
        <v>93.37706935685756</v>
      </c>
    </row>
    <row r="189">
      <c r="A189" s="1" t="n">
        <v>44938</v>
      </c>
      <c r="B189" t="inlineStr">
        <is>
          <t>BABX</t>
        </is>
      </c>
      <c r="C189" t="inlineStr">
        <is>
          <t>BABA</t>
        </is>
      </c>
      <c r="D189" t="n">
        <v>107.4580001831055</v>
      </c>
      <c r="E189" t="n">
        <v>36.86000061035156</v>
      </c>
      <c r="F189" t="n">
        <v>5330</v>
      </c>
      <c r="G189" t="n">
        <v>-8035</v>
      </c>
      <c r="H189">
        <f>D189*F189</f>
        <v/>
      </c>
      <c r="I189">
        <f>E189*G189</f>
        <v/>
      </c>
      <c r="J189">
        <f>H189-I189</f>
        <v/>
      </c>
      <c r="K189" t="n">
        <v>-0.0275</v>
      </c>
      <c r="L189" t="n">
        <v>-9465.637893676758</v>
      </c>
      <c r="M189" t="n">
        <v>8742.09005355835</v>
      </c>
      <c r="N189">
        <f>-I189*K189/252</f>
        <v/>
      </c>
      <c r="O189" t="n">
        <v>0</v>
      </c>
      <c r="P189" t="n">
        <v>-250.7245884620954</v>
      </c>
      <c r="Q189" t="n">
        <v>0.0432</v>
      </c>
      <c r="R189" t="n">
        <v>0</v>
      </c>
      <c r="S189" t="n">
        <v>-755.8679904551733</v>
      </c>
    </row>
    <row r="190">
      <c r="A190" s="1" t="n">
        <v>44938</v>
      </c>
      <c r="B190" t="inlineStr">
        <is>
          <t>CONL</t>
        </is>
      </c>
      <c r="C190" t="inlineStr">
        <is>
          <t>COIN</t>
        </is>
      </c>
      <c r="D190" t="n">
        <v>47.54999923706055</v>
      </c>
      <c r="E190" t="n">
        <v>6.932822227478027</v>
      </c>
      <c r="F190" t="n">
        <v>98778</v>
      </c>
      <c r="G190" t="n">
        <v>-394919</v>
      </c>
      <c r="H190">
        <f>D190*F190</f>
        <v/>
      </c>
      <c r="I190">
        <f>E190*G190</f>
        <v/>
      </c>
      <c r="J190">
        <f>H190-I190</f>
        <v/>
      </c>
      <c r="K190" t="n">
        <v>0.03</v>
      </c>
      <c r="L190" t="n">
        <v>371405.1142044067</v>
      </c>
      <c r="M190" t="n">
        <v>-326972.6214151382</v>
      </c>
      <c r="N190">
        <f>-I190*K190/252</f>
        <v/>
      </c>
      <c r="O190" t="n">
        <v>0</v>
      </c>
      <c r="P190" t="n">
        <v>1959.209389597972</v>
      </c>
      <c r="Q190" t="n">
        <v>0.0432</v>
      </c>
      <c r="R190" t="n">
        <v>0</v>
      </c>
      <c r="S190" t="n">
        <v>44758.43364894151</v>
      </c>
    </row>
    <row r="191">
      <c r="A191" s="1" t="n">
        <v>44938</v>
      </c>
      <c r="B191" t="inlineStr">
        <is>
          <t>MEXX</t>
        </is>
      </c>
      <c r="C191" t="inlineStr">
        <is>
          <t>EWW</t>
        </is>
      </c>
      <c r="D191" t="n">
        <v>51.17667388916016</v>
      </c>
      <c r="E191" t="n">
        <v>22.51949882507324</v>
      </c>
      <c r="F191" t="n">
        <v>9067</v>
      </c>
      <c r="G191" t="n">
        <v>-7657</v>
      </c>
      <c r="H191">
        <f>D191*F191</f>
        <v/>
      </c>
      <c r="I191">
        <f>E191*G191</f>
        <v/>
      </c>
      <c r="J191">
        <f>H191-I191</f>
        <v/>
      </c>
      <c r="K191" t="n">
        <v>0.0075</v>
      </c>
      <c r="L191" t="n">
        <v>6571.347541809082</v>
      </c>
      <c r="M191" t="n">
        <v>-7872.052270889282</v>
      </c>
      <c r="N191">
        <f>-I191*K191/252</f>
        <v/>
      </c>
      <c r="O191" t="n">
        <v>0</v>
      </c>
      <c r="P191" t="n">
        <v>37.5392501107284</v>
      </c>
      <c r="Q191" t="n">
        <v>0.0432</v>
      </c>
      <c r="R191" t="n">
        <v>0</v>
      </c>
      <c r="S191" t="n">
        <v>-1295.572830196165</v>
      </c>
    </row>
    <row r="192">
      <c r="A192" s="1" t="n">
        <v>44938</v>
      </c>
      <c r="B192" t="inlineStr">
        <is>
          <t>KORU</t>
        </is>
      </c>
      <c r="C192" t="inlineStr">
        <is>
          <t>EWY</t>
        </is>
      </c>
      <c r="D192" t="n">
        <v>57.67836380004883</v>
      </c>
      <c r="E192" t="n">
        <v>91.18874359130859</v>
      </c>
      <c r="F192" t="n">
        <v>12826</v>
      </c>
      <c r="G192" t="n">
        <v>-2951</v>
      </c>
      <c r="H192">
        <f>D192*F192</f>
        <v/>
      </c>
      <c r="I192">
        <f>E192*G192</f>
        <v/>
      </c>
      <c r="J192">
        <f>H192-I192</f>
        <v/>
      </c>
      <c r="K192" t="n">
        <v>0.0225</v>
      </c>
      <c r="L192" t="n">
        <v>5372.805450439453</v>
      </c>
      <c r="M192" t="n">
        <v>-5790.103713989258</v>
      </c>
      <c r="N192">
        <f>-I192*K192/252</f>
        <v/>
      </c>
      <c r="O192" t="n">
        <v>0</v>
      </c>
      <c r="P192" t="n">
        <v>183.4817636789594</v>
      </c>
      <c r="Q192" t="n">
        <v>0.0432</v>
      </c>
      <c r="R192" t="n">
        <v>0</v>
      </c>
      <c r="S192" t="n">
        <v>-393.2716579839162</v>
      </c>
    </row>
    <row r="193">
      <c r="A193" s="1" t="n">
        <v>44938</v>
      </c>
      <c r="B193" t="inlineStr">
        <is>
          <t>YINN</t>
        </is>
      </c>
      <c r="C193" t="inlineStr">
        <is>
          <t>FXI</t>
        </is>
      </c>
      <c r="D193" t="n">
        <v>29.39010047912598</v>
      </c>
      <c r="E193" t="n">
        <v>59.12521362304688</v>
      </c>
      <c r="F193" t="n">
        <v>35048</v>
      </c>
      <c r="G193" t="n">
        <v>-5995</v>
      </c>
      <c r="H193">
        <f>D193*F193</f>
        <v/>
      </c>
      <c r="I193">
        <f>E193*G193</f>
        <v/>
      </c>
      <c r="J193">
        <f>H193-I193</f>
        <v/>
      </c>
      <c r="K193" t="n">
        <v>-0.02</v>
      </c>
      <c r="L193" t="n">
        <v>-8790.009628295898</v>
      </c>
      <c r="M193" t="n">
        <v>9584.329700469971</v>
      </c>
      <c r="N193">
        <f>-I193*K193/252</f>
        <v/>
      </c>
      <c r="O193" t="n">
        <v>0</v>
      </c>
      <c r="P193" t="n">
        <v>-228.567454217275</v>
      </c>
      <c r="Q193" t="n">
        <v>0.0432</v>
      </c>
      <c r="R193" t="n">
        <v>0</v>
      </c>
      <c r="S193" t="n">
        <v>766.1886709304083</v>
      </c>
    </row>
    <row r="194">
      <c r="A194" s="1" t="n">
        <v>44938</v>
      </c>
      <c r="B194" t="inlineStr">
        <is>
          <t>JNUG</t>
        </is>
      </c>
      <c r="C194" t="inlineStr">
        <is>
          <t>GDXJ</t>
        </is>
      </c>
      <c r="D194" t="n">
        <v>37.74480438232422</v>
      </c>
      <c r="E194" t="n">
        <v>41.99540710449219</v>
      </c>
      <c r="F194" t="n">
        <v>13873</v>
      </c>
      <c r="G194" t="n">
        <v>-6362</v>
      </c>
      <c r="H194">
        <f>D194*F194</f>
        <v/>
      </c>
      <c r="I194">
        <f>E194*G194</f>
        <v/>
      </c>
      <c r="J194">
        <f>H194-I194</f>
        <v/>
      </c>
      <c r="K194" t="n">
        <v>-0.005</v>
      </c>
      <c r="L194" t="n">
        <v>10498.94990539551</v>
      </c>
      <c r="M194" t="n">
        <v>-9171.90113067627</v>
      </c>
      <c r="N194">
        <f>-I194*K194/252</f>
        <v/>
      </c>
      <c r="O194" t="n">
        <v>0</v>
      </c>
      <c r="P194" t="n">
        <v>-41.66724509012131</v>
      </c>
      <c r="Q194" t="n">
        <v>0.0432</v>
      </c>
      <c r="R194" t="n">
        <v>0</v>
      </c>
      <c r="S194" t="n">
        <v>1321.747687814502</v>
      </c>
    </row>
    <row r="195">
      <c r="A195" s="1" t="n">
        <v>44938</v>
      </c>
      <c r="B195" t="inlineStr">
        <is>
          <t>GDXU</t>
        </is>
      </c>
      <c r="C195" t="inlineStr">
        <is>
          <t>GDX</t>
        </is>
      </c>
      <c r="D195" t="n">
        <v>31.0671215057373</v>
      </c>
      <c r="E195" t="n">
        <v>58.45999908447267</v>
      </c>
      <c r="F195" t="n">
        <v>53192</v>
      </c>
      <c r="G195" t="n">
        <v>-9614</v>
      </c>
      <c r="H195">
        <f>D195*F195</f>
        <v/>
      </c>
      <c r="I195">
        <f>E195*G195</f>
        <v/>
      </c>
      <c r="J195">
        <f>H195-I195</f>
        <v/>
      </c>
      <c r="K195" t="n">
        <v>-0.005</v>
      </c>
      <c r="L195" t="n">
        <v>31325.05255126953</v>
      </c>
      <c r="M195" t="n">
        <v>-28457.43119812012</v>
      </c>
      <c r="N195">
        <f>-I195*K195/252</f>
        <v/>
      </c>
      <c r="O195" t="n">
        <v>0</v>
      </c>
      <c r="P195" t="n">
        <v>-86.91026395616079</v>
      </c>
      <c r="Q195" t="n">
        <v>0.0432</v>
      </c>
      <c r="R195" t="n">
        <v>0</v>
      </c>
      <c r="S195" t="n">
        <v>2856.469876339924</v>
      </c>
    </row>
    <row r="196">
      <c r="A196" s="1" t="n">
        <v>44938</v>
      </c>
      <c r="B196" t="inlineStr">
        <is>
          <t>NUGT</t>
        </is>
      </c>
      <c r="C196" t="inlineStr">
        <is>
          <t>GDX</t>
        </is>
      </c>
      <c r="D196" t="n">
        <v>31.0671215057373</v>
      </c>
      <c r="E196" t="n">
        <v>41.39323043823242</v>
      </c>
      <c r="F196" t="n">
        <v>15820</v>
      </c>
      <c r="G196" t="n">
        <v>-6136</v>
      </c>
      <c r="H196">
        <f>D196*F196</f>
        <v/>
      </c>
      <c r="I196">
        <f>E196*G196</f>
        <v/>
      </c>
      <c r="J196">
        <f>H196-I196</f>
        <v/>
      </c>
      <c r="K196" t="n">
        <v>-0.0175</v>
      </c>
      <c r="L196" t="n">
        <v>9316.482391357422</v>
      </c>
      <c r="M196" t="n">
        <v>-8957.360626220703</v>
      </c>
      <c r="N196">
        <f>-I196*K196/252</f>
        <v/>
      </c>
      <c r="O196" t="n">
        <v>0</v>
      </c>
      <c r="P196" t="n">
        <v>-136.8379735660553</v>
      </c>
      <c r="Q196" t="n">
        <v>0.0432</v>
      </c>
      <c r="R196" t="n">
        <v>0</v>
      </c>
      <c r="S196" t="n">
        <v>341.4836497222053</v>
      </c>
    </row>
    <row r="197">
      <c r="A197" s="1" t="n">
        <v>44938</v>
      </c>
      <c r="B197" t="inlineStr">
        <is>
          <t>GGLL</t>
        </is>
      </c>
      <c r="C197" t="inlineStr">
        <is>
          <t>GOOGL</t>
        </is>
      </c>
      <c r="D197" t="n">
        <v>90.38298034667969</v>
      </c>
      <c r="E197" t="n">
        <v>16.74776077270508</v>
      </c>
      <c r="F197" t="n">
        <v>20098</v>
      </c>
      <c r="G197" t="n">
        <v>-54856</v>
      </c>
      <c r="H197">
        <f>D197*F197</f>
        <v/>
      </c>
      <c r="I197">
        <f>E197*G197</f>
        <v/>
      </c>
      <c r="J197">
        <f>H197-I197</f>
        <v/>
      </c>
      <c r="K197" t="n">
        <v>0</v>
      </c>
      <c r="L197" t="n">
        <v>-7773.806793212891</v>
      </c>
      <c r="M197" t="n">
        <v>6304.765411376953</v>
      </c>
      <c r="N197">
        <f>-I197*K197/252</f>
        <v/>
      </c>
      <c r="O197" t="n">
        <v>0</v>
      </c>
      <c r="P197" t="n">
        <v>0</v>
      </c>
      <c r="Q197" t="n">
        <v>0.0432</v>
      </c>
      <c r="R197" t="n">
        <v>0</v>
      </c>
      <c r="S197" t="n">
        <v>-1469.041381835938</v>
      </c>
    </row>
    <row r="198">
      <c r="A198" s="1" t="n">
        <v>44938</v>
      </c>
      <c r="B198" t="inlineStr">
        <is>
          <t>CWEB</t>
        </is>
      </c>
      <c r="C198" t="inlineStr">
        <is>
          <t>KWEB</t>
        </is>
      </c>
      <c r="D198" t="n">
        <v>30.80018997192383</v>
      </c>
      <c r="E198" t="n">
        <v>58.57962036132812</v>
      </c>
      <c r="F198" t="n">
        <v>14605</v>
      </c>
      <c r="G198" t="n">
        <v>-3828</v>
      </c>
      <c r="H198">
        <f>D198*F198</f>
        <v/>
      </c>
      <c r="I198">
        <f>E198*G198</f>
        <v/>
      </c>
      <c r="J198">
        <f>H198-I198</f>
        <v/>
      </c>
      <c r="K198" t="n">
        <v>-0.02</v>
      </c>
      <c r="L198" t="n">
        <v>-6280.46088218689</v>
      </c>
      <c r="M198" t="n">
        <v>6824.480667114258</v>
      </c>
      <c r="N198">
        <f>-I198*K198/252</f>
        <v/>
      </c>
      <c r="O198" t="n">
        <v>0</v>
      </c>
      <c r="P198" t="n">
        <v>-148.1877734514267</v>
      </c>
      <c r="Q198" t="n">
        <v>0.0432</v>
      </c>
      <c r="R198" t="n">
        <v>0</v>
      </c>
      <c r="S198" t="n">
        <v>526.2227383604504</v>
      </c>
    </row>
    <row r="199">
      <c r="A199" s="1" t="n">
        <v>44938</v>
      </c>
      <c r="B199" t="inlineStr">
        <is>
          <t>FBL</t>
        </is>
      </c>
      <c r="C199" t="inlineStr">
        <is>
          <t>META</t>
        </is>
      </c>
      <c r="D199" t="n">
        <v>135.6455383300781</v>
      </c>
      <c r="E199" t="n">
        <v>4.174374103546143</v>
      </c>
      <c r="F199" t="n">
        <v>25964</v>
      </c>
      <c r="G199" t="n">
        <v>-441819</v>
      </c>
      <c r="H199">
        <f>D199*F199</f>
        <v/>
      </c>
      <c r="I199">
        <f>E199*G199</f>
        <v/>
      </c>
      <c r="J199">
        <f>H199-I199</f>
        <v/>
      </c>
      <c r="K199" t="n">
        <v>-0.01</v>
      </c>
      <c r="L199" t="n">
        <v>98410.12072753906</v>
      </c>
      <c r="M199" t="n">
        <v>-79656.69904661179</v>
      </c>
      <c r="N199">
        <f>-I199*K199/252</f>
        <v/>
      </c>
      <c r="O199" t="n">
        <v>0</v>
      </c>
      <c r="P199" t="n">
        <v>-543.6107561814785</v>
      </c>
      <c r="Q199" t="n">
        <v>0.0432</v>
      </c>
      <c r="R199" t="n">
        <v>0</v>
      </c>
      <c r="S199" t="n">
        <v>18680.23446695686</v>
      </c>
    </row>
    <row r="200">
      <c r="A200" s="1" t="n">
        <v>44938</v>
      </c>
      <c r="B200" t="inlineStr">
        <is>
          <t>MSFU</t>
        </is>
      </c>
      <c r="C200" t="inlineStr">
        <is>
          <t>MSFT</t>
        </is>
      </c>
      <c r="D200" t="n">
        <v>232.41015625</v>
      </c>
      <c r="E200" t="n">
        <v>18.59044647216797</v>
      </c>
      <c r="F200" t="n">
        <v>8314</v>
      </c>
      <c r="G200" t="n">
        <v>-53770</v>
      </c>
      <c r="H200">
        <f>D200*F200</f>
        <v/>
      </c>
      <c r="I200">
        <f>E200*G200</f>
        <v/>
      </c>
      <c r="J200">
        <f>H200-I200</f>
        <v/>
      </c>
      <c r="K200" t="n">
        <v>-0.005</v>
      </c>
      <c r="L200" t="n">
        <v>22197.60360717773</v>
      </c>
      <c r="M200" t="n">
        <v>-18031.36123657227</v>
      </c>
      <c r="N200">
        <f>-I200*K200/252</f>
        <v/>
      </c>
      <c r="O200" t="n">
        <v>0</v>
      </c>
      <c r="P200" t="n">
        <v>-148.559473488293</v>
      </c>
      <c r="Q200" t="n">
        <v>0.0432</v>
      </c>
      <c r="R200" t="n">
        <v>0</v>
      </c>
      <c r="S200" t="n">
        <v>4146.4088724545</v>
      </c>
    </row>
    <row r="201">
      <c r="A201" s="1" t="n">
        <v>44938</v>
      </c>
      <c r="B201" t="inlineStr">
        <is>
          <t>NVDL</t>
        </is>
      </c>
      <c r="C201" t="inlineStr">
        <is>
          <t>NVDA</t>
        </is>
      </c>
      <c r="D201" t="n">
        <v>16.49359321594238</v>
      </c>
      <c r="E201" t="n">
        <v>3.365260601043701</v>
      </c>
      <c r="F201" t="n">
        <v>307781</v>
      </c>
      <c r="G201" t="n">
        <v>-799366</v>
      </c>
      <c r="H201">
        <f>D201*F201</f>
        <v/>
      </c>
      <c r="I201">
        <f>E201*G201</f>
        <v/>
      </c>
      <c r="J201">
        <f>H201-I201</f>
        <v/>
      </c>
      <c r="K201" t="n">
        <v>0</v>
      </c>
      <c r="L201" t="n">
        <v>156802.8335666656</v>
      </c>
      <c r="M201" t="n">
        <v>-107192.0901312828</v>
      </c>
      <c r="N201">
        <f>-I201*K201/252</f>
        <v/>
      </c>
      <c r="O201" t="n">
        <v>0</v>
      </c>
      <c r="P201" t="n">
        <v>0</v>
      </c>
      <c r="Q201" t="n">
        <v>0.0432</v>
      </c>
      <c r="R201" t="n">
        <v>0</v>
      </c>
      <c r="S201" t="n">
        <v>49610.74343538278</v>
      </c>
    </row>
    <row r="202">
      <c r="A202" s="1" t="n">
        <v>44938</v>
      </c>
      <c r="B202" t="inlineStr">
        <is>
          <t>SOXL</t>
        </is>
      </c>
      <c r="C202" t="inlineStr">
        <is>
          <t>SOXX</t>
        </is>
      </c>
      <c r="D202" t="n">
        <v>125.248779296875</v>
      </c>
      <c r="E202" t="n">
        <v>12.54456329345703</v>
      </c>
      <c r="F202" t="n">
        <v>8941</v>
      </c>
      <c r="G202" t="n">
        <v>-33586</v>
      </c>
      <c r="H202">
        <f>D202*F202</f>
        <v/>
      </c>
      <c r="I202">
        <f>E202*G202</f>
        <v/>
      </c>
      <c r="J202">
        <f>H202-I202</f>
        <v/>
      </c>
      <c r="K202" t="n">
        <v>-0.0175</v>
      </c>
      <c r="L202" t="n">
        <v>13451.40543365479</v>
      </c>
      <c r="M202" t="n">
        <v>-13802.98964309692</v>
      </c>
      <c r="N202">
        <f>-I202*K202/252</f>
        <v/>
      </c>
      <c r="O202" t="n">
        <v>0</v>
      </c>
      <c r="P202" t="n">
        <v>-211.317530130148</v>
      </c>
      <c r="Q202" t="n">
        <v>0.0432</v>
      </c>
      <c r="R202" t="n">
        <v>0</v>
      </c>
      <c r="S202" t="n">
        <v>-380.8426610236607</v>
      </c>
    </row>
    <row r="203">
      <c r="A203" s="1" t="n">
        <v>44938</v>
      </c>
      <c r="B203" t="inlineStr">
        <is>
          <t>SOXS</t>
        </is>
      </c>
      <c r="C203" t="inlineStr">
        <is>
          <t>SOXX</t>
        </is>
      </c>
      <c r="D203" t="n">
        <v>-0</v>
      </c>
      <c r="E203" t="n">
        <v>-0</v>
      </c>
      <c r="F203" t="n">
        <v>-6997</v>
      </c>
      <c r="G203" t="n">
        <v>-37</v>
      </c>
      <c r="H203">
        <f>D203*F203</f>
        <v/>
      </c>
      <c r="I203">
        <f>E203*G203</f>
        <v/>
      </c>
      <c r="J203">
        <f>H203-I203</f>
        <v/>
      </c>
      <c r="K203" t="n">
        <v>0.07000000000000001</v>
      </c>
      <c r="L203" t="n">
        <v>-10526.72898101807</v>
      </c>
      <c r="M203" t="n">
        <v>6245.10498046875</v>
      </c>
      <c r="N203">
        <f>-I203*K203/252</f>
        <v/>
      </c>
      <c r="O203" t="n">
        <v>0</v>
      </c>
      <c r="P203" t="n">
        <v>0</v>
      </c>
      <c r="Q203" t="n">
        <v>0.0432</v>
      </c>
      <c r="R203" t="n">
        <v>0</v>
      </c>
      <c r="S203" t="n">
        <v>-4281.62400054932</v>
      </c>
    </row>
    <row r="204">
      <c r="A204" s="1" t="n">
        <v>44938</v>
      </c>
      <c r="B204" t="inlineStr">
        <is>
          <t>HIBL</t>
        </is>
      </c>
      <c r="C204" t="inlineStr">
        <is>
          <t>SPHB</t>
        </is>
      </c>
      <c r="D204" t="n">
        <v>66.57328796386719</v>
      </c>
      <c r="E204" t="n">
        <v>29.56515693664551</v>
      </c>
      <c r="F204" t="n">
        <v>6521</v>
      </c>
      <c r="G204" t="n">
        <v>-5410</v>
      </c>
      <c r="H204">
        <f>D204*F204</f>
        <v/>
      </c>
      <c r="I204">
        <f>E204*G204</f>
        <v/>
      </c>
      <c r="J204">
        <f>H204-I204</f>
        <v/>
      </c>
      <c r="K204" t="n">
        <v>0.12</v>
      </c>
      <c r="L204" t="n">
        <v>4068.659820556641</v>
      </c>
      <c r="M204" t="n">
        <v>-4927.040939331055</v>
      </c>
      <c r="N204">
        <f>-I204*K204/252</f>
        <v/>
      </c>
      <c r="O204" t="n">
        <v>0</v>
      </c>
      <c r="P204" t="n">
        <v>554.2242898023696</v>
      </c>
      <c r="Q204" t="n">
        <v>0.0432</v>
      </c>
      <c r="R204" t="n">
        <v>0</v>
      </c>
      <c r="S204" t="n">
        <v>-782.2156430471507</v>
      </c>
    </row>
    <row r="205">
      <c r="A205" s="1" t="n">
        <v>44938</v>
      </c>
      <c r="B205" t="inlineStr">
        <is>
          <t>TSLL</t>
        </is>
      </c>
      <c r="C205" t="inlineStr">
        <is>
          <t>TSLA</t>
        </is>
      </c>
      <c r="D205" t="n">
        <v>123.5599975585938</v>
      </c>
      <c r="E205" t="n">
        <v>5.359315872192383</v>
      </c>
      <c r="F205" t="n">
        <v>16893</v>
      </c>
      <c r="G205" t="n">
        <v>-207812</v>
      </c>
      <c r="H205">
        <f>D205*F205</f>
        <v/>
      </c>
      <c r="I205">
        <f>E205*G205</f>
        <v/>
      </c>
      <c r="J205">
        <f>H205-I205</f>
        <v/>
      </c>
      <c r="K205" t="n">
        <v>0.01</v>
      </c>
      <c r="L205" t="n">
        <v>5743.558135986328</v>
      </c>
      <c r="M205" t="n">
        <v>-3598.642631530762</v>
      </c>
      <c r="N205">
        <f>-I205*K205/252</f>
        <v/>
      </c>
      <c r="O205" t="n">
        <v>0</v>
      </c>
      <c r="P205" t="n">
        <v>324.1489609507152</v>
      </c>
      <c r="Q205" t="n">
        <v>0.0432</v>
      </c>
      <c r="R205" t="n">
        <v>0</v>
      </c>
      <c r="S205" t="n">
        <v>2189.111145329854</v>
      </c>
    </row>
    <row r="206">
      <c r="A206" s="1" t="n">
        <v>44938</v>
      </c>
      <c r="B206" t="inlineStr">
        <is>
          <t>TSLQ</t>
        </is>
      </c>
      <c r="C206" t="inlineStr">
        <is>
          <t>TSLA</t>
        </is>
      </c>
      <c r="D206" t="n">
        <v>-0</v>
      </c>
      <c r="E206" t="n">
        <v>-0</v>
      </c>
      <c r="F206" t="n">
        <v>-6277</v>
      </c>
      <c r="G206" t="n">
        <v>-302</v>
      </c>
      <c r="H206">
        <f>D206*F206</f>
        <v/>
      </c>
      <c r="I206">
        <f>E206*G206</f>
        <v/>
      </c>
      <c r="J206">
        <f>H206-I206</f>
        <v/>
      </c>
      <c r="K206" t="n">
        <v>-0.02</v>
      </c>
      <c r="L206" t="n">
        <v>-2134.157012939453</v>
      </c>
      <c r="M206" t="n">
        <v>446.696044921875</v>
      </c>
      <c r="N206">
        <f>-I206*K206/252</f>
        <v/>
      </c>
      <c r="O206" t="n">
        <v>0</v>
      </c>
      <c r="P206" t="n">
        <v>0</v>
      </c>
      <c r="Q206" t="n">
        <v>0.0432</v>
      </c>
      <c r="R206" t="n">
        <v>0</v>
      </c>
      <c r="S206" t="n">
        <v>-1687.460968017578</v>
      </c>
    </row>
    <row r="207">
      <c r="A207" s="1" t="n">
        <v>44938</v>
      </c>
      <c r="B207" t="inlineStr">
        <is>
          <t>LABU</t>
        </is>
      </c>
      <c r="C207" t="inlineStr">
        <is>
          <t>XBI</t>
        </is>
      </c>
      <c r="D207" t="n">
        <v>87.45077514648438</v>
      </c>
      <c r="E207" t="n">
        <v>162.0487976074219</v>
      </c>
      <c r="F207" t="n">
        <v>3382</v>
      </c>
      <c r="G207" t="n">
        <v>-676</v>
      </c>
      <c r="H207">
        <f>D207*F207</f>
        <v/>
      </c>
      <c r="I207">
        <f>E207*G207</f>
        <v/>
      </c>
      <c r="J207">
        <f>H207-I207</f>
        <v/>
      </c>
      <c r="K207" t="n">
        <v>0.1</v>
      </c>
      <c r="L207" t="n">
        <v>11908.39582824707</v>
      </c>
      <c r="M207" t="n">
        <v>-12083.14929199219</v>
      </c>
      <c r="N207">
        <f>-I207*K207/252</f>
        <v/>
      </c>
      <c r="O207" t="n">
        <v>0</v>
      </c>
      <c r="P207" t="n">
        <v>306.1068262978206</v>
      </c>
      <c r="Q207" t="n">
        <v>0.0432</v>
      </c>
      <c r="R207" t="n">
        <v>0</v>
      </c>
      <c r="S207" t="n">
        <v>-131.2832307361439</v>
      </c>
    </row>
    <row r="208">
      <c r="A208" s="1" t="n">
        <v>44938</v>
      </c>
      <c r="B208" t="inlineStr">
        <is>
          <t>ERX</t>
        </is>
      </c>
      <c r="C208" t="inlineStr">
        <is>
          <t>XLE</t>
        </is>
      </c>
      <c r="D208" t="n">
        <v>40.31010818481445</v>
      </c>
      <c r="E208" t="n">
        <v>63.88770294189453</v>
      </c>
      <c r="F208" t="n">
        <v>1856</v>
      </c>
      <c r="G208" t="n">
        <v>-604</v>
      </c>
      <c r="H208">
        <f>D208*F208</f>
        <v/>
      </c>
      <c r="I208">
        <f>E208*G208</f>
        <v/>
      </c>
      <c r="J208">
        <f>H208-I208</f>
        <v/>
      </c>
      <c r="K208" t="n">
        <v>0.12</v>
      </c>
      <c r="L208" t="n">
        <v>1399.36328125</v>
      </c>
      <c r="M208" t="n">
        <v>-1415.673385620117</v>
      </c>
      <c r="N208">
        <f>-I208*K208/252</f>
        <v/>
      </c>
      <c r="O208" t="n">
        <v>0</v>
      </c>
      <c r="P208" t="n">
        <v>140.3261199115572</v>
      </c>
      <c r="Q208" t="n">
        <v>0.0432</v>
      </c>
      <c r="R208" t="n">
        <v>0</v>
      </c>
      <c r="S208" t="n">
        <v>2.065215904599373</v>
      </c>
    </row>
    <row r="209">
      <c r="A209" s="1" t="n">
        <v>44938</v>
      </c>
      <c r="B209" t="inlineStr">
        <is>
          <t>GUSH</t>
        </is>
      </c>
      <c r="C209" t="inlineStr">
        <is>
          <t>XOP</t>
        </is>
      </c>
      <c r="D209" t="n">
        <v>127.6475372314453</v>
      </c>
      <c r="E209" t="n">
        <v>34.44285202026367</v>
      </c>
      <c r="F209" t="n">
        <v>3057</v>
      </c>
      <c r="G209" t="n">
        <v>-6059</v>
      </c>
      <c r="H209">
        <f>D209*F209</f>
        <v/>
      </c>
      <c r="I209">
        <f>E209*G209</f>
        <v/>
      </c>
      <c r="J209">
        <f>H209-I209</f>
        <v/>
      </c>
      <c r="K209" t="n">
        <v>-0.01</v>
      </c>
      <c r="L209" t="n">
        <v>11196.58435821533</v>
      </c>
      <c r="M209" t="n">
        <v>-11559.79188156128</v>
      </c>
      <c r="N209">
        <f>-I209*K209/252</f>
        <v/>
      </c>
      <c r="O209" t="n">
        <v>0</v>
      </c>
      <c r="P209" t="n">
        <v>-60.51708870024908</v>
      </c>
      <c r="Q209" t="n">
        <v>0.0432</v>
      </c>
      <c r="R209" t="n">
        <v>0</v>
      </c>
      <c r="S209" t="n">
        <v>-371.4888424090752</v>
      </c>
    </row>
    <row r="210">
      <c r="A210" s="1" t="n">
        <v>44939</v>
      </c>
      <c r="B210" t="inlineStr">
        <is>
          <t>AAPB</t>
        </is>
      </c>
      <c r="C210" t="inlineStr">
        <is>
          <t>AAPL</t>
        </is>
      </c>
      <c r="D210" t="n">
        <v>132.6330718994141</v>
      </c>
      <c r="E210" t="n">
        <v>13.19863128662109</v>
      </c>
      <c r="F210" t="n">
        <v>9028</v>
      </c>
      <c r="G210" t="n">
        <v>-47878</v>
      </c>
      <c r="H210">
        <f>D210*F210</f>
        <v/>
      </c>
      <c r="I210">
        <f>E210*G210</f>
        <v/>
      </c>
      <c r="J210">
        <f>H210-I210</f>
        <v/>
      </c>
      <c r="K210" t="n">
        <v>-0.005</v>
      </c>
      <c r="L210" t="n">
        <v>11995.13397216797</v>
      </c>
      <c r="M210" t="n">
        <v>-10287.1566028595</v>
      </c>
      <c r="N210">
        <f>-I210*K210/252</f>
        <v/>
      </c>
      <c r="O210" t="n">
        <v>1</v>
      </c>
      <c r="P210" t="n">
        <v>-106.0857052176339</v>
      </c>
      <c r="Q210" t="n">
        <v>0.0432</v>
      </c>
      <c r="R210" t="n">
        <v>0</v>
      </c>
      <c r="S210" t="n">
        <v>1695.43919334139</v>
      </c>
    </row>
    <row r="211">
      <c r="A211" s="1" t="n">
        <v>44939</v>
      </c>
      <c r="B211" t="inlineStr">
        <is>
          <t>AAPU</t>
        </is>
      </c>
      <c r="C211" t="inlineStr">
        <is>
          <t>AAPL</t>
        </is>
      </c>
      <c r="D211" t="n">
        <v>132.6330718994141</v>
      </c>
      <c r="E211" t="n">
        <v>13.51885986328125</v>
      </c>
      <c r="F211" t="n">
        <v>7633</v>
      </c>
      <c r="G211" t="n">
        <v>-38936</v>
      </c>
      <c r="H211">
        <f>D211*F211</f>
        <v/>
      </c>
      <c r="I211">
        <f>E211*G211</f>
        <v/>
      </c>
      <c r="J211">
        <f>H211-I211</f>
        <v/>
      </c>
      <c r="K211" t="n">
        <v>0.02</v>
      </c>
      <c r="L211" t="n">
        <v>10141.65458679199</v>
      </c>
      <c r="M211" t="n">
        <v>-6316.420761108398</v>
      </c>
      <c r="N211">
        <f>-I211*K211/252</f>
        <v/>
      </c>
      <c r="O211" t="n">
        <v>1</v>
      </c>
      <c r="P211" t="n">
        <v>356.9292088493468</v>
      </c>
      <c r="Q211" t="n">
        <v>0.0432</v>
      </c>
      <c r="R211" t="n">
        <v>0</v>
      </c>
      <c r="S211" t="n">
        <v>3867.009248511903</v>
      </c>
    </row>
    <row r="212">
      <c r="A212" s="1" t="n">
        <v>44939</v>
      </c>
      <c r="B212" t="inlineStr">
        <is>
          <t>AMZU</t>
        </is>
      </c>
      <c r="C212" t="inlineStr">
        <is>
          <t>AMZN</t>
        </is>
      </c>
      <c r="D212" t="n">
        <v>98.12000274658203</v>
      </c>
      <c r="E212" t="n">
        <v>14.02312183380127</v>
      </c>
      <c r="F212" t="n">
        <v>27599</v>
      </c>
      <c r="G212" t="n">
        <v>-103312</v>
      </c>
      <c r="H212">
        <f>D212*F212</f>
        <v/>
      </c>
      <c r="I212">
        <f>E212*G212</f>
        <v/>
      </c>
      <c r="J212">
        <f>H212-I212</f>
        <v/>
      </c>
      <c r="K212" t="n">
        <v>-0.0025</v>
      </c>
      <c r="L212" t="n">
        <v>78657.31845092773</v>
      </c>
      <c r="M212" t="n">
        <v>-63366.11079406738</v>
      </c>
      <c r="N212">
        <f>-I212*K212/252</f>
        <v/>
      </c>
      <c r="O212" t="n">
        <v>1</v>
      </c>
      <c r="P212" t="n">
        <v>-113.1293821349977</v>
      </c>
      <c r="Q212" t="n">
        <v>0.0432</v>
      </c>
      <c r="R212" t="n">
        <v>0</v>
      </c>
      <c r="S212" t="n">
        <v>15276.83506992688</v>
      </c>
    </row>
    <row r="213">
      <c r="A213" s="1" t="n">
        <v>44939</v>
      </c>
      <c r="B213" t="inlineStr">
        <is>
          <t>TARK</t>
        </is>
      </c>
      <c r="C213" t="inlineStr">
        <is>
          <t>ARKK</t>
        </is>
      </c>
      <c r="D213" t="n">
        <v>35.69233322143555</v>
      </c>
      <c r="E213" t="n">
        <v>21.46755027770996</v>
      </c>
      <c r="F213" t="n">
        <v>20537</v>
      </c>
      <c r="G213" t="n">
        <v>-20077</v>
      </c>
      <c r="H213">
        <f>D213*F213</f>
        <v/>
      </c>
      <c r="I213">
        <f>E213*G213</f>
        <v/>
      </c>
      <c r="J213">
        <f>H213-I213</f>
        <v/>
      </c>
      <c r="K213" t="n">
        <v>-0.02</v>
      </c>
      <c r="L213" t="n">
        <v>10183.57679748535</v>
      </c>
      <c r="M213" t="n">
        <v>-10218.9405670166</v>
      </c>
      <c r="N213">
        <f>-I213*K213/252</f>
        <v/>
      </c>
      <c r="O213" t="n">
        <v>1</v>
      </c>
      <c r="P213" t="n">
        <v>-261.7561821519004</v>
      </c>
      <c r="Q213" t="n">
        <v>0.0432</v>
      </c>
      <c r="R213" t="n">
        <v>0</v>
      </c>
      <c r="S213" t="n">
        <v>-69.57043674756611</v>
      </c>
    </row>
    <row r="214">
      <c r="A214" s="1" t="n">
        <v>44939</v>
      </c>
      <c r="B214" t="inlineStr">
        <is>
          <t>CHAU</t>
        </is>
      </c>
      <c r="C214" t="inlineStr">
        <is>
          <t>ASHR</t>
        </is>
      </c>
      <c r="D214" t="n">
        <v>29.07268524169922</v>
      </c>
      <c r="E214" t="n">
        <v>22.38747215270996</v>
      </c>
      <c r="F214" t="n">
        <v>5713</v>
      </c>
      <c r="G214" t="n">
        <v>-3898</v>
      </c>
      <c r="H214">
        <f>D214*F214</f>
        <v/>
      </c>
      <c r="I214">
        <f>E214*G214</f>
        <v/>
      </c>
      <c r="J214">
        <f>H214-I214</f>
        <v/>
      </c>
      <c r="K214" t="n">
        <v>-0.01</v>
      </c>
      <c r="L214" t="n">
        <v>2476.576259613037</v>
      </c>
      <c r="M214" t="n">
        <v>-2393.291465759277</v>
      </c>
      <c r="N214">
        <f>-I214*K214/252</f>
        <v/>
      </c>
      <c r="O214" t="n">
        <v>1</v>
      </c>
      <c r="P214" t="n">
        <v>-29.6140557999838</v>
      </c>
      <c r="Q214" t="n">
        <v>0.0432</v>
      </c>
      <c r="R214" t="n">
        <v>0</v>
      </c>
      <c r="S214" t="n">
        <v>79.82184280410691</v>
      </c>
    </row>
    <row r="215">
      <c r="A215" s="1" t="n">
        <v>44939</v>
      </c>
      <c r="B215" t="inlineStr">
        <is>
          <t>BABX</t>
        </is>
      </c>
      <c r="C215" t="inlineStr">
        <is>
          <t>BABA</t>
        </is>
      </c>
      <c r="D215" t="n">
        <v>111.1238174438477</v>
      </c>
      <c r="E215" t="n">
        <v>39.01200103759766</v>
      </c>
      <c r="F215" t="n">
        <v>5330</v>
      </c>
      <c r="G215" t="n">
        <v>-8035</v>
      </c>
      <c r="H215">
        <f>D215*F215</f>
        <v/>
      </c>
      <c r="I215">
        <f>E215*G215</f>
        <v/>
      </c>
      <c r="J215">
        <f>H215-I215</f>
        <v/>
      </c>
      <c r="K215" t="n">
        <v>-0.0275</v>
      </c>
      <c r="L215" t="n">
        <v>19538.80599975586</v>
      </c>
      <c r="M215" t="n">
        <v>-17291.32343292236</v>
      </c>
      <c r="N215">
        <f>-I215*K215/252</f>
        <v/>
      </c>
      <c r="O215" t="n">
        <v>1</v>
      </c>
      <c r="P215" t="n">
        <v>-284.9316887766596</v>
      </c>
      <c r="Q215" t="n">
        <v>0.0432</v>
      </c>
      <c r="R215" t="n">
        <v>0</v>
      </c>
      <c r="S215" t="n">
        <v>2213.275466518935</v>
      </c>
    </row>
    <row r="216">
      <c r="A216" s="1" t="n">
        <v>44939</v>
      </c>
      <c r="B216" t="inlineStr">
        <is>
          <t>CONL</t>
        </is>
      </c>
      <c r="C216" t="inlineStr">
        <is>
          <t>COIN</t>
        </is>
      </c>
      <c r="D216" t="n">
        <v>49.97999954223633</v>
      </c>
      <c r="E216" t="n">
        <v>7.431586265563965</v>
      </c>
      <c r="F216" t="n">
        <v>98778</v>
      </c>
      <c r="G216" t="n">
        <v>-394919</v>
      </c>
      <c r="H216">
        <f>D216*F216</f>
        <v/>
      </c>
      <c r="I216">
        <f>E216*G216</f>
        <v/>
      </c>
      <c r="J216">
        <f>H216-I216</f>
        <v/>
      </c>
      <c r="K216" t="n">
        <v>0.03</v>
      </c>
      <c r="L216" t="n">
        <v>240030.5701446533</v>
      </c>
      <c r="M216" t="n">
        <v>-196971.3951568604</v>
      </c>
      <c r="N216">
        <f>-I216*K216/252</f>
        <v/>
      </c>
      <c r="O216" t="n">
        <v>1</v>
      </c>
      <c r="P216" t="n">
        <v>2308.599224884907</v>
      </c>
      <c r="Q216" t="n">
        <v>0.0432</v>
      </c>
      <c r="R216" t="n">
        <v>0</v>
      </c>
      <c r="S216" t="n">
        <v>43408.56482307982</v>
      </c>
    </row>
    <row r="217">
      <c r="A217" s="1" t="n">
        <v>44939</v>
      </c>
      <c r="B217" t="inlineStr">
        <is>
          <t>MEXX</t>
        </is>
      </c>
      <c r="C217" t="inlineStr">
        <is>
          <t>EWW</t>
        </is>
      </c>
      <c r="D217" t="n">
        <v>51.34880447387695</v>
      </c>
      <c r="E217" t="n">
        <v>22.89287757873535</v>
      </c>
      <c r="F217" t="n">
        <v>9067</v>
      </c>
      <c r="G217" t="n">
        <v>-7657</v>
      </c>
      <c r="H217">
        <f>D217*F217</f>
        <v/>
      </c>
      <c r="I217">
        <f>E217*G217</f>
        <v/>
      </c>
      <c r="J217">
        <f>H217-I217</f>
        <v/>
      </c>
      <c r="K217" t="n">
        <v>0.0075</v>
      </c>
      <c r="L217" t="n">
        <v>1560.708011627197</v>
      </c>
      <c r="M217" t="n">
        <v>-2858.961116790771</v>
      </c>
      <c r="N217">
        <f>-I217*K217/252</f>
        <v/>
      </c>
      <c r="O217" t="n">
        <v>1</v>
      </c>
      <c r="P217" t="n">
        <v>42.75623712323961</v>
      </c>
      <c r="Q217" t="n">
        <v>0.0432</v>
      </c>
      <c r="R217" t="n">
        <v>0</v>
      </c>
      <c r="S217" t="n">
        <v>-1293.036118151063</v>
      </c>
    </row>
    <row r="218">
      <c r="A218" s="1" t="n">
        <v>44939</v>
      </c>
      <c r="B218" t="inlineStr">
        <is>
          <t>KORU</t>
        </is>
      </c>
      <c r="C218" t="inlineStr">
        <is>
          <t>EWY</t>
        </is>
      </c>
      <c r="D218" t="n">
        <v>58.10657501220703</v>
      </c>
      <c r="E218" t="n">
        <v>93.15078735351562</v>
      </c>
      <c r="F218" t="n">
        <v>12826</v>
      </c>
      <c r="G218" t="n">
        <v>-2951</v>
      </c>
      <c r="H218">
        <f>D218*F218</f>
        <v/>
      </c>
      <c r="I218">
        <f>E218*G218</f>
        <v/>
      </c>
      <c r="J218">
        <f>H218-I218</f>
        <v/>
      </c>
      <c r="K218" t="n">
        <v>0.0225</v>
      </c>
      <c r="L218" t="n">
        <v>5492.237007141113</v>
      </c>
      <c r="M218" t="n">
        <v>-5789.991142272949</v>
      </c>
      <c r="N218">
        <f>-I218*K218/252</f>
        <v/>
      </c>
      <c r="O218" t="n">
        <v>1</v>
      </c>
      <c r="P218" t="n">
        <v>208.0253327396938</v>
      </c>
      <c r="Q218" t="n">
        <v>0.0432</v>
      </c>
      <c r="R218" t="n">
        <v>0</v>
      </c>
      <c r="S218" t="n">
        <v>-273.2105660711016</v>
      </c>
    </row>
    <row r="219">
      <c r="A219" s="1" t="n">
        <v>44939</v>
      </c>
      <c r="B219" t="inlineStr">
        <is>
          <t>YINN</t>
        </is>
      </c>
      <c r="C219" t="inlineStr">
        <is>
          <t>FXI</t>
        </is>
      </c>
      <c r="D219" t="n">
        <v>29.80809783935547</v>
      </c>
      <c r="E219" t="n">
        <v>61.59342575073242</v>
      </c>
      <c r="F219" t="n">
        <v>35048</v>
      </c>
      <c r="G219" t="n">
        <v>-5995</v>
      </c>
      <c r="H219">
        <f>D219*F219</f>
        <v/>
      </c>
      <c r="I219">
        <f>E219*G219</f>
        <v/>
      </c>
      <c r="J219">
        <f>H219-I219</f>
        <v/>
      </c>
      <c r="K219" t="n">
        <v>-0.02</v>
      </c>
      <c r="L219" t="n">
        <v>14649.97148132324</v>
      </c>
      <c r="M219" t="n">
        <v>-14796.93170547485</v>
      </c>
      <c r="N219">
        <f>-I219*K219/252</f>
        <v/>
      </c>
      <c r="O219" t="n">
        <v>1</v>
      </c>
      <c r="P219" t="n">
        <v>-257.8732151201036</v>
      </c>
      <c r="Q219" t="n">
        <v>0.0432</v>
      </c>
      <c r="R219" t="n">
        <v>0</v>
      </c>
      <c r="S219" t="n">
        <v>-176.2659850544381</v>
      </c>
    </row>
    <row r="220">
      <c r="A220" s="1" t="n">
        <v>44939</v>
      </c>
      <c r="B220" t="inlineStr">
        <is>
          <t>JNUG</t>
        </is>
      </c>
      <c r="C220" t="inlineStr">
        <is>
          <t>GDXJ</t>
        </is>
      </c>
      <c r="D220" t="n">
        <v>38.21780014038086</v>
      </c>
      <c r="E220" t="n">
        <v>43.08132553100586</v>
      </c>
      <c r="F220" t="n">
        <v>13873</v>
      </c>
      <c r="G220" t="n">
        <v>-6362</v>
      </c>
      <c r="H220">
        <f>D220*F220</f>
        <v/>
      </c>
      <c r="I220">
        <f>E220*G220</f>
        <v/>
      </c>
      <c r="J220">
        <f>H220-I220</f>
        <v/>
      </c>
      <c r="K220" t="n">
        <v>-0.005</v>
      </c>
      <c r="L220" t="n">
        <v>6561.870151519775</v>
      </c>
      <c r="M220" t="n">
        <v>-6908.61302947998</v>
      </c>
      <c r="N220">
        <f>-I220*K220/252</f>
        <v/>
      </c>
      <c r="O220" t="n">
        <v>1</v>
      </c>
      <c r="P220" t="n">
        <v>-47.10540765020582</v>
      </c>
      <c r="Q220" t="n">
        <v>0.0432</v>
      </c>
      <c r="R220" t="n">
        <v>0</v>
      </c>
      <c r="S220" t="n">
        <v>-352.1810405202887</v>
      </c>
    </row>
    <row r="221">
      <c r="A221" s="1" t="n">
        <v>44939</v>
      </c>
      <c r="B221" t="inlineStr">
        <is>
          <t>GDXU</t>
        </is>
      </c>
      <c r="C221" t="inlineStr">
        <is>
          <t>GDX</t>
        </is>
      </c>
      <c r="D221" t="n">
        <v>31.52087020874023</v>
      </c>
      <c r="E221" t="n">
        <v>60.90000152587892</v>
      </c>
      <c r="F221" t="n">
        <v>53192</v>
      </c>
      <c r="G221" t="n">
        <v>-9614</v>
      </c>
      <c r="H221">
        <f>D221*F221</f>
        <v/>
      </c>
      <c r="I221">
        <f>E221*G221</f>
        <v/>
      </c>
      <c r="J221">
        <f>H221-I221</f>
        <v/>
      </c>
      <c r="K221" t="n">
        <v>-0.005</v>
      </c>
      <c r="L221" t="n">
        <v>24135.80101013184</v>
      </c>
      <c r="M221" t="n">
        <v>-23458.18347167969</v>
      </c>
      <c r="N221">
        <f>-I221*K221/252</f>
        <v/>
      </c>
      <c r="O221" t="n">
        <v>1</v>
      </c>
      <c r="P221" t="n">
        <v>-98.52718091389491</v>
      </c>
      <c r="Q221" t="n">
        <v>0.0432</v>
      </c>
      <c r="R221" t="n">
        <v>0</v>
      </c>
      <c r="S221" t="n">
        <v>666.0006214944143</v>
      </c>
    </row>
    <row r="222">
      <c r="A222" s="1" t="n">
        <v>44939</v>
      </c>
      <c r="B222" t="inlineStr">
        <is>
          <t>NUGT</t>
        </is>
      </c>
      <c r="C222" t="inlineStr">
        <is>
          <t>GDX</t>
        </is>
      </c>
      <c r="D222" t="n">
        <v>31.52087020874023</v>
      </c>
      <c r="E222" t="n">
        <v>42.57452774047852</v>
      </c>
      <c r="F222" t="n">
        <v>15820</v>
      </c>
      <c r="G222" t="n">
        <v>-6136</v>
      </c>
      <c r="H222">
        <f>D222*F222</f>
        <v/>
      </c>
      <c r="I222">
        <f>E222*G222</f>
        <v/>
      </c>
      <c r="J222">
        <f>H222-I222</f>
        <v/>
      </c>
      <c r="K222" t="n">
        <v>-0.0175</v>
      </c>
      <c r="L222" t="n">
        <v>7178.304481506348</v>
      </c>
      <c r="M222" t="n">
        <v>-7248.440246582031</v>
      </c>
      <c r="N222">
        <f>-I222*K222/252</f>
        <v/>
      </c>
      <c r="O222" t="n">
        <v>1</v>
      </c>
      <c r="P222" t="n">
        <v>-154.9794528865814</v>
      </c>
      <c r="Q222" t="n">
        <v>0.0432</v>
      </c>
      <c r="R222" t="n">
        <v>0</v>
      </c>
      <c r="S222" t="n">
        <v>-88.27724439620972</v>
      </c>
    </row>
    <row r="223">
      <c r="A223" s="1" t="n">
        <v>44939</v>
      </c>
      <c r="B223" t="inlineStr">
        <is>
          <t>GGLL</t>
        </is>
      </c>
      <c r="C223" t="inlineStr">
        <is>
          <t>GOOGL</t>
        </is>
      </c>
      <c r="D223" t="n">
        <v>91.3648681640625</v>
      </c>
      <c r="E223" t="n">
        <v>17.00970458984375</v>
      </c>
      <c r="F223" t="n">
        <v>20098</v>
      </c>
      <c r="G223" t="n">
        <v>-54856</v>
      </c>
      <c r="H223">
        <f>D223*F223</f>
        <v/>
      </c>
      <c r="I223">
        <f>E223*G223</f>
        <v/>
      </c>
      <c r="J223">
        <f>H223-I223</f>
        <v/>
      </c>
      <c r="K223" t="n">
        <v>0</v>
      </c>
      <c r="L223" t="n">
        <v>19733.98135375977</v>
      </c>
      <c r="M223" t="n">
        <v>-14369.19003295898</v>
      </c>
      <c r="N223">
        <f>-I223*K223/252</f>
        <v/>
      </c>
      <c r="O223" t="n">
        <v>1</v>
      </c>
      <c r="P223" t="n">
        <v>0</v>
      </c>
      <c r="Q223" t="n">
        <v>0.0432</v>
      </c>
      <c r="R223" t="n">
        <v>0</v>
      </c>
      <c r="S223" t="n">
        <v>5364.791320800789</v>
      </c>
    </row>
    <row r="224">
      <c r="A224" s="1" t="n">
        <v>44939</v>
      </c>
      <c r="B224" t="inlineStr">
        <is>
          <t>CWEB</t>
        </is>
      </c>
      <c r="C224" t="inlineStr">
        <is>
          <t>KWEB</t>
        </is>
      </c>
      <c r="D224" t="n">
        <v>31.6960620880127</v>
      </c>
      <c r="E224" t="n">
        <v>61.83905029296875</v>
      </c>
      <c r="F224" t="n">
        <v>14605</v>
      </c>
      <c r="G224" t="n">
        <v>-3828</v>
      </c>
      <c r="H224">
        <f>D224*F224</f>
        <v/>
      </c>
      <c r="I224">
        <f>E224*G224</f>
        <v/>
      </c>
      <c r="J224">
        <f>H224-I224</f>
        <v/>
      </c>
      <c r="K224" t="n">
        <v>-0.02</v>
      </c>
      <c r="L224" t="n">
        <v>13084.21225547791</v>
      </c>
      <c r="M224" t="n">
        <v>-12477.09777832031</v>
      </c>
      <c r="N224">
        <f>-I224*K224/252</f>
        <v/>
      </c>
      <c r="O224" t="n">
        <v>1</v>
      </c>
      <c r="P224" t="n">
        <v>-166.9750658737667</v>
      </c>
      <c r="Q224" t="n">
        <v>0.0432</v>
      </c>
      <c r="R224" t="n">
        <v>0</v>
      </c>
      <c r="S224" t="n">
        <v>588.3271847352601</v>
      </c>
    </row>
    <row r="225">
      <c r="A225" s="1" t="n">
        <v>44939</v>
      </c>
      <c r="B225" t="inlineStr">
        <is>
          <t>FBL</t>
        </is>
      </c>
      <c r="C225" t="inlineStr">
        <is>
          <t>META</t>
        </is>
      </c>
      <c r="D225" t="n">
        <v>135.9134063720703</v>
      </c>
      <c r="E225" t="n">
        <v>4.179436206817627</v>
      </c>
      <c r="F225" t="n">
        <v>25964</v>
      </c>
      <c r="G225" t="n">
        <v>-441819</v>
      </c>
      <c r="H225">
        <f>D225*F225</f>
        <v/>
      </c>
      <c r="I225">
        <f>E225*G225</f>
        <v/>
      </c>
      <c r="J225">
        <f>H225-I225</f>
        <v/>
      </c>
      <c r="K225" t="n">
        <v>-0.01</v>
      </c>
      <c r="L225" t="n">
        <v>6954.925842285156</v>
      </c>
      <c r="M225" t="n">
        <v>-2236.533405303955</v>
      </c>
      <c r="N225">
        <f>-I225*K225/252</f>
        <v/>
      </c>
      <c r="O225" t="n">
        <v>1</v>
      </c>
      <c r="P225" t="n">
        <v>-616.8867214775086</v>
      </c>
      <c r="Q225" t="n">
        <v>0.0432</v>
      </c>
      <c r="R225" t="n">
        <v>0</v>
      </c>
      <c r="S225" t="n">
        <v>4645.116471685171</v>
      </c>
    </row>
    <row r="226">
      <c r="A226" s="1" t="n">
        <v>44939</v>
      </c>
      <c r="B226" t="inlineStr">
        <is>
          <t>MSFU</t>
        </is>
      </c>
      <c r="C226" t="inlineStr">
        <is>
          <t>MSFT</t>
        </is>
      </c>
      <c r="D226" t="n">
        <v>233.1117248535156</v>
      </c>
      <c r="E226" t="n">
        <v>18.65141868591309</v>
      </c>
      <c r="F226" t="n">
        <v>8314</v>
      </c>
      <c r="G226" t="n">
        <v>-53770</v>
      </c>
      <c r="H226">
        <f>D226*F226</f>
        <v/>
      </c>
      <c r="I226">
        <f>E226*G226</f>
        <v/>
      </c>
      <c r="J226">
        <f>H226-I226</f>
        <v/>
      </c>
      <c r="K226" t="n">
        <v>-0.005</v>
      </c>
      <c r="L226" t="n">
        <v>5832.841369628906</v>
      </c>
      <c r="M226" t="n">
        <v>-3278.475933074951</v>
      </c>
      <c r="N226">
        <f>-I226*K226/252</f>
        <v/>
      </c>
      <c r="O226" t="n">
        <v>1</v>
      </c>
      <c r="P226" t="n">
        <v>-168.458020764911</v>
      </c>
      <c r="Q226" t="n">
        <v>0.0432</v>
      </c>
      <c r="R226" t="n">
        <v>0</v>
      </c>
      <c r="S226" t="n">
        <v>2534.466889277337</v>
      </c>
    </row>
    <row r="227">
      <c r="A227" s="1" t="n">
        <v>44939</v>
      </c>
      <c r="B227" t="inlineStr">
        <is>
          <t>NVDL</t>
        </is>
      </c>
      <c r="C227" t="inlineStr">
        <is>
          <t>NVDA</t>
        </is>
      </c>
      <c r="D227" t="n">
        <v>16.88119125366211</v>
      </c>
      <c r="E227" t="n">
        <v>3.478552579879761</v>
      </c>
      <c r="F227" t="n">
        <v>307781</v>
      </c>
      <c r="G227" t="n">
        <v>-799366</v>
      </c>
      <c r="H227">
        <f>D227*F227</f>
        <v/>
      </c>
      <c r="I227">
        <f>E227*G227</f>
        <v/>
      </c>
      <c r="J227">
        <f>H227-I227</f>
        <v/>
      </c>
      <c r="K227" t="n">
        <v>0</v>
      </c>
      <c r="L227" t="n">
        <v>119295.3116474152</v>
      </c>
      <c r="M227" t="n">
        <v>-90561.75595426559</v>
      </c>
      <c r="N227">
        <f>-I227*K227/252</f>
        <v/>
      </c>
      <c r="O227" t="n">
        <v>1</v>
      </c>
      <c r="P227" t="n">
        <v>0</v>
      </c>
      <c r="Q227" t="n">
        <v>0.0432</v>
      </c>
      <c r="R227" t="n">
        <v>0</v>
      </c>
      <c r="S227" t="n">
        <v>28733.55569314961</v>
      </c>
    </row>
    <row r="228">
      <c r="A228" s="1" t="n">
        <v>44939</v>
      </c>
      <c r="B228" t="inlineStr">
        <is>
          <t>SOXL</t>
        </is>
      </c>
      <c r="C228" t="inlineStr">
        <is>
          <t>SOXX</t>
        </is>
      </c>
      <c r="D228" t="n">
        <v>125.7665863037109</v>
      </c>
      <c r="E228" t="n">
        <v>12.67177200317383</v>
      </c>
      <c r="F228" t="n">
        <v>8941</v>
      </c>
      <c r="G228" t="n">
        <v>-33586</v>
      </c>
      <c r="H228">
        <f>D228*F228</f>
        <v/>
      </c>
      <c r="I228">
        <f>E228*G228</f>
        <v/>
      </c>
      <c r="J228">
        <f>H228-I228</f>
        <v/>
      </c>
      <c r="K228" t="n">
        <v>-0.0175</v>
      </c>
      <c r="L228" t="n">
        <v>4629.712448120117</v>
      </c>
      <c r="M228" t="n">
        <v>-4272.43172454834</v>
      </c>
      <c r="N228">
        <f>-I228*K228/252</f>
        <v/>
      </c>
      <c r="O228" t="n">
        <v>1</v>
      </c>
      <c r="P228" t="n">
        <v>-240.8726783592171</v>
      </c>
      <c r="Q228" t="n">
        <v>0.0432</v>
      </c>
      <c r="R228" t="n">
        <v>0</v>
      </c>
      <c r="S228" t="n">
        <v>327.7255753427082</v>
      </c>
    </row>
    <row r="229">
      <c r="A229" s="1" t="n">
        <v>44939</v>
      </c>
      <c r="B229" t="inlineStr">
        <is>
          <t>SOXS</t>
        </is>
      </c>
      <c r="C229" t="inlineStr">
        <is>
          <t>SOXX</t>
        </is>
      </c>
      <c r="D229" t="n">
        <v>-0</v>
      </c>
      <c r="E229" t="n">
        <v>-0</v>
      </c>
      <c r="F229" t="n">
        <v>-6997</v>
      </c>
      <c r="G229" t="n">
        <v>-37</v>
      </c>
      <c r="H229">
        <f>D229*F229</f>
        <v/>
      </c>
      <c r="I229">
        <f>E229*G229</f>
        <v/>
      </c>
      <c r="J229">
        <f>H229-I229</f>
        <v/>
      </c>
      <c r="K229" t="n">
        <v>0.07000000000000001</v>
      </c>
      <c r="L229" t="n">
        <v>-3623.095626831055</v>
      </c>
      <c r="M229" t="n">
        <v>1867.10888671875</v>
      </c>
      <c r="N229">
        <f>-I229*K229/252</f>
        <v/>
      </c>
      <c r="O229" t="n">
        <v>1</v>
      </c>
      <c r="P229" t="n">
        <v>0</v>
      </c>
      <c r="Q229" t="n">
        <v>0.0432</v>
      </c>
      <c r="R229" t="n">
        <v>0</v>
      </c>
      <c r="S229" t="n">
        <v>-1755.986740112305</v>
      </c>
    </row>
    <row r="230">
      <c r="A230" s="1" t="n">
        <v>44939</v>
      </c>
      <c r="B230" t="inlineStr">
        <is>
          <t>HIBL</t>
        </is>
      </c>
      <c r="C230" t="inlineStr">
        <is>
          <t>SPHB</t>
        </is>
      </c>
      <c r="D230" t="n">
        <v>66.87548828125</v>
      </c>
      <c r="E230" t="n">
        <v>29.9102725982666</v>
      </c>
      <c r="F230" t="n">
        <v>6521</v>
      </c>
      <c r="G230" t="n">
        <v>-5410</v>
      </c>
      <c r="H230">
        <f>D230*F230</f>
        <v/>
      </c>
      <c r="I230">
        <f>E230*G230</f>
        <v/>
      </c>
      <c r="J230">
        <f>H230-I230</f>
        <v/>
      </c>
      <c r="K230" t="n">
        <v>0.12</v>
      </c>
      <c r="L230" t="n">
        <v>1970.64826965332</v>
      </c>
      <c r="M230" t="n">
        <v>-1867.075729370117</v>
      </c>
      <c r="N230">
        <f>-I230*K230/252</f>
        <v/>
      </c>
      <c r="O230" t="n">
        <v>1</v>
      </c>
      <c r="P230" t="n">
        <v>631.278849210285</v>
      </c>
      <c r="Q230" t="n">
        <v>0.0432</v>
      </c>
      <c r="R230" t="n">
        <v>0</v>
      </c>
      <c r="S230" t="n">
        <v>180.6270996911185</v>
      </c>
    </row>
    <row r="231">
      <c r="A231" s="1" t="n">
        <v>44939</v>
      </c>
      <c r="B231" t="inlineStr">
        <is>
          <t>TSLL</t>
        </is>
      </c>
      <c r="C231" t="inlineStr">
        <is>
          <t>TSLA</t>
        </is>
      </c>
      <c r="D231" t="n">
        <v>122.4000015258789</v>
      </c>
      <c r="E231" t="n">
        <v>5.281393527984619</v>
      </c>
      <c r="F231" t="n">
        <v>16893</v>
      </c>
      <c r="G231" t="n">
        <v>-207812</v>
      </c>
      <c r="H231">
        <f>D231*F231</f>
        <v/>
      </c>
      <c r="I231">
        <f>E231*G231</f>
        <v/>
      </c>
      <c r="J231">
        <f>H231-I231</f>
        <v/>
      </c>
      <c r="K231" t="n">
        <v>0.01</v>
      </c>
      <c r="L231" t="n">
        <v>-19595.81298065186</v>
      </c>
      <c r="M231" t="n">
        <v>16193.19819450378</v>
      </c>
      <c r="N231">
        <f>-I231*K231/252</f>
        <v/>
      </c>
      <c r="O231" t="n">
        <v>1</v>
      </c>
      <c r="P231" t="n">
        <v>367.702014595062</v>
      </c>
      <c r="Q231" t="n">
        <v>0.0432</v>
      </c>
      <c r="R231" t="n">
        <v>0</v>
      </c>
      <c r="S231" t="n">
        <v>-3359.061732503732</v>
      </c>
    </row>
    <row r="232">
      <c r="A232" s="1" t="n">
        <v>44939</v>
      </c>
      <c r="B232" t="inlineStr">
        <is>
          <t>TSLQ</t>
        </is>
      </c>
      <c r="C232" t="inlineStr">
        <is>
          <t>TSLA</t>
        </is>
      </c>
      <c r="D232" t="n">
        <v>-0</v>
      </c>
      <c r="E232" t="n">
        <v>-0</v>
      </c>
      <c r="F232" t="n">
        <v>-6277</v>
      </c>
      <c r="G232" t="n">
        <v>-302</v>
      </c>
      <c r="H232">
        <f>D232*F232</f>
        <v/>
      </c>
      <c r="I232">
        <f>E232*G232</f>
        <v/>
      </c>
      <c r="J232">
        <f>H232-I232</f>
        <v/>
      </c>
      <c r="K232" t="n">
        <v>-0.02</v>
      </c>
      <c r="L232" t="n">
        <v>7281.295097351074</v>
      </c>
      <c r="M232" t="n">
        <v>-3248.564453125</v>
      </c>
      <c r="N232">
        <f>-I232*K232/252</f>
        <v/>
      </c>
      <c r="O232" t="n">
        <v>1</v>
      </c>
      <c r="P232" t="n">
        <v>0</v>
      </c>
      <c r="Q232" t="n">
        <v>0.0432</v>
      </c>
      <c r="R232" t="n">
        <v>0</v>
      </c>
      <c r="S232" t="n">
        <v>4032.730644226074</v>
      </c>
    </row>
    <row r="233">
      <c r="A233" s="1" t="n">
        <v>44939</v>
      </c>
      <c r="B233" t="inlineStr">
        <is>
          <t>LABU</t>
        </is>
      </c>
      <c r="C233" t="inlineStr">
        <is>
          <t>XBI</t>
        </is>
      </c>
      <c r="D233" t="n">
        <v>87.41098022460938</v>
      </c>
      <c r="E233" t="n">
        <v>161.6559448242188</v>
      </c>
      <c r="F233" t="n">
        <v>3382</v>
      </c>
      <c r="G233" t="n">
        <v>-676</v>
      </c>
      <c r="H233">
        <f>D233*F233</f>
        <v/>
      </c>
      <c r="I233">
        <f>E233*G233</f>
        <v/>
      </c>
      <c r="J233">
        <f>H233-I233</f>
        <v/>
      </c>
      <c r="K233" t="n">
        <v>0.1</v>
      </c>
      <c r="L233" t="n">
        <v>-134.58642578125</v>
      </c>
      <c r="M233" t="n">
        <v>265.5684814453125</v>
      </c>
      <c r="N233">
        <f>-I233*K233/252</f>
        <v/>
      </c>
      <c r="O233" t="n">
        <v>1</v>
      </c>
      <c r="P233" t="n">
        <v>349.4716749887618</v>
      </c>
      <c r="Q233" t="n">
        <v>0.0432</v>
      </c>
      <c r="R233" t="n">
        <v>0</v>
      </c>
      <c r="S233" t="n">
        <v>174.3469043550037</v>
      </c>
    </row>
    <row r="234">
      <c r="A234" s="1" t="n">
        <v>44939</v>
      </c>
      <c r="B234" t="inlineStr">
        <is>
          <t>ERX</t>
        </is>
      </c>
      <c r="C234" t="inlineStr">
        <is>
          <t>XLE</t>
        </is>
      </c>
      <c r="D234" t="n">
        <v>40.36844253540039</v>
      </c>
      <c r="E234" t="n">
        <v>64.10742950439453</v>
      </c>
      <c r="F234" t="n">
        <v>1856</v>
      </c>
      <c r="G234" t="n">
        <v>-604</v>
      </c>
      <c r="H234">
        <f>D234*F234</f>
        <v/>
      </c>
      <c r="I234">
        <f>E234*G234</f>
        <v/>
      </c>
      <c r="J234">
        <f>H234-I234</f>
        <v/>
      </c>
      <c r="K234" t="n">
        <v>0.12</v>
      </c>
      <c r="L234" t="n">
        <v>108.2685546875</v>
      </c>
      <c r="M234" t="n">
        <v>-132.71484375</v>
      </c>
      <c r="N234">
        <f>-I234*K234/252</f>
        <v/>
      </c>
      <c r="O234" t="n">
        <v>1</v>
      </c>
      <c r="P234" t="n">
        <v>158.7646377309163</v>
      </c>
      <c r="Q234" t="n">
        <v>0.0432</v>
      </c>
      <c r="R234" t="n">
        <v>0</v>
      </c>
      <c r="S234" t="n">
        <v>-6.007771243140809</v>
      </c>
    </row>
    <row r="235">
      <c r="A235" s="1" t="n">
        <v>44939</v>
      </c>
      <c r="B235" t="inlineStr">
        <is>
          <t>GUSH</t>
        </is>
      </c>
      <c r="C235" t="inlineStr">
        <is>
          <t>XOP</t>
        </is>
      </c>
      <c r="D235" t="n">
        <v>128.3210144042969</v>
      </c>
      <c r="E235" t="n">
        <v>34.81524276733398</v>
      </c>
      <c r="F235" t="n">
        <v>3057</v>
      </c>
      <c r="G235" t="n">
        <v>-6059</v>
      </c>
      <c r="H235">
        <f>D235*F235</f>
        <v/>
      </c>
      <c r="I235">
        <f>E235*G235</f>
        <v/>
      </c>
      <c r="J235">
        <f>H235-I235</f>
        <v/>
      </c>
      <c r="K235" t="n">
        <v>-0.01</v>
      </c>
      <c r="L235" t="n">
        <v>2058.819717407227</v>
      </c>
      <c r="M235" t="n">
        <v>-2256.315536499023</v>
      </c>
      <c r="N235">
        <f>-I235*K235/252</f>
        <v/>
      </c>
      <c r="O235" t="n">
        <v>1</v>
      </c>
      <c r="P235" t="n">
        <v>-68.88794409418863</v>
      </c>
      <c r="Q235" t="n">
        <v>0.0432</v>
      </c>
      <c r="R235" t="n">
        <v>0</v>
      </c>
      <c r="S235" t="n">
        <v>-205.8666744857355</v>
      </c>
    </row>
    <row r="236">
      <c r="A236" s="1" t="n">
        <v>44943</v>
      </c>
      <c r="B236" t="inlineStr">
        <is>
          <t>AAPB</t>
        </is>
      </c>
      <c r="C236" t="inlineStr">
        <is>
          <t>AAPL</t>
        </is>
      </c>
      <c r="D236" t="n">
        <v>133.7944488525391</v>
      </c>
      <c r="E236" t="n">
        <v>13.38441371917725</v>
      </c>
      <c r="F236" t="n">
        <v>9057</v>
      </c>
      <c r="G236" t="n">
        <v>-45734</v>
      </c>
      <c r="H236">
        <f>D236*F236</f>
        <v/>
      </c>
      <c r="I236">
        <f>E236*G236</f>
        <v/>
      </c>
      <c r="J236">
        <f>H236-I236</f>
        <v/>
      </c>
      <c r="K236" t="n">
        <v>-0.005</v>
      </c>
      <c r="L236" t="n">
        <v>10518.59106445312</v>
      </c>
      <c r="M236" t="n">
        <v>-8496.573770523071</v>
      </c>
      <c r="N236">
        <f>-I236*K236/252</f>
        <v/>
      </c>
      <c r="O236" t="n">
        <v>0</v>
      </c>
      <c r="P236" t="n">
        <v>-118.2309984127302</v>
      </c>
      <c r="Q236" t="n">
        <v>0.0432</v>
      </c>
      <c r="R236" t="n">
        <v>0</v>
      </c>
      <c r="S236" t="n">
        <v>2009.872000734952</v>
      </c>
    </row>
    <row r="237">
      <c r="A237" s="1" t="n">
        <v>44943</v>
      </c>
      <c r="B237" t="inlineStr">
        <is>
          <t>AAPU</t>
        </is>
      </c>
      <c r="C237" t="inlineStr">
        <is>
          <t>AAPL</t>
        </is>
      </c>
      <c r="D237" t="n">
        <v>133.7944488525391</v>
      </c>
      <c r="E237" t="n">
        <v>13.71971225738525</v>
      </c>
      <c r="F237" t="n">
        <v>7658</v>
      </c>
      <c r="G237" t="n">
        <v>-37829</v>
      </c>
      <c r="H237">
        <f>D237*F237</f>
        <v/>
      </c>
      <c r="I237">
        <f>E237*G237</f>
        <v/>
      </c>
      <c r="J237">
        <f>H237-I237</f>
        <v/>
      </c>
      <c r="K237" t="n">
        <v>0.02</v>
      </c>
      <c r="L237" t="n">
        <v>8893.82470703125</v>
      </c>
      <c r="M237" t="n">
        <v>-7598.045216560364</v>
      </c>
      <c r="N237">
        <f>-I237*K237/252</f>
        <v/>
      </c>
      <c r="O237" t="n">
        <v>0</v>
      </c>
      <c r="P237" t="n">
        <v>398.1199227370156</v>
      </c>
      <c r="Q237" t="n">
        <v>0.0432</v>
      </c>
      <c r="R237" t="n">
        <v>0</v>
      </c>
      <c r="S237" t="n">
        <v>1336.970204358555</v>
      </c>
    </row>
    <row r="238">
      <c r="A238" s="1" t="n">
        <v>44943</v>
      </c>
      <c r="B238" t="inlineStr">
        <is>
          <t>AMZU</t>
        </is>
      </c>
      <c r="C238" t="inlineStr">
        <is>
          <t>AMZN</t>
        </is>
      </c>
      <c r="D238" t="n">
        <v>96.05000305175781</v>
      </c>
      <c r="E238" t="n">
        <v>13.59057903289795</v>
      </c>
      <c r="F238" t="n">
        <v>26092</v>
      </c>
      <c r="G238" t="n">
        <v>-91789</v>
      </c>
      <c r="H238">
        <f>D238*F238</f>
        <v/>
      </c>
      <c r="I238">
        <f>E238*G238</f>
        <v/>
      </c>
      <c r="J238">
        <f>H238-I238</f>
        <v/>
      </c>
      <c r="K238" t="n">
        <v>-0.0025</v>
      </c>
      <c r="L238" t="n">
        <v>-54010.43203735352</v>
      </c>
      <c r="M238" t="n">
        <v>39702.67115211487</v>
      </c>
      <c r="N238">
        <f>-I238*K238/252</f>
        <v/>
      </c>
      <c r="O238" t="n">
        <v>0</v>
      </c>
      <c r="P238" t="n">
        <v>-125.5050335124845</v>
      </c>
      <c r="Q238" t="n">
        <v>0.0432</v>
      </c>
      <c r="R238" t="n">
        <v>0</v>
      </c>
      <c r="S238" t="n">
        <v>-14320.13653661614</v>
      </c>
    </row>
    <row r="239">
      <c r="A239" s="1" t="n">
        <v>44943</v>
      </c>
      <c r="B239" t="inlineStr">
        <is>
          <t>TARK</t>
        </is>
      </c>
      <c r="C239" t="inlineStr">
        <is>
          <t>ARKK</t>
        </is>
      </c>
      <c r="D239" t="n">
        <v>36.73364639282227</v>
      </c>
      <c r="E239" t="n">
        <v>22.7870044708252</v>
      </c>
      <c r="F239" t="n">
        <v>18788</v>
      </c>
      <c r="G239" t="n">
        <v>-15784</v>
      </c>
      <c r="H239">
        <f>D239*F239</f>
        <v/>
      </c>
      <c r="I239">
        <f>E239*G239</f>
        <v/>
      </c>
      <c r="J239">
        <f>H239-I239</f>
        <v/>
      </c>
      <c r="K239" t="n">
        <v>-0.02</v>
      </c>
      <c r="L239" t="n">
        <v>19564.19186401367</v>
      </c>
      <c r="M239" t="n">
        <v>-20826.26498413086</v>
      </c>
      <c r="N239">
        <f>-I239*K239/252</f>
        <v/>
      </c>
      <c r="O239" t="n">
        <v>0</v>
      </c>
      <c r="P239" t="n">
        <v>-290.3014264826547</v>
      </c>
      <c r="Q239" t="n">
        <v>0.0432</v>
      </c>
      <c r="R239" t="n">
        <v>0</v>
      </c>
      <c r="S239" t="n">
        <v>-1290.618364447945</v>
      </c>
    </row>
    <row r="240">
      <c r="A240" s="1" t="n">
        <v>44943</v>
      </c>
      <c r="B240" t="inlineStr">
        <is>
          <t>CHAU</t>
        </is>
      </c>
      <c r="C240" t="inlineStr">
        <is>
          <t>ASHR</t>
        </is>
      </c>
      <c r="D240" t="n">
        <v>29.19519424438477</v>
      </c>
      <c r="E240" t="n">
        <v>22.65322303771973</v>
      </c>
      <c r="F240" t="n">
        <v>5665</v>
      </c>
      <c r="G240" t="n">
        <v>-3740</v>
      </c>
      <c r="H240">
        <f>D240*F240</f>
        <v/>
      </c>
      <c r="I240">
        <f>E240*G240</f>
        <v/>
      </c>
      <c r="J240">
        <f>H240-I240</f>
        <v/>
      </c>
      <c r="K240" t="n">
        <v>-0.01</v>
      </c>
      <c r="L240" t="n">
        <v>694.013500213623</v>
      </c>
      <c r="M240" t="n">
        <v>-993.9083099365234</v>
      </c>
      <c r="N240">
        <f>-I240*K240/252</f>
        <v/>
      </c>
      <c r="O240" t="n">
        <v>0</v>
      </c>
      <c r="P240" t="n">
        <v>-32.97608175875649</v>
      </c>
      <c r="Q240" t="n">
        <v>0.0432</v>
      </c>
      <c r="R240" t="n">
        <v>0</v>
      </c>
      <c r="S240" t="n">
        <v>-303.2568356816731</v>
      </c>
    </row>
    <row r="241">
      <c r="A241" s="1" t="n">
        <v>44943</v>
      </c>
      <c r="B241" t="inlineStr">
        <is>
          <t>BABX</t>
        </is>
      </c>
      <c r="C241" t="inlineStr">
        <is>
          <t>BABA</t>
        </is>
      </c>
      <c r="D241" t="n">
        <v>109.3953704833984</v>
      </c>
      <c r="E241" t="n">
        <v>37.95800018310547</v>
      </c>
      <c r="F241" t="n">
        <v>4529</v>
      </c>
      <c r="G241" t="n">
        <v>-6431</v>
      </c>
      <c r="H241">
        <f>D241*F241</f>
        <v/>
      </c>
      <c r="I241">
        <f>E241*G241</f>
        <v/>
      </c>
      <c r="J241">
        <f>H241-I241</f>
        <v/>
      </c>
      <c r="K241" t="n">
        <v>-0.0275</v>
      </c>
      <c r="L241" t="n">
        <v>-7828.136283874512</v>
      </c>
      <c r="M241" t="n">
        <v>6778.279495239258</v>
      </c>
      <c r="N241">
        <f>-I241*K241/252</f>
        <v/>
      </c>
      <c r="O241" t="n">
        <v>0</v>
      </c>
      <c r="P241" t="n">
        <v>-311.5704476154797</v>
      </c>
      <c r="Q241" t="n">
        <v>0.0432</v>
      </c>
      <c r="R241" t="n">
        <v>0</v>
      </c>
      <c r="S241" t="n">
        <v>-1076.495547474074</v>
      </c>
    </row>
    <row r="242">
      <c r="A242" s="1" t="n">
        <v>44943</v>
      </c>
      <c r="B242" t="inlineStr">
        <is>
          <t>CONL</t>
        </is>
      </c>
      <c r="C242" t="inlineStr">
        <is>
          <t>COIN</t>
        </is>
      </c>
      <c r="D242" t="n">
        <v>54.13999938964844</v>
      </c>
      <c r="E242" t="n">
        <v>8.349312782287598</v>
      </c>
      <c r="F242" t="n">
        <v>71778</v>
      </c>
      <c r="G242" t="n">
        <v>-242944</v>
      </c>
      <c r="H242">
        <f>D242*F242</f>
        <v/>
      </c>
      <c r="I242">
        <f>E242*G242</f>
        <v/>
      </c>
      <c r="J242">
        <f>H242-I242</f>
        <v/>
      </c>
      <c r="K242" t="n">
        <v>0.03</v>
      </c>
      <c r="L242" t="n">
        <v>298596.4690475464</v>
      </c>
      <c r="M242" t="n">
        <v>-222956.1508789062</v>
      </c>
      <c r="N242">
        <f>-I242*K242/252</f>
        <v/>
      </c>
      <c r="O242" t="n">
        <v>0</v>
      </c>
      <c r="P242" t="n">
        <v>2550.077254001583</v>
      </c>
      <c r="Q242" t="n">
        <v>0.0432</v>
      </c>
      <c r="R242" t="n">
        <v>0</v>
      </c>
      <c r="S242" t="n">
        <v>75881.79619775688</v>
      </c>
    </row>
    <row r="243">
      <c r="A243" s="1" t="n">
        <v>44943</v>
      </c>
      <c r="B243" t="inlineStr">
        <is>
          <t>MEXX</t>
        </is>
      </c>
      <c r="C243" t="inlineStr">
        <is>
          <t>EWW</t>
        </is>
      </c>
      <c r="D243" t="n">
        <v>51.23102951049805</v>
      </c>
      <c r="E243" t="n">
        <v>22.66154479980469</v>
      </c>
      <c r="F243" t="n">
        <v>8705</v>
      </c>
      <c r="G243" t="n">
        <v>-6605</v>
      </c>
      <c r="H243">
        <f>D243*F243</f>
        <v/>
      </c>
      <c r="I243">
        <f>E243*G243</f>
        <v/>
      </c>
      <c r="J243">
        <f>H243-I243</f>
        <v/>
      </c>
      <c r="K243" t="n">
        <v>0.0075</v>
      </c>
      <c r="L243" t="n">
        <v>-1025.231056213379</v>
      </c>
      <c r="M243" t="n">
        <v>1527.953004837036</v>
      </c>
      <c r="N243">
        <f>-I243*K243/252</f>
        <v/>
      </c>
      <c r="O243" t="n">
        <v>0</v>
      </c>
      <c r="P243" t="n">
        <v>47.21098424832027</v>
      </c>
      <c r="Q243" t="n">
        <v>0.0432</v>
      </c>
      <c r="R243" t="n">
        <v>0</v>
      </c>
      <c r="S243" t="n">
        <v>507.1766957487376</v>
      </c>
    </row>
    <row r="244">
      <c r="A244" s="1" t="n">
        <v>44943</v>
      </c>
      <c r="B244" t="inlineStr">
        <is>
          <t>KORU</t>
        </is>
      </c>
      <c r="C244" t="inlineStr">
        <is>
          <t>EWY</t>
        </is>
      </c>
      <c r="D244" t="n">
        <v>57.94832229614258</v>
      </c>
      <c r="E244" t="n">
        <v>92.30992126464844</v>
      </c>
      <c r="F244" t="n">
        <v>12312</v>
      </c>
      <c r="G244" t="n">
        <v>-2618</v>
      </c>
      <c r="H244">
        <f>D244*F244</f>
        <v/>
      </c>
      <c r="I244">
        <f>E244*G244</f>
        <v/>
      </c>
      <c r="J244">
        <f>H244-I244</f>
        <v/>
      </c>
      <c r="K244" t="n">
        <v>0.0225</v>
      </c>
      <c r="L244" t="n">
        <v>-1948.407440185547</v>
      </c>
      <c r="M244" t="n">
        <v>2201.387420654297</v>
      </c>
      <c r="N244">
        <f>-I244*K244/252</f>
        <v/>
      </c>
      <c r="O244" t="n">
        <v>0</v>
      </c>
      <c r="P244" t="n">
        <v>229.6027768353053</v>
      </c>
      <c r="Q244" t="n">
        <v>0.0432</v>
      </c>
      <c r="R244" t="n">
        <v>0</v>
      </c>
      <c r="S244" t="n">
        <v>274.5574245643613</v>
      </c>
    </row>
    <row r="245">
      <c r="A245" s="1" t="n">
        <v>44943</v>
      </c>
      <c r="B245" t="inlineStr">
        <is>
          <t>YINN</t>
        </is>
      </c>
      <c r="C245" t="inlineStr">
        <is>
          <t>FXI</t>
        </is>
      </c>
      <c r="D245" t="n">
        <v>29.15787506103516</v>
      </c>
      <c r="E245" t="n">
        <v>57.63865280151367</v>
      </c>
      <c r="F245" t="n">
        <v>34614</v>
      </c>
      <c r="G245" t="n">
        <v>-5631</v>
      </c>
      <c r="H245">
        <f>D245*F245</f>
        <v/>
      </c>
      <c r="I245">
        <f>E245*G245</f>
        <v/>
      </c>
      <c r="J245">
        <f>H245-I245</f>
        <v/>
      </c>
      <c r="K245" t="n">
        <v>-0.02</v>
      </c>
      <c r="L245" t="n">
        <v>-22506.8112487793</v>
      </c>
      <c r="M245" t="n">
        <v>22269.32647705078</v>
      </c>
      <c r="N245">
        <f>-I245*K245/252</f>
        <v/>
      </c>
      <c r="O245" t="n">
        <v>0</v>
      </c>
      <c r="P245" t="n">
        <v>-283.6322035268753</v>
      </c>
      <c r="Q245" t="n">
        <v>0.0432</v>
      </c>
      <c r="R245" t="n">
        <v>0</v>
      </c>
      <c r="S245" t="n">
        <v>-263.243760135291</v>
      </c>
    </row>
    <row r="246">
      <c r="A246" s="1" t="n">
        <v>44943</v>
      </c>
      <c r="B246" t="inlineStr">
        <is>
          <t>JNUG</t>
        </is>
      </c>
      <c r="C246" t="inlineStr">
        <is>
          <t>GDXJ</t>
        </is>
      </c>
      <c r="D246" t="n">
        <v>36.98801422119141</v>
      </c>
      <c r="E246" t="n">
        <v>40.45076370239258</v>
      </c>
      <c r="F246" t="n">
        <v>13681</v>
      </c>
      <c r="G246" t="n">
        <v>-6148</v>
      </c>
      <c r="H246">
        <f>D246*F246</f>
        <v/>
      </c>
      <c r="I246">
        <f>E246*G246</f>
        <v/>
      </c>
      <c r="J246">
        <f>H246-I246</f>
        <v/>
      </c>
      <c r="K246" t="n">
        <v>-0.005</v>
      </c>
      <c r="L246" t="n">
        <v>-16824.70116043091</v>
      </c>
      <c r="M246" t="n">
        <v>16172.69412231445</v>
      </c>
      <c r="N246">
        <f>-I246*K246/252</f>
        <v/>
      </c>
      <c r="O246" t="n">
        <v>0</v>
      </c>
      <c r="P246" t="n">
        <v>-52.0397587462834</v>
      </c>
      <c r="Q246" t="n">
        <v>0.0432</v>
      </c>
      <c r="R246" t="n">
        <v>0</v>
      </c>
      <c r="S246" t="n">
        <v>-656.9413892125363</v>
      </c>
    </row>
    <row r="247">
      <c r="A247" s="1" t="n">
        <v>44943</v>
      </c>
      <c r="B247" t="inlineStr">
        <is>
          <t>GDXU</t>
        </is>
      </c>
      <c r="C247" t="inlineStr">
        <is>
          <t>GDX</t>
        </is>
      </c>
      <c r="D247" t="n">
        <v>30.42994689941406</v>
      </c>
      <c r="E247" t="n">
        <v>54.66999816894531</v>
      </c>
      <c r="F247" t="n">
        <v>52231</v>
      </c>
      <c r="G247" t="n">
        <v>-8884</v>
      </c>
      <c r="H247">
        <f>D247*F247</f>
        <v/>
      </c>
      <c r="I247">
        <f>E247*G247</f>
        <v/>
      </c>
      <c r="J247">
        <f>H247-I247</f>
        <v/>
      </c>
      <c r="K247" t="n">
        <v>-0.005</v>
      </c>
      <c r="L247" t="n">
        <v>-56980.01536941528</v>
      </c>
      <c r="M247" t="n">
        <v>55347.34982299805</v>
      </c>
      <c r="N247">
        <f>-I247*K247/252</f>
        <v/>
      </c>
      <c r="O247" t="n">
        <v>0</v>
      </c>
      <c r="P247" t="n">
        <v>-108.1638528133574</v>
      </c>
      <c r="Q247" t="n">
        <v>0.0432</v>
      </c>
      <c r="R247" t="n">
        <v>0</v>
      </c>
      <c r="S247" t="n">
        <v>-1642.302218316699</v>
      </c>
    </row>
    <row r="248">
      <c r="A248" s="1" t="n">
        <v>44943</v>
      </c>
      <c r="B248" t="inlineStr">
        <is>
          <t>NUGT</t>
        </is>
      </c>
      <c r="C248" t="inlineStr">
        <is>
          <t>GDX</t>
        </is>
      </c>
      <c r="D248" t="n">
        <v>30.42994689941406</v>
      </c>
      <c r="E248" t="n">
        <v>39.70292663574219</v>
      </c>
      <c r="F248" t="n">
        <v>15534</v>
      </c>
      <c r="G248" t="n">
        <v>-5817</v>
      </c>
      <c r="H248">
        <f>D248*F248</f>
        <v/>
      </c>
      <c r="I248">
        <f>E248*G248</f>
        <v/>
      </c>
      <c r="J248">
        <f>H248-I248</f>
        <v/>
      </c>
      <c r="K248" t="n">
        <v>-0.0175</v>
      </c>
      <c r="L248" t="n">
        <v>-16946.40268707275</v>
      </c>
      <c r="M248" t="n">
        <v>16704.10362625122</v>
      </c>
      <c r="N248">
        <f>-I248*K248/252</f>
        <v/>
      </c>
      <c r="O248" t="n">
        <v>0</v>
      </c>
      <c r="P248" t="n">
        <v>-171.0177809588115</v>
      </c>
      <c r="Q248" t="n">
        <v>0.0432</v>
      </c>
      <c r="R248" t="n">
        <v>0</v>
      </c>
      <c r="S248" t="n">
        <v>-258.3373888937596</v>
      </c>
    </row>
    <row r="249">
      <c r="A249" s="1" t="n">
        <v>44943</v>
      </c>
      <c r="B249" t="inlineStr">
        <is>
          <t>GGLL</t>
        </is>
      </c>
      <c r="C249" t="inlineStr">
        <is>
          <t>GOOGL</t>
        </is>
      </c>
      <c r="D249" t="n">
        <v>90.54167938232422</v>
      </c>
      <c r="E249" t="n">
        <v>16.77983474731445</v>
      </c>
      <c r="F249" t="n">
        <v>21017</v>
      </c>
      <c r="G249" t="n">
        <v>-56586</v>
      </c>
      <c r="H249">
        <f>D249*F249</f>
        <v/>
      </c>
      <c r="I249">
        <f>E249*G249</f>
        <v/>
      </c>
      <c r="J249">
        <f>H249-I249</f>
        <v/>
      </c>
      <c r="K249" t="n">
        <v>0</v>
      </c>
      <c r="L249" t="n">
        <v>-17300.95862579346</v>
      </c>
      <c r="M249" t="n">
        <v>13007.41490936279</v>
      </c>
      <c r="N249">
        <f>-I249*K249/252</f>
        <v/>
      </c>
      <c r="O249" t="n">
        <v>0</v>
      </c>
      <c r="P249" t="n">
        <v>0</v>
      </c>
      <c r="Q249" t="n">
        <v>0.0432</v>
      </c>
      <c r="R249" t="n">
        <v>0</v>
      </c>
      <c r="S249" t="n">
        <v>-4293.543716430671</v>
      </c>
    </row>
    <row r="250">
      <c r="A250" s="1" t="n">
        <v>44943</v>
      </c>
      <c r="B250" t="inlineStr">
        <is>
          <t>CWEB</t>
        </is>
      </c>
      <c r="C250" t="inlineStr">
        <is>
          <t>KWEB</t>
        </is>
      </c>
      <c r="D250" t="n">
        <v>30.62997055053711</v>
      </c>
      <c r="E250" t="n">
        <v>57.92233276367188</v>
      </c>
      <c r="F250" t="n">
        <v>14190</v>
      </c>
      <c r="G250" t="n">
        <v>-3658</v>
      </c>
      <c r="H250">
        <f>D250*F250</f>
        <v/>
      </c>
      <c r="I250">
        <f>E250*G250</f>
        <v/>
      </c>
      <c r="J250">
        <f>H250-I250</f>
        <v/>
      </c>
      <c r="K250" t="n">
        <v>-0.02</v>
      </c>
      <c r="L250" t="n">
        <v>-15127.83891677856</v>
      </c>
      <c r="M250" t="n">
        <v>14327.35272216797</v>
      </c>
      <c r="N250">
        <f>-I250*K250/252</f>
        <v/>
      </c>
      <c r="O250" t="n">
        <v>0</v>
      </c>
      <c r="P250" t="n">
        <v>-183.7909304173787</v>
      </c>
      <c r="Q250" t="n">
        <v>0.0432</v>
      </c>
      <c r="R250" t="n">
        <v>0</v>
      </c>
      <c r="S250" t="n">
        <v>-817.3020591542023</v>
      </c>
    </row>
    <row r="251">
      <c r="A251" s="1" t="n">
        <v>44943</v>
      </c>
      <c r="B251" t="inlineStr">
        <is>
          <t>FBL</t>
        </is>
      </c>
      <c r="C251" t="inlineStr">
        <is>
          <t>META</t>
        </is>
      </c>
      <c r="D251" t="n">
        <v>134.3060150146484</v>
      </c>
      <c r="E251" t="n">
        <v>4.103632926940918</v>
      </c>
      <c r="F251" t="n">
        <v>25557</v>
      </c>
      <c r="G251" t="n">
        <v>-416177</v>
      </c>
      <c r="H251">
        <f>D251*F251</f>
        <v/>
      </c>
      <c r="I251">
        <f>E251*G251</f>
        <v/>
      </c>
      <c r="J251">
        <f>H251-I251</f>
        <v/>
      </c>
      <c r="K251" t="n">
        <v>-0.01</v>
      </c>
      <c r="L251" t="n">
        <v>-41080.10092163086</v>
      </c>
      <c r="M251" t="n">
        <v>31547.58160924911</v>
      </c>
      <c r="N251">
        <f>-I251*K251/252</f>
        <v/>
      </c>
      <c r="O251" t="n">
        <v>0</v>
      </c>
      <c r="P251" t="n">
        <v>-684.6580564233614</v>
      </c>
      <c r="Q251" t="n">
        <v>0.0432</v>
      </c>
      <c r="R251" t="n">
        <v>0</v>
      </c>
      <c r="S251" t="n">
        <v>-9600.290647327602</v>
      </c>
    </row>
    <row r="252">
      <c r="A252" s="1" t="n">
        <v>44943</v>
      </c>
      <c r="B252" t="inlineStr">
        <is>
          <t>MSFU</t>
        </is>
      </c>
      <c r="C252" t="inlineStr">
        <is>
          <t>MSFT</t>
        </is>
      </c>
      <c r="D252" t="n">
        <v>234.203125</v>
      </c>
      <c r="E252" t="n">
        <v>18.77251243591309</v>
      </c>
      <c r="F252" t="n">
        <v>8999</v>
      </c>
      <c r="G252" t="n">
        <v>-56464</v>
      </c>
      <c r="H252">
        <f>D252*F252</f>
        <v/>
      </c>
      <c r="I252">
        <f>E252*G252</f>
        <v/>
      </c>
      <c r="J252">
        <f>H252-I252</f>
        <v/>
      </c>
      <c r="K252" t="n">
        <v>-0.005</v>
      </c>
      <c r="L252" t="n">
        <v>9821.509918212891</v>
      </c>
      <c r="M252" t="n">
        <v>-6837.4375</v>
      </c>
      <c r="N252">
        <f>-I252*K252/252</f>
        <v/>
      </c>
      <c r="O252" t="n">
        <v>0</v>
      </c>
      <c r="P252" t="n">
        <v>-189.4891942208911</v>
      </c>
      <c r="Q252" t="n">
        <v>0.0432</v>
      </c>
      <c r="R252" t="n">
        <v>0</v>
      </c>
      <c r="S252" t="n">
        <v>2963.041244756911</v>
      </c>
    </row>
    <row r="253">
      <c r="A253" s="1" t="n">
        <v>44943</v>
      </c>
      <c r="B253" t="inlineStr">
        <is>
          <t>NVDL</t>
        </is>
      </c>
      <c r="C253" t="inlineStr">
        <is>
          <t>NVDA</t>
        </is>
      </c>
      <c r="D253" t="n">
        <v>17.6833381652832</v>
      </c>
      <c r="E253" t="n">
        <v>3.711573839187622</v>
      </c>
      <c r="F253" t="n">
        <v>281812</v>
      </c>
      <c r="G253" t="n">
        <v>-687936</v>
      </c>
      <c r="H253">
        <f>D253*F253</f>
        <v/>
      </c>
      <c r="I253">
        <f>E253*G253</f>
        <v/>
      </c>
      <c r="J253">
        <f>H253-I253</f>
        <v/>
      </c>
      <c r="K253" t="n">
        <v>0</v>
      </c>
      <c r="L253" t="n">
        <v>226054.6254577637</v>
      </c>
      <c r="M253" t="n">
        <v>-160303.7130432129</v>
      </c>
      <c r="N253">
        <f>-I253*K253/252</f>
        <v/>
      </c>
      <c r="O253" t="n">
        <v>0</v>
      </c>
      <c r="P253" t="n">
        <v>0</v>
      </c>
      <c r="Q253" t="n">
        <v>0.0432</v>
      </c>
      <c r="R253" t="n">
        <v>0</v>
      </c>
      <c r="S253" t="n">
        <v>65750.91241455081</v>
      </c>
    </row>
    <row r="254">
      <c r="A254" s="1" t="n">
        <v>44943</v>
      </c>
      <c r="B254" t="inlineStr">
        <is>
          <t>SOXL</t>
        </is>
      </c>
      <c r="C254" t="inlineStr">
        <is>
          <t>SOXX</t>
        </is>
      </c>
      <c r="D254" t="n">
        <v>125.9098358154297</v>
      </c>
      <c r="E254" t="n">
        <v>12.77940940856934</v>
      </c>
      <c r="F254" t="n">
        <v>8623</v>
      </c>
      <c r="G254" t="n">
        <v>-28873</v>
      </c>
      <c r="H254">
        <f>D254*F254</f>
        <v/>
      </c>
      <c r="I254">
        <f>E254*G254</f>
        <v/>
      </c>
      <c r="J254">
        <f>H254-I254</f>
        <v/>
      </c>
      <c r="K254" t="n">
        <v>-0.0175</v>
      </c>
      <c r="L254" t="n">
        <v>1235.240539550781</v>
      </c>
      <c r="M254" t="n">
        <v>-3107.814805984497</v>
      </c>
      <c r="N254">
        <f>-I254*K254/252</f>
        <v/>
      </c>
      <c r="O254" t="n">
        <v>0</v>
      </c>
      <c r="P254" t="n">
        <v>-266.4962816823854</v>
      </c>
      <c r="Q254" t="n">
        <v>0.0432</v>
      </c>
      <c r="R254" t="n">
        <v>0</v>
      </c>
      <c r="S254" t="n">
        <v>-1898.197869756884</v>
      </c>
    </row>
    <row r="255">
      <c r="A255" s="1" t="n">
        <v>44943</v>
      </c>
      <c r="B255" t="inlineStr">
        <is>
          <t>SOXS</t>
        </is>
      </c>
      <c r="C255" t="inlineStr">
        <is>
          <t>SOXX</t>
        </is>
      </c>
      <c r="D255" t="n">
        <v>-0</v>
      </c>
      <c r="E255" t="n">
        <v>-0</v>
      </c>
      <c r="F255" t="n">
        <v>-6748</v>
      </c>
      <c r="G255" t="n">
        <v>-57</v>
      </c>
      <c r="H255">
        <f>D255*F255</f>
        <v/>
      </c>
      <c r="I255">
        <f>E255*G255</f>
        <v/>
      </c>
      <c r="J255">
        <f>H255-I255</f>
        <v/>
      </c>
      <c r="K255" t="n">
        <v>0.07000000000000001</v>
      </c>
      <c r="L255" t="n">
        <v>-966.647705078125</v>
      </c>
      <c r="M255" t="n">
        <v>2578.693359375</v>
      </c>
      <c r="N255">
        <f>-I255*K255/252</f>
        <v/>
      </c>
      <c r="O255" t="n">
        <v>0</v>
      </c>
      <c r="P255" t="n">
        <v>0</v>
      </c>
      <c r="Q255" t="n">
        <v>0.0432</v>
      </c>
      <c r="R255" t="n">
        <v>0</v>
      </c>
      <c r="S255" t="n">
        <v>1612.045654296875</v>
      </c>
    </row>
    <row r="256">
      <c r="A256" s="1" t="n">
        <v>44943</v>
      </c>
      <c r="B256" t="inlineStr">
        <is>
          <t>HIBL</t>
        </is>
      </c>
      <c r="C256" t="inlineStr">
        <is>
          <t>SPHB</t>
        </is>
      </c>
      <c r="D256" t="n">
        <v>67.20693969726562</v>
      </c>
      <c r="E256" t="n">
        <v>30.37043190002441</v>
      </c>
      <c r="F256" t="n">
        <v>6387</v>
      </c>
      <c r="G256" t="n">
        <v>-4747</v>
      </c>
      <c r="H256">
        <f>D256*F256</f>
        <v/>
      </c>
      <c r="I256">
        <f>E256*G256</f>
        <v/>
      </c>
      <c r="J256">
        <f>H256-I256</f>
        <v/>
      </c>
      <c r="K256" t="n">
        <v>0.12</v>
      </c>
      <c r="L256" t="n">
        <v>2116.980194091797</v>
      </c>
      <c r="M256" t="n">
        <v>-2184.376205444336</v>
      </c>
      <c r="N256">
        <f>-I256*K256/252</f>
        <v/>
      </c>
      <c r="O256" t="n">
        <v>0</v>
      </c>
      <c r="P256" t="n">
        <v>699.9304874147688</v>
      </c>
      <c r="Q256" t="n">
        <v>0.0432</v>
      </c>
      <c r="R256" t="n">
        <v>0</v>
      </c>
      <c r="S256" t="n">
        <v>1.255626851944683</v>
      </c>
    </row>
    <row r="257">
      <c r="A257" s="1" t="n">
        <v>44943</v>
      </c>
      <c r="B257" t="inlineStr">
        <is>
          <t>TSLL</t>
        </is>
      </c>
      <c r="C257" t="inlineStr">
        <is>
          <t>TSLA</t>
        </is>
      </c>
      <c r="D257" t="n">
        <v>131.4900054931641</v>
      </c>
      <c r="E257" t="n">
        <v>5.870139122009277</v>
      </c>
      <c r="F257" t="n">
        <v>16126</v>
      </c>
      <c r="G257" t="n">
        <v>-187433</v>
      </c>
      <c r="H257">
        <f>D257*F257</f>
        <v/>
      </c>
      <c r="I257">
        <f>E257*G257</f>
        <v/>
      </c>
      <c r="J257">
        <f>H257-I257</f>
        <v/>
      </c>
      <c r="K257" t="n">
        <v>0.01</v>
      </c>
      <c r="L257" t="n">
        <v>146585.4039764404</v>
      </c>
      <c r="M257" t="n">
        <v>-110350.3529248238</v>
      </c>
      <c r="N257">
        <f>-I257*K257/252</f>
        <v/>
      </c>
      <c r="O257" t="n">
        <v>0</v>
      </c>
      <c r="P257" t="n">
        <v>411.3630378512352</v>
      </c>
      <c r="Q257" t="n">
        <v>0.0432</v>
      </c>
      <c r="R257" t="n">
        <v>0</v>
      </c>
      <c r="S257" t="n">
        <v>36278.71207487277</v>
      </c>
    </row>
    <row r="258">
      <c r="A258" s="1" t="n">
        <v>44943</v>
      </c>
      <c r="B258" t="inlineStr">
        <is>
          <t>TSLQ</t>
        </is>
      </c>
      <c r="C258" t="inlineStr">
        <is>
          <t>TSLA</t>
        </is>
      </c>
      <c r="D258" t="n">
        <v>-0</v>
      </c>
      <c r="E258" t="n">
        <v>-0</v>
      </c>
      <c r="F258" t="n">
        <v>-5992</v>
      </c>
      <c r="G258" t="n">
        <v>-371</v>
      </c>
      <c r="H258">
        <f>D258*F258</f>
        <v/>
      </c>
      <c r="I258">
        <f>E258*G258</f>
        <v/>
      </c>
      <c r="J258">
        <f>H258-I258</f>
        <v/>
      </c>
      <c r="K258" t="n">
        <v>-0.02</v>
      </c>
      <c r="L258" t="n">
        <v>-54467.30377197266</v>
      </c>
      <c r="M258" t="n">
        <v>29132.69348144531</v>
      </c>
      <c r="N258">
        <f>-I258*K258/252</f>
        <v/>
      </c>
      <c r="O258" t="n">
        <v>0</v>
      </c>
      <c r="P258" t="n">
        <v>0</v>
      </c>
      <c r="Q258" t="n">
        <v>0.0432</v>
      </c>
      <c r="R258" t="n">
        <v>0</v>
      </c>
      <c r="S258" t="n">
        <v>-25334.61029052735</v>
      </c>
    </row>
    <row r="259">
      <c r="A259" s="1" t="n">
        <v>44943</v>
      </c>
      <c r="B259" t="inlineStr">
        <is>
          <t>LABU</t>
        </is>
      </c>
      <c r="C259" t="inlineStr">
        <is>
          <t>XBI</t>
        </is>
      </c>
      <c r="D259" t="n">
        <v>86.39643096923828</v>
      </c>
      <c r="E259" t="n">
        <v>156.9418029785156</v>
      </c>
      <c r="F259" t="n">
        <v>3391</v>
      </c>
      <c r="G259" t="n">
        <v>-614</v>
      </c>
      <c r="H259">
        <f>D259*F259</f>
        <v/>
      </c>
      <c r="I259">
        <f>E259*G259</f>
        <v/>
      </c>
      <c r="J259">
        <f>H259-I259</f>
        <v/>
      </c>
      <c r="K259" t="n">
        <v>0.1</v>
      </c>
      <c r="L259" t="n">
        <v>-3440.336524963379</v>
      </c>
      <c r="M259" t="n">
        <v>2894.483093261719</v>
      </c>
      <c r="N259">
        <f>-I259*K259/252</f>
        <v/>
      </c>
      <c r="O259" t="n">
        <v>0</v>
      </c>
      <c r="P259" t="n">
        <v>387.7106698414636</v>
      </c>
      <c r="Q259" t="n">
        <v>0.0432</v>
      </c>
      <c r="R259" t="n">
        <v>0</v>
      </c>
      <c r="S259" t="n">
        <v>-507.6144368489579</v>
      </c>
    </row>
    <row r="260">
      <c r="A260" s="1" t="n">
        <v>44943</v>
      </c>
      <c r="B260" t="inlineStr">
        <is>
          <t>ERX</t>
        </is>
      </c>
      <c r="C260" t="inlineStr">
        <is>
          <t>XLE</t>
        </is>
      </c>
      <c r="D260" t="n">
        <v>40.45372009277344</v>
      </c>
      <c r="E260" t="n">
        <v>64.272216796875</v>
      </c>
      <c r="F260" t="n">
        <v>1882</v>
      </c>
      <c r="G260" t="n">
        <v>-596</v>
      </c>
      <c r="H260">
        <f>D260*F260</f>
        <v/>
      </c>
      <c r="I260">
        <f>E260*G260</f>
        <v/>
      </c>
      <c r="J260">
        <f>H260-I260</f>
        <v/>
      </c>
      <c r="K260" t="n">
        <v>0.12</v>
      </c>
      <c r="L260" t="n">
        <v>160.4923629760742</v>
      </c>
      <c r="M260" t="n">
        <v>-98.21322631835938</v>
      </c>
      <c r="N260">
        <f>-I260*K260/252</f>
        <v/>
      </c>
      <c r="O260" t="n">
        <v>0</v>
      </c>
      <c r="P260" t="n">
        <v>177.0057049742199</v>
      </c>
      <c r="Q260" t="n">
        <v>0.0432</v>
      </c>
      <c r="R260" t="n">
        <v>0</v>
      </c>
      <c r="S260" t="n">
        <v>80.52020390101839</v>
      </c>
    </row>
    <row r="261">
      <c r="A261" s="1" t="n">
        <v>44943</v>
      </c>
      <c r="B261" t="inlineStr">
        <is>
          <t>GUSH</t>
        </is>
      </c>
      <c r="C261" t="inlineStr">
        <is>
          <t>XOP</t>
        </is>
      </c>
      <c r="D261" t="n">
        <v>128.9299621582031</v>
      </c>
      <c r="E261" t="n">
        <v>35.07498168945312</v>
      </c>
      <c r="F261" t="n">
        <v>3048</v>
      </c>
      <c r="G261" t="n">
        <v>-5589</v>
      </c>
      <c r="H261">
        <f>D261*F261</f>
        <v/>
      </c>
      <c r="I261">
        <f>E261*G261</f>
        <v/>
      </c>
      <c r="J261">
        <f>H261-I261</f>
        <v/>
      </c>
      <c r="K261" t="n">
        <v>-0.01</v>
      </c>
      <c r="L261" t="n">
        <v>1856.07275390625</v>
      </c>
      <c r="M261" t="n">
        <v>-1451.680835723877</v>
      </c>
      <c r="N261">
        <f>-I261*K261/252</f>
        <v/>
      </c>
      <c r="O261" t="n">
        <v>0</v>
      </c>
      <c r="P261" t="n">
        <v>-76.66707396174235</v>
      </c>
      <c r="Q261" t="n">
        <v>0.0432</v>
      </c>
      <c r="R261" t="n">
        <v>0</v>
      </c>
      <c r="S261" t="n">
        <v>396.6127883148193</v>
      </c>
    </row>
    <row r="262">
      <c r="A262" s="1" t="n">
        <v>44944</v>
      </c>
      <c r="B262" t="inlineStr">
        <is>
          <t>AAPB</t>
        </is>
      </c>
      <c r="C262" t="inlineStr">
        <is>
          <t>AAPL</t>
        </is>
      </c>
      <c r="D262" t="n">
        <v>133.0759735107422</v>
      </c>
      <c r="E262" t="n">
        <v>13.27940654754639</v>
      </c>
      <c r="F262" t="n">
        <v>9057</v>
      </c>
      <c r="G262" t="n">
        <v>-45734</v>
      </c>
      <c r="H262">
        <f>D262*F262</f>
        <v/>
      </c>
      <c r="I262">
        <f>E262*G262</f>
        <v/>
      </c>
      <c r="J262">
        <f>H262-I262</f>
        <v/>
      </c>
      <c r="K262" t="n">
        <v>-0.005</v>
      </c>
      <c r="L262" t="n">
        <v>-6507.231170654297</v>
      </c>
      <c r="M262" t="n">
        <v>4802.397987365723</v>
      </c>
      <c r="N262">
        <f>-I262*K262/252</f>
        <v/>
      </c>
      <c r="O262" t="n">
        <v>0</v>
      </c>
      <c r="P262" t="n">
        <v>-130.281005933474</v>
      </c>
      <c r="Q262" t="n">
        <v>0.0432</v>
      </c>
      <c r="R262" t="n">
        <v>0</v>
      </c>
      <c r="S262" t="n">
        <v>-1716.883190809318</v>
      </c>
    </row>
    <row r="263">
      <c r="A263" s="1" t="n">
        <v>44944</v>
      </c>
      <c r="B263" t="inlineStr">
        <is>
          <t>AAPU</t>
        </is>
      </c>
      <c r="C263" t="inlineStr">
        <is>
          <t>AAPL</t>
        </is>
      </c>
      <c r="D263" t="n">
        <v>133.0759735107422</v>
      </c>
      <c r="E263" t="n">
        <v>13.59611034393311</v>
      </c>
      <c r="F263" t="n">
        <v>7658</v>
      </c>
      <c r="G263" t="n">
        <v>-37829</v>
      </c>
      <c r="H263">
        <f>D263*F263</f>
        <v/>
      </c>
      <c r="I263">
        <f>E263*G263</f>
        <v/>
      </c>
      <c r="J263">
        <f>H263-I263</f>
        <v/>
      </c>
      <c r="K263" t="n">
        <v>0.02</v>
      </c>
      <c r="L263" t="n">
        <v>-5502.084167480469</v>
      </c>
      <c r="M263" t="n">
        <v>4675.736783981323</v>
      </c>
      <c r="N263">
        <f>-I263*K263/252</f>
        <v/>
      </c>
      <c r="O263" t="n">
        <v>0</v>
      </c>
      <c r="P263" t="n">
        <v>438.9395464037335</v>
      </c>
      <c r="Q263" t="n">
        <v>0.0432</v>
      </c>
      <c r="R263" t="n">
        <v>0</v>
      </c>
      <c r="S263" t="n">
        <v>-785.5277598324276</v>
      </c>
    </row>
    <row r="264">
      <c r="A264" s="1" t="n">
        <v>44944</v>
      </c>
      <c r="B264" t="inlineStr">
        <is>
          <t>AMZU</t>
        </is>
      </c>
      <c r="C264" t="inlineStr">
        <is>
          <t>AMZN</t>
        </is>
      </c>
      <c r="D264" t="n">
        <v>95.45999908447266</v>
      </c>
      <c r="E264" t="n">
        <v>13.45216369628906</v>
      </c>
      <c r="F264" t="n">
        <v>26092</v>
      </c>
      <c r="G264" t="n">
        <v>-91789</v>
      </c>
      <c r="H264">
        <f>D264*F264</f>
        <v/>
      </c>
      <c r="I264">
        <f>E264*G264</f>
        <v/>
      </c>
      <c r="J264">
        <f>H264-I264</f>
        <v/>
      </c>
      <c r="K264" t="n">
        <v>-0.0025</v>
      </c>
      <c r="L264" t="n">
        <v>-15394.3835144043</v>
      </c>
      <c r="M264" t="n">
        <v>12705.0053319931</v>
      </c>
      <c r="N264">
        <f>-I264*K264/252</f>
        <v/>
      </c>
      <c r="O264" t="n">
        <v>0</v>
      </c>
      <c r="P264" t="n">
        <v>-137.7546431704079</v>
      </c>
      <c r="Q264" t="n">
        <v>0.0432</v>
      </c>
      <c r="R264" t="n">
        <v>0</v>
      </c>
      <c r="S264" t="n">
        <v>-2701.627792069125</v>
      </c>
    </row>
    <row r="265">
      <c r="A265" s="1" t="n">
        <v>44944</v>
      </c>
      <c r="B265" t="inlineStr">
        <is>
          <t>TARK</t>
        </is>
      </c>
      <c r="C265" t="inlineStr">
        <is>
          <t>ARKK</t>
        </is>
      </c>
      <c r="D265" t="n">
        <v>35.65266418457031</v>
      </c>
      <c r="E265" t="n">
        <v>21.48321151733398</v>
      </c>
      <c r="F265" t="n">
        <v>18788</v>
      </c>
      <c r="G265" t="n">
        <v>-15784</v>
      </c>
      <c r="H265">
        <f>D265*F265</f>
        <v/>
      </c>
      <c r="I265">
        <f>E265*G265</f>
        <v/>
      </c>
      <c r="J265">
        <f>H265-I265</f>
        <v/>
      </c>
      <c r="K265" t="n">
        <v>-0.02</v>
      </c>
      <c r="L265" t="n">
        <v>-20309.4937286377</v>
      </c>
      <c r="M265" t="n">
        <v>20579.06797790527</v>
      </c>
      <c r="N265">
        <f>-I265*K265/252</f>
        <v/>
      </c>
      <c r="O265" t="n">
        <v>0</v>
      </c>
      <c r="P265" t="n">
        <v>-317.2134114500833</v>
      </c>
      <c r="Q265" t="n">
        <v>0.0432</v>
      </c>
      <c r="R265" t="n">
        <v>0</v>
      </c>
      <c r="S265" t="n">
        <v>242.6622643001423</v>
      </c>
    </row>
    <row r="266">
      <c r="A266" s="1" t="n">
        <v>44944</v>
      </c>
      <c r="B266" t="inlineStr">
        <is>
          <t>CHAU</t>
        </is>
      </c>
      <c r="C266" t="inlineStr">
        <is>
          <t>ASHR</t>
        </is>
      </c>
      <c r="D266" t="n">
        <v>28.99729537963867</v>
      </c>
      <c r="E266" t="n">
        <v>22.38564300537109</v>
      </c>
      <c r="F266" t="n">
        <v>5665</v>
      </c>
      <c r="G266" t="n">
        <v>-3740</v>
      </c>
      <c r="H266">
        <f>D266*F266</f>
        <v/>
      </c>
      <c r="I266">
        <f>E266*G266</f>
        <v/>
      </c>
      <c r="J266">
        <f>H266-I266</f>
        <v/>
      </c>
      <c r="K266" t="n">
        <v>-0.01</v>
      </c>
      <c r="L266" t="n">
        <v>-1121.097068786621</v>
      </c>
      <c r="M266" t="n">
        <v>1000.749320983887</v>
      </c>
      <c r="N266">
        <f>-I266*K266/252</f>
        <v/>
      </c>
      <c r="O266" t="n">
        <v>0</v>
      </c>
      <c r="P266" t="n">
        <v>-36.29839544288696</v>
      </c>
      <c r="Q266" t="n">
        <v>0.0432</v>
      </c>
      <c r="R266" t="n">
        <v>0</v>
      </c>
      <c r="S266" t="n">
        <v>-123.6700614868646</v>
      </c>
    </row>
    <row r="267">
      <c r="A267" s="1" t="n">
        <v>44944</v>
      </c>
      <c r="B267" t="inlineStr">
        <is>
          <t>BABX</t>
        </is>
      </c>
      <c r="C267" t="inlineStr">
        <is>
          <t>BABA</t>
        </is>
      </c>
      <c r="D267" t="n">
        <v>107.5244674682617</v>
      </c>
      <c r="E267" t="n">
        <v>36.70999908447266</v>
      </c>
      <c r="F267" t="n">
        <v>4529</v>
      </c>
      <c r="G267" t="n">
        <v>-6431</v>
      </c>
      <c r="H267">
        <f>D267*F267</f>
        <v/>
      </c>
      <c r="I267">
        <f>E267*G267</f>
        <v/>
      </c>
      <c r="J267">
        <f>H267-I267</f>
        <v/>
      </c>
      <c r="K267" t="n">
        <v>-0.0275</v>
      </c>
      <c r="L267" t="n">
        <v>-8473.319755554199</v>
      </c>
      <c r="M267" t="n">
        <v>8025.895065307617</v>
      </c>
      <c r="N267">
        <f>-I267*K267/252</f>
        <v/>
      </c>
      <c r="O267" t="n">
        <v>0</v>
      </c>
      <c r="P267" t="n">
        <v>-337.3333647309031</v>
      </c>
      <c r="Q267" t="n">
        <v>0.0432</v>
      </c>
      <c r="R267" t="n">
        <v>0</v>
      </c>
      <c r="S267" t="n">
        <v>-473.1876073620055</v>
      </c>
    </row>
    <row r="268">
      <c r="A268" s="1" t="n">
        <v>44944</v>
      </c>
      <c r="B268" t="inlineStr">
        <is>
          <t>CONL</t>
        </is>
      </c>
      <c r="C268" t="inlineStr">
        <is>
          <t>COIN</t>
        </is>
      </c>
      <c r="D268" t="n">
        <v>50.20999908447266</v>
      </c>
      <c r="E268" t="n">
        <v>7.421611309051514</v>
      </c>
      <c r="F268" t="n">
        <v>71778</v>
      </c>
      <c r="G268" t="n">
        <v>-242944</v>
      </c>
      <c r="H268">
        <f>D268*F268</f>
        <v/>
      </c>
      <c r="I268">
        <f>E268*G268</f>
        <v/>
      </c>
      <c r="J268">
        <f>H268-I268</f>
        <v/>
      </c>
      <c r="K268" t="n">
        <v>0.03</v>
      </c>
      <c r="L268" t="n">
        <v>-282087.5619049072</v>
      </c>
      <c r="M268" t="n">
        <v>225379.5067138672</v>
      </c>
      <c r="N268">
        <f>-I268*K268/252</f>
        <v/>
      </c>
      <c r="O268" t="n">
        <v>0</v>
      </c>
      <c r="P268" t="n">
        <v>2764.724389461846</v>
      </c>
      <c r="Q268" t="n">
        <v>0.0432</v>
      </c>
      <c r="R268" t="n">
        <v>0</v>
      </c>
      <c r="S268" t="n">
        <v>-56493.40805557978</v>
      </c>
    </row>
    <row r="269">
      <c r="A269" s="1" t="n">
        <v>44944</v>
      </c>
      <c r="B269" t="inlineStr">
        <is>
          <t>MEXX</t>
        </is>
      </c>
      <c r="C269" t="inlineStr">
        <is>
          <t>EWW</t>
        </is>
      </c>
      <c r="D269" t="n">
        <v>50.77806091308594</v>
      </c>
      <c r="E269" t="n">
        <v>22.04853057861328</v>
      </c>
      <c r="F269" t="n">
        <v>8705</v>
      </c>
      <c r="G269" t="n">
        <v>-6605</v>
      </c>
      <c r="H269">
        <f>D269*F269</f>
        <v/>
      </c>
      <c r="I269">
        <f>E269*G269</f>
        <v/>
      </c>
      <c r="J269">
        <f>H269-I269</f>
        <v/>
      </c>
      <c r="K269" t="n">
        <v>0.0075</v>
      </c>
      <c r="L269" t="n">
        <v>-3943.091640472412</v>
      </c>
      <c r="M269" t="n">
        <v>4048.958930969238</v>
      </c>
      <c r="N269">
        <f>-I269*K269/252</f>
        <v/>
      </c>
      <c r="O269" t="n">
        <v>0</v>
      </c>
      <c r="P269" t="n">
        <v>51.54522664331255</v>
      </c>
      <c r="Q269" t="n">
        <v>0.0432</v>
      </c>
      <c r="R269" t="n">
        <v>0</v>
      </c>
      <c r="S269" t="n">
        <v>110.201532891818</v>
      </c>
    </row>
    <row r="270">
      <c r="A270" s="1" t="n">
        <v>44944</v>
      </c>
      <c r="B270" t="inlineStr">
        <is>
          <t>KORU</t>
        </is>
      </c>
      <c r="C270" t="inlineStr">
        <is>
          <t>EWY</t>
        </is>
      </c>
      <c r="D270" t="n">
        <v>57.08259201049805</v>
      </c>
      <c r="E270" t="n">
        <v>88.2923583984375</v>
      </c>
      <c r="F270" t="n">
        <v>12312</v>
      </c>
      <c r="G270" t="n">
        <v>-2618</v>
      </c>
      <c r="H270">
        <f>D270*F270</f>
        <v/>
      </c>
      <c r="I270">
        <f>E270*G270</f>
        <v/>
      </c>
      <c r="J270">
        <f>H270-I270</f>
        <v/>
      </c>
      <c r="K270" t="n">
        <v>0.0225</v>
      </c>
      <c r="L270" t="n">
        <v>-10658.87127685547</v>
      </c>
      <c r="M270" t="n">
        <v>10517.97958374023</v>
      </c>
      <c r="N270">
        <f>-I270*K270/252</f>
        <v/>
      </c>
      <c r="O270" t="n">
        <v>0</v>
      </c>
      <c r="P270" t="n">
        <v>250.2411156109401</v>
      </c>
      <c r="Q270" t="n">
        <v>0.0432</v>
      </c>
      <c r="R270" t="n">
        <v>0</v>
      </c>
      <c r="S270" t="n">
        <v>-120.2533543396051</v>
      </c>
    </row>
    <row r="271">
      <c r="A271" s="1" t="n">
        <v>44944</v>
      </c>
      <c r="B271" t="inlineStr">
        <is>
          <t>YINN</t>
        </is>
      </c>
      <c r="C271" t="inlineStr">
        <is>
          <t>FXI</t>
        </is>
      </c>
      <c r="D271" t="n">
        <v>28.86991882324219</v>
      </c>
      <c r="E271" t="n">
        <v>55.84358215332031</v>
      </c>
      <c r="F271" t="n">
        <v>34614</v>
      </c>
      <c r="G271" t="n">
        <v>-5631</v>
      </c>
      <c r="H271">
        <f>D271*F271</f>
        <v/>
      </c>
      <c r="I271">
        <f>E271*G271</f>
        <v/>
      </c>
      <c r="J271">
        <f>H271-I271</f>
        <v/>
      </c>
      <c r="K271" t="n">
        <v>-0.02</v>
      </c>
      <c r="L271" t="n">
        <v>-9967.31721496582</v>
      </c>
      <c r="M271" t="n">
        <v>10108.04281997681</v>
      </c>
      <c r="N271">
        <f>-I271*K271/252</f>
        <v/>
      </c>
      <c r="O271" t="n">
        <v>0</v>
      </c>
      <c r="P271" t="n">
        <v>-308.588966313014</v>
      </c>
      <c r="Q271" t="n">
        <v>0.0432</v>
      </c>
      <c r="R271" t="n">
        <v>0</v>
      </c>
      <c r="S271" t="n">
        <v>115.7688422248513</v>
      </c>
    </row>
    <row r="272">
      <c r="A272" s="1" t="n">
        <v>44944</v>
      </c>
      <c r="B272" t="inlineStr">
        <is>
          <t>JNUG</t>
        </is>
      </c>
      <c r="C272" t="inlineStr">
        <is>
          <t>GDXJ</t>
        </is>
      </c>
      <c r="D272" t="n">
        <v>36.47718811035156</v>
      </c>
      <c r="E272" t="n">
        <v>39.25249481201172</v>
      </c>
      <c r="F272" t="n">
        <v>13681</v>
      </c>
      <c r="G272" t="n">
        <v>-6148</v>
      </c>
      <c r="H272">
        <f>D272*F272</f>
        <v/>
      </c>
      <c r="I272">
        <f>E272*G272</f>
        <v/>
      </c>
      <c r="J272">
        <f>H272-I272</f>
        <v/>
      </c>
      <c r="K272" t="n">
        <v>-0.005</v>
      </c>
      <c r="L272" t="n">
        <v>-6988.612022399902</v>
      </c>
      <c r="M272" t="n">
        <v>7366.957138061523</v>
      </c>
      <c r="N272">
        <f>-I272*K272/252</f>
        <v/>
      </c>
      <c r="O272" t="n">
        <v>0</v>
      </c>
      <c r="P272" t="n">
        <v>-56.82794005787562</v>
      </c>
      <c r="Q272" t="n">
        <v>0.0432</v>
      </c>
      <c r="R272" t="n">
        <v>0</v>
      </c>
      <c r="S272" t="n">
        <v>373.5569343500289</v>
      </c>
    </row>
    <row r="273">
      <c r="A273" s="1" t="n">
        <v>44944</v>
      </c>
      <c r="B273" t="inlineStr">
        <is>
          <t>GDXU</t>
        </is>
      </c>
      <c r="C273" t="inlineStr">
        <is>
          <t>GDX</t>
        </is>
      </c>
      <c r="D273" t="n">
        <v>30.13066482543945</v>
      </c>
      <c r="E273" t="n">
        <v>52.88999938964844</v>
      </c>
      <c r="F273" t="n">
        <v>52231</v>
      </c>
      <c r="G273" t="n">
        <v>-8884</v>
      </c>
      <c r="H273">
        <f>D273*F273</f>
        <v/>
      </c>
      <c r="I273">
        <f>E273*G273</f>
        <v/>
      </c>
      <c r="J273">
        <f>H273-I273</f>
        <v/>
      </c>
      <c r="K273" t="n">
        <v>-0.005</v>
      </c>
      <c r="L273" t="n">
        <v>-15631.80200576782</v>
      </c>
      <c r="M273" t="n">
        <v>15813.50915527344</v>
      </c>
      <c r="N273">
        <f>-I273*K273/252</f>
        <v/>
      </c>
      <c r="O273" t="n">
        <v>0</v>
      </c>
      <c r="P273" t="n">
        <v>-117.4867646105327</v>
      </c>
      <c r="Q273" t="n">
        <v>0.0432</v>
      </c>
      <c r="R273" t="n">
        <v>0</v>
      </c>
      <c r="S273" t="n">
        <v>172.3842377084435</v>
      </c>
    </row>
    <row r="274">
      <c r="A274" s="1" t="n">
        <v>44944</v>
      </c>
      <c r="B274" t="inlineStr">
        <is>
          <t>NUGT</t>
        </is>
      </c>
      <c r="C274" t="inlineStr">
        <is>
          <t>GDX</t>
        </is>
      </c>
      <c r="D274" t="n">
        <v>30.13066482543945</v>
      </c>
      <c r="E274" t="n">
        <v>38.93460845947266</v>
      </c>
      <c r="F274" t="n">
        <v>15534</v>
      </c>
      <c r="G274" t="n">
        <v>-5817</v>
      </c>
      <c r="H274">
        <f>D274*F274</f>
        <v/>
      </c>
      <c r="I274">
        <f>E274*G274</f>
        <v/>
      </c>
      <c r="J274">
        <f>H274-I274</f>
        <v/>
      </c>
      <c r="K274" t="n">
        <v>-0.0175</v>
      </c>
      <c r="L274" t="n">
        <v>-4649.047737121582</v>
      </c>
      <c r="M274" t="n">
        <v>4469.306831359863</v>
      </c>
      <c r="N274">
        <f>-I274*K274/252</f>
        <v/>
      </c>
      <c r="O274" t="n">
        <v>0</v>
      </c>
      <c r="P274" t="n">
        <v>-186.7457405010859</v>
      </c>
      <c r="Q274" t="n">
        <v>0.0432</v>
      </c>
      <c r="R274" t="n">
        <v>0</v>
      </c>
      <c r="S274" t="n">
        <v>-195.4688653039932</v>
      </c>
    </row>
    <row r="275">
      <c r="A275" s="1" t="n">
        <v>44944</v>
      </c>
      <c r="B275" t="inlineStr">
        <is>
          <t>GGLL</t>
        </is>
      </c>
      <c r="C275" t="inlineStr">
        <is>
          <t>GOOGL</t>
        </is>
      </c>
      <c r="D275" t="n">
        <v>90.37307739257812</v>
      </c>
      <c r="E275" t="n">
        <v>16.70499229431152</v>
      </c>
      <c r="F275" t="n">
        <v>21017</v>
      </c>
      <c r="G275" t="n">
        <v>-56586</v>
      </c>
      <c r="H275">
        <f>D275*F275</f>
        <v/>
      </c>
      <c r="I275">
        <f>E275*G275</f>
        <v/>
      </c>
      <c r="J275">
        <f>H275-I275</f>
        <v/>
      </c>
      <c r="K275" t="n">
        <v>0</v>
      </c>
      <c r="L275" t="n">
        <v>-3543.508018493652</v>
      </c>
      <c r="M275" t="n">
        <v>4235.035045623779</v>
      </c>
      <c r="N275">
        <f>-I275*K275/252</f>
        <v/>
      </c>
      <c r="O275" t="n">
        <v>0</v>
      </c>
      <c r="P275" t="n">
        <v>0</v>
      </c>
      <c r="Q275" t="n">
        <v>0.0432</v>
      </c>
      <c r="R275" t="n">
        <v>0</v>
      </c>
      <c r="S275" t="n">
        <v>691.5270271301274</v>
      </c>
    </row>
    <row r="276">
      <c r="A276" s="1" t="n">
        <v>44944</v>
      </c>
      <c r="B276" t="inlineStr">
        <is>
          <t>CWEB</t>
        </is>
      </c>
      <c r="C276" t="inlineStr">
        <is>
          <t>KWEB</t>
        </is>
      </c>
      <c r="D276" t="n">
        <v>29.85056114196777</v>
      </c>
      <c r="E276" t="n">
        <v>55.0230712890625</v>
      </c>
      <c r="F276" t="n">
        <v>14190</v>
      </c>
      <c r="G276" t="n">
        <v>-3658</v>
      </c>
      <c r="H276">
        <f>D276*F276</f>
        <v/>
      </c>
      <c r="I276">
        <f>E276*G276</f>
        <v/>
      </c>
      <c r="J276">
        <f>H276-I276</f>
        <v/>
      </c>
      <c r="K276" t="n">
        <v>-0.02</v>
      </c>
      <c r="L276" t="n">
        <v>-11059.81950759888</v>
      </c>
      <c r="M276" t="n">
        <v>10605.49847412109</v>
      </c>
      <c r="N276">
        <f>-I276*K276/252</f>
        <v/>
      </c>
      <c r="O276" t="n">
        <v>0</v>
      </c>
      <c r="P276" t="n">
        <v>-199.7650887328859</v>
      </c>
      <c r="Q276" t="n">
        <v>0.0432</v>
      </c>
      <c r="R276" t="n">
        <v>0</v>
      </c>
      <c r="S276" t="n">
        <v>-470.2951917932976</v>
      </c>
    </row>
    <row r="277">
      <c r="A277" s="1" t="n">
        <v>44944</v>
      </c>
      <c r="B277" t="inlineStr">
        <is>
          <t>FBL</t>
        </is>
      </c>
      <c r="C277" t="inlineStr">
        <is>
          <t>META</t>
        </is>
      </c>
      <c r="D277" t="n">
        <v>131.9842834472656</v>
      </c>
      <c r="E277" t="n">
        <v>4.000571250915527</v>
      </c>
      <c r="F277" t="n">
        <v>25557</v>
      </c>
      <c r="G277" t="n">
        <v>-416177</v>
      </c>
      <c r="H277">
        <f>D277*F277</f>
        <v/>
      </c>
      <c r="I277">
        <f>E277*G277</f>
        <v/>
      </c>
      <c r="J277">
        <f>H277-I277</f>
        <v/>
      </c>
      <c r="K277" t="n">
        <v>-0.01</v>
      </c>
      <c r="L277" t="n">
        <v>-59336.49366760254</v>
      </c>
      <c r="M277" t="n">
        <v>42891.89914321899</v>
      </c>
      <c r="N277">
        <f>-I277*K277/252</f>
        <v/>
      </c>
      <c r="O277" t="n">
        <v>0</v>
      </c>
      <c r="P277" t="n">
        <v>-750.7273318794039</v>
      </c>
      <c r="Q277" t="n">
        <v>0.0432</v>
      </c>
      <c r="R277" t="n">
        <v>0</v>
      </c>
      <c r="S277" t="n">
        <v>-16510.6637998396</v>
      </c>
    </row>
    <row r="278">
      <c r="A278" s="1" t="n">
        <v>44944</v>
      </c>
      <c r="B278" t="inlineStr">
        <is>
          <t>MSFU</t>
        </is>
      </c>
      <c r="C278" t="inlineStr">
        <is>
          <t>MSFT</t>
        </is>
      </c>
      <c r="D278" t="n">
        <v>229.7792205810547</v>
      </c>
      <c r="E278" t="n">
        <v>18.24917221069336</v>
      </c>
      <c r="F278" t="n">
        <v>8999</v>
      </c>
      <c r="G278" t="n">
        <v>-56464</v>
      </c>
      <c r="H278">
        <f>D278*F278</f>
        <v/>
      </c>
      <c r="I278">
        <f>E278*G278</f>
        <v/>
      </c>
      <c r="J278">
        <f>H278-I278</f>
        <v/>
      </c>
      <c r="K278" t="n">
        <v>-0.005</v>
      </c>
      <c r="L278" t="n">
        <v>-39810.71586608887</v>
      </c>
      <c r="M278" t="n">
        <v>29549.88247680664</v>
      </c>
      <c r="N278">
        <f>-I278*K278/252</f>
        <v/>
      </c>
      <c r="O278" t="n">
        <v>0</v>
      </c>
      <c r="P278" t="n">
        <v>-209.9340604848711</v>
      </c>
      <c r="Q278" t="n">
        <v>0.0432</v>
      </c>
      <c r="R278" t="n">
        <v>0</v>
      </c>
      <c r="S278" t="n">
        <v>-10281.27825554621</v>
      </c>
    </row>
    <row r="279">
      <c r="A279" s="1" t="n">
        <v>44944</v>
      </c>
      <c r="B279" t="inlineStr">
        <is>
          <t>NVDL</t>
        </is>
      </c>
      <c r="C279" t="inlineStr">
        <is>
          <t>NVDA</t>
        </is>
      </c>
      <c r="D279" t="n">
        <v>17.35868263244629</v>
      </c>
      <c r="E279" t="n">
        <v>3.623124361038208</v>
      </c>
      <c r="F279" t="n">
        <v>281812</v>
      </c>
      <c r="G279" t="n">
        <v>-687936</v>
      </c>
      <c r="H279">
        <f>D279*F279</f>
        <v/>
      </c>
      <c r="I279">
        <f>E279*G279</f>
        <v/>
      </c>
      <c r="J279">
        <f>H279-I279</f>
        <v/>
      </c>
      <c r="K279" t="n">
        <v>0</v>
      </c>
      <c r="L279" t="n">
        <v>-91491.82501983643</v>
      </c>
      <c r="M279" t="n">
        <v>60847.58020019531</v>
      </c>
      <c r="N279">
        <f>-I279*K279/252</f>
        <v/>
      </c>
      <c r="O279" t="n">
        <v>0</v>
      </c>
      <c r="P279" t="n">
        <v>0</v>
      </c>
      <c r="Q279" t="n">
        <v>0.0432</v>
      </c>
      <c r="R279" t="n">
        <v>0</v>
      </c>
      <c r="S279" t="n">
        <v>-30644.24481964111</v>
      </c>
    </row>
    <row r="280">
      <c r="A280" s="1" t="n">
        <v>44944</v>
      </c>
      <c r="B280" t="inlineStr">
        <is>
          <t>SOXL</t>
        </is>
      </c>
      <c r="C280" t="inlineStr">
        <is>
          <t>SOXX</t>
        </is>
      </c>
      <c r="D280" t="n">
        <v>125.248779296875</v>
      </c>
      <c r="E280" t="n">
        <v>12.54456329345703</v>
      </c>
      <c r="F280" t="n">
        <v>8623</v>
      </c>
      <c r="G280" t="n">
        <v>-28873</v>
      </c>
      <c r="H280">
        <f>D280*F280</f>
        <v/>
      </c>
      <c r="I280">
        <f>E280*G280</f>
        <v/>
      </c>
      <c r="J280">
        <f>H280-I280</f>
        <v/>
      </c>
      <c r="K280" t="n">
        <v>-0.0175</v>
      </c>
      <c r="L280" t="n">
        <v>-5700.29035949707</v>
      </c>
      <c r="M280" t="n">
        <v>6780.711881637573</v>
      </c>
      <c r="N280">
        <f>-I280*K280/252</f>
        <v/>
      </c>
      <c r="O280" t="n">
        <v>0</v>
      </c>
      <c r="P280" t="n">
        <v>-291.6490022359955</v>
      </c>
      <c r="Q280" t="n">
        <v>0.0432</v>
      </c>
      <c r="R280" t="n">
        <v>0</v>
      </c>
      <c r="S280" t="n">
        <v>1055.268801586893</v>
      </c>
    </row>
    <row r="281">
      <c r="A281" s="1" t="n">
        <v>44944</v>
      </c>
      <c r="B281" t="inlineStr">
        <is>
          <t>SOXS</t>
        </is>
      </c>
      <c r="C281" t="inlineStr">
        <is>
          <t>SOXX</t>
        </is>
      </c>
      <c r="D281" t="n">
        <v>-0</v>
      </c>
      <c r="E281" t="n">
        <v>-0</v>
      </c>
      <c r="F281" t="n">
        <v>-6748</v>
      </c>
      <c r="G281" t="n">
        <v>-57</v>
      </c>
      <c r="H281">
        <f>D281*F281</f>
        <v/>
      </c>
      <c r="I281">
        <f>E281*G281</f>
        <v/>
      </c>
      <c r="J281">
        <f>H281-I281</f>
        <v/>
      </c>
      <c r="K281" t="n">
        <v>0.07000000000000001</v>
      </c>
      <c r="L281" t="n">
        <v>4460.809387207031</v>
      </c>
      <c r="M281" t="n">
        <v>-5157.52587890625</v>
      </c>
      <c r="N281">
        <f>-I281*K281/252</f>
        <v/>
      </c>
      <c r="O281" t="n">
        <v>0</v>
      </c>
      <c r="P281" t="n">
        <v>0</v>
      </c>
      <c r="Q281" t="n">
        <v>0.0432</v>
      </c>
      <c r="R281" t="n">
        <v>0</v>
      </c>
      <c r="S281" t="n">
        <v>-696.7164916992188</v>
      </c>
    </row>
    <row r="282">
      <c r="A282" s="1" t="n">
        <v>44944</v>
      </c>
      <c r="B282" t="inlineStr">
        <is>
          <t>HIBL</t>
        </is>
      </c>
      <c r="C282" t="inlineStr">
        <is>
          <t>SPHB</t>
        </is>
      </c>
      <c r="D282" t="n">
        <v>66.45628356933594</v>
      </c>
      <c r="E282" t="n">
        <v>29.30631446838379</v>
      </c>
      <c r="F282" t="n">
        <v>6387</v>
      </c>
      <c r="G282" t="n">
        <v>-4747</v>
      </c>
      <c r="H282">
        <f>D282*F282</f>
        <v/>
      </c>
      <c r="I282">
        <f>E282*G282</f>
        <v/>
      </c>
      <c r="J282">
        <f>H282-I282</f>
        <v/>
      </c>
      <c r="K282" t="n">
        <v>0.12</v>
      </c>
      <c r="L282" t="n">
        <v>-4794.440689086914</v>
      </c>
      <c r="M282" t="n">
        <v>5051.365447998047</v>
      </c>
      <c r="N282">
        <f>-I282*K282/252</f>
        <v/>
      </c>
      <c r="O282" t="n">
        <v>0</v>
      </c>
      <c r="P282" t="n">
        <v>766.1767135011581</v>
      </c>
      <c r="Q282" t="n">
        <v>0.0432</v>
      </c>
      <c r="R282" t="n">
        <v>0</v>
      </c>
      <c r="S282" t="n">
        <v>323.1709849975223</v>
      </c>
    </row>
    <row r="283">
      <c r="A283" s="1" t="n">
        <v>44944</v>
      </c>
      <c r="B283" t="inlineStr">
        <is>
          <t>TSLL</t>
        </is>
      </c>
      <c r="C283" t="inlineStr">
        <is>
          <t>TSLA</t>
        </is>
      </c>
      <c r="D283" t="n">
        <v>128.7799987792969</v>
      </c>
      <c r="E283" t="n">
        <v>5.696977615356445</v>
      </c>
      <c r="F283" t="n">
        <v>16126</v>
      </c>
      <c r="G283" t="n">
        <v>-187433</v>
      </c>
      <c r="H283">
        <f>D283*F283</f>
        <v/>
      </c>
      <c r="I283">
        <f>E283*G283</f>
        <v/>
      </c>
      <c r="J283">
        <f>H283-I283</f>
        <v/>
      </c>
      <c r="K283" t="n">
        <v>0.01</v>
      </c>
      <c r="L283" t="n">
        <v>-43701.56826782227</v>
      </c>
      <c r="M283" t="n">
        <v>32456.18067646027</v>
      </c>
      <c r="N283">
        <f>-I283*K283/252</f>
        <v/>
      </c>
      <c r="O283" t="n">
        <v>0</v>
      </c>
      <c r="P283" t="n">
        <v>453.7361174297711</v>
      </c>
      <c r="Q283" t="n">
        <v>0.0432</v>
      </c>
      <c r="R283" t="n">
        <v>0</v>
      </c>
      <c r="S283" t="n">
        <v>-11203.01451178347</v>
      </c>
    </row>
    <row r="284">
      <c r="A284" s="1" t="n">
        <v>44944</v>
      </c>
      <c r="B284" t="inlineStr">
        <is>
          <t>TSLQ</t>
        </is>
      </c>
      <c r="C284" t="inlineStr">
        <is>
          <t>TSLA</t>
        </is>
      </c>
      <c r="D284" t="n">
        <v>-0</v>
      </c>
      <c r="E284" t="n">
        <v>-0</v>
      </c>
      <c r="F284" t="n">
        <v>-5992</v>
      </c>
      <c r="G284" t="n">
        <v>-371</v>
      </c>
      <c r="H284">
        <f>D284*F284</f>
        <v/>
      </c>
      <c r="I284">
        <f>E284*G284</f>
        <v/>
      </c>
      <c r="J284">
        <f>H284-I284</f>
        <v/>
      </c>
      <c r="K284" t="n">
        <v>-0.02</v>
      </c>
      <c r="L284" t="n">
        <v>16238.36022949219</v>
      </c>
      <c r="M284" t="n">
        <v>-7432.86181640625</v>
      </c>
      <c r="N284">
        <f>-I284*K284/252</f>
        <v/>
      </c>
      <c r="O284" t="n">
        <v>0</v>
      </c>
      <c r="P284" t="n">
        <v>0</v>
      </c>
      <c r="Q284" t="n">
        <v>0.0432</v>
      </c>
      <c r="R284" t="n">
        <v>0</v>
      </c>
      <c r="S284" t="n">
        <v>8805.498413085939</v>
      </c>
    </row>
    <row r="285">
      <c r="A285" s="1" t="n">
        <v>44944</v>
      </c>
      <c r="B285" t="inlineStr">
        <is>
          <t>LABU</t>
        </is>
      </c>
      <c r="C285" t="inlineStr">
        <is>
          <t>XBI</t>
        </is>
      </c>
      <c r="D285" t="n">
        <v>85.32218933105469</v>
      </c>
      <c r="E285" t="n">
        <v>150.8527069091797</v>
      </c>
      <c r="F285" t="n">
        <v>3391</v>
      </c>
      <c r="G285" t="n">
        <v>-614</v>
      </c>
      <c r="H285">
        <f>D285*F285</f>
        <v/>
      </c>
      <c r="I285">
        <f>E285*G285</f>
        <v/>
      </c>
      <c r="J285">
        <f>H285-I285</f>
        <v/>
      </c>
      <c r="K285" t="n">
        <v>0.1</v>
      </c>
      <c r="L285" t="n">
        <v>-3642.753395080566</v>
      </c>
      <c r="M285" t="n">
        <v>3738.704986572266</v>
      </c>
      <c r="N285">
        <f>-I285*K285/252</f>
        <v/>
      </c>
      <c r="O285" t="n">
        <v>0</v>
      </c>
      <c r="P285" t="n">
        <v>424.4660516042558</v>
      </c>
      <c r="Q285" t="n">
        <v>0.0432</v>
      </c>
      <c r="R285" t="n">
        <v>0</v>
      </c>
      <c r="S285" t="n">
        <v>132.7069732544923</v>
      </c>
    </row>
    <row r="286">
      <c r="A286" s="1" t="n">
        <v>44944</v>
      </c>
      <c r="B286" t="inlineStr">
        <is>
          <t>ERX</t>
        </is>
      </c>
      <c r="C286" t="inlineStr">
        <is>
          <t>XLE</t>
        </is>
      </c>
      <c r="D286" t="n">
        <v>39.71321487426758</v>
      </c>
      <c r="E286" t="n">
        <v>62.04741668701172</v>
      </c>
      <c r="F286" t="n">
        <v>1882</v>
      </c>
      <c r="G286" t="n">
        <v>-596</v>
      </c>
      <c r="H286">
        <f>D286*F286</f>
        <v/>
      </c>
      <c r="I286">
        <f>E286*G286</f>
        <v/>
      </c>
      <c r="J286">
        <f>H286-I286</f>
        <v/>
      </c>
      <c r="K286" t="n">
        <v>0.12</v>
      </c>
      <c r="L286" t="n">
        <v>-1393.630821228027</v>
      </c>
      <c r="M286" t="n">
        <v>1325.980865478516</v>
      </c>
      <c r="N286">
        <f>-I286*K286/252</f>
        <v/>
      </c>
      <c r="O286" t="n">
        <v>0</v>
      </c>
      <c r="P286" t="n">
        <v>194.6153527577718</v>
      </c>
      <c r="Q286" t="n">
        <v>0.0432</v>
      </c>
      <c r="R286" t="n">
        <v>0</v>
      </c>
      <c r="S286" t="n">
        <v>-50.04030796595892</v>
      </c>
    </row>
    <row r="287">
      <c r="A287" s="1" t="n">
        <v>44944</v>
      </c>
      <c r="B287" t="inlineStr">
        <is>
          <t>GUSH</t>
        </is>
      </c>
      <c r="C287" t="inlineStr">
        <is>
          <t>XOP</t>
        </is>
      </c>
      <c r="D287" t="n">
        <v>126.4113006591797</v>
      </c>
      <c r="E287" t="n">
        <v>33.75326919555664</v>
      </c>
      <c r="F287" t="n">
        <v>3048</v>
      </c>
      <c r="G287" t="n">
        <v>-5589</v>
      </c>
      <c r="H287">
        <f>D287*F287</f>
        <v/>
      </c>
      <c r="I287">
        <f>E287*G287</f>
        <v/>
      </c>
      <c r="J287">
        <f>H287-I287</f>
        <v/>
      </c>
      <c r="K287" t="n">
        <v>-0.01</v>
      </c>
      <c r="L287" t="n">
        <v>-7676.880249023438</v>
      </c>
      <c r="M287" t="n">
        <v>7387.051128387451</v>
      </c>
      <c r="N287">
        <f>-I287*K287/252</f>
        <v/>
      </c>
      <c r="O287" t="n">
        <v>0</v>
      </c>
      <c r="P287" t="n">
        <v>-84.15306687975686</v>
      </c>
      <c r="Q287" t="n">
        <v>0.0432</v>
      </c>
      <c r="R287" t="n">
        <v>0</v>
      </c>
      <c r="S287" t="n">
        <v>-297.3151135540018</v>
      </c>
    </row>
    <row r="288">
      <c r="A288" s="1" t="n">
        <v>44945</v>
      </c>
      <c r="B288" t="inlineStr">
        <is>
          <t>AAPB</t>
        </is>
      </c>
      <c r="C288" t="inlineStr">
        <is>
          <t>AAPL</t>
        </is>
      </c>
      <c r="D288" t="n">
        <v>133.1350402832031</v>
      </c>
      <c r="E288" t="n">
        <v>13.26728916168213</v>
      </c>
      <c r="F288" t="n">
        <v>9057</v>
      </c>
      <c r="G288" t="n">
        <v>-45734</v>
      </c>
      <c r="H288">
        <f>D288*F288</f>
        <v/>
      </c>
      <c r="I288">
        <f>E288*G288</f>
        <v/>
      </c>
      <c r="J288">
        <f>H288-I288</f>
        <v/>
      </c>
      <c r="K288" t="n">
        <v>-0.005</v>
      </c>
      <c r="L288" t="n">
        <v>534.9677581787109</v>
      </c>
      <c r="M288" t="n">
        <v>554.1765251159668</v>
      </c>
      <c r="N288">
        <f>-I288*K288/252</f>
        <v/>
      </c>
      <c r="O288" t="n">
        <v>0</v>
      </c>
      <c r="P288" t="n">
        <v>-142.3200178882433</v>
      </c>
      <c r="Q288" t="n">
        <v>0.0432</v>
      </c>
      <c r="R288" t="n">
        <v>0</v>
      </c>
      <c r="S288" t="n">
        <v>1077.105271339909</v>
      </c>
    </row>
    <row r="289">
      <c r="A289" s="1" t="n">
        <v>44945</v>
      </c>
      <c r="B289" t="inlineStr">
        <is>
          <t>AAPU</t>
        </is>
      </c>
      <c r="C289" t="inlineStr">
        <is>
          <t>AAPL</t>
        </is>
      </c>
      <c r="D289" t="n">
        <v>133.1350402832031</v>
      </c>
      <c r="E289" t="n">
        <v>13.61928558349609</v>
      </c>
      <c r="F289" t="n">
        <v>7658</v>
      </c>
      <c r="G289" t="n">
        <v>-37829</v>
      </c>
      <c r="H289">
        <f>D289*F289</f>
        <v/>
      </c>
      <c r="I289">
        <f>E289*G289</f>
        <v/>
      </c>
      <c r="J289">
        <f>H289-I289</f>
        <v/>
      </c>
      <c r="K289" t="n">
        <v>0.02</v>
      </c>
      <c r="L289" t="n">
        <v>452.3333435058594</v>
      </c>
      <c r="M289" t="n">
        <v>-876.6961374282837</v>
      </c>
      <c r="N289">
        <f>-I289*K289/252</f>
        <v/>
      </c>
      <c r="O289" t="n">
        <v>0</v>
      </c>
      <c r="P289" t="n">
        <v>479.8287491289774</v>
      </c>
      <c r="Q289" t="n">
        <v>0.0432</v>
      </c>
      <c r="R289" t="n">
        <v>0</v>
      </c>
      <c r="S289" t="n">
        <v>-383.4735911971804</v>
      </c>
    </row>
    <row r="290">
      <c r="A290" s="1" t="n">
        <v>44945</v>
      </c>
      <c r="B290" t="inlineStr">
        <is>
          <t>AMZU</t>
        </is>
      </c>
      <c r="C290" t="inlineStr">
        <is>
          <t>AMZN</t>
        </is>
      </c>
      <c r="D290" t="n">
        <v>93.68000030517578</v>
      </c>
      <c r="E290" t="n">
        <v>13.06633472442627</v>
      </c>
      <c r="F290" t="n">
        <v>26092</v>
      </c>
      <c r="G290" t="n">
        <v>-91789</v>
      </c>
      <c r="H290">
        <f>D290*F290</f>
        <v/>
      </c>
      <c r="I290">
        <f>E290*G290</f>
        <v/>
      </c>
      <c r="J290">
        <f>H290-I290</f>
        <v/>
      </c>
      <c r="K290" t="n">
        <v>-0.0025</v>
      </c>
      <c r="L290" t="n">
        <v>-46443.72814941406</v>
      </c>
      <c r="M290" t="n">
        <v>35414.8554983139</v>
      </c>
      <c r="N290">
        <f>-I290*K290/252</f>
        <v/>
      </c>
      <c r="O290" t="n">
        <v>0</v>
      </c>
      <c r="P290" t="n">
        <v>-149.6529149761654</v>
      </c>
      <c r="Q290" t="n">
        <v>0.0432</v>
      </c>
      <c r="R290" t="n">
        <v>0</v>
      </c>
      <c r="S290" t="n">
        <v>-11040.77092290592</v>
      </c>
    </row>
    <row r="291">
      <c r="A291" s="1" t="n">
        <v>44945</v>
      </c>
      <c r="B291" t="inlineStr">
        <is>
          <t>TARK</t>
        </is>
      </c>
      <c r="C291" t="inlineStr">
        <is>
          <t>ARKK</t>
        </is>
      </c>
      <c r="D291" t="n">
        <v>34.50225830078125</v>
      </c>
      <c r="E291" t="n">
        <v>20.0267219543457</v>
      </c>
      <c r="F291" t="n">
        <v>18788</v>
      </c>
      <c r="G291" t="n">
        <v>-15784</v>
      </c>
      <c r="H291">
        <f>D291*F291</f>
        <v/>
      </c>
      <c r="I291">
        <f>E291*G291</f>
        <v/>
      </c>
      <c r="J291">
        <f>H291-I291</f>
        <v/>
      </c>
      <c r="K291" t="n">
        <v>-0.02</v>
      </c>
      <c r="L291" t="n">
        <v>-21613.82574462891</v>
      </c>
      <c r="M291" t="n">
        <v>22989.23126220703</v>
      </c>
      <c r="N291">
        <f>-I291*K291/252</f>
        <v/>
      </c>
      <c r="O291" t="n">
        <v>0</v>
      </c>
      <c r="P291" t="n">
        <v>-342.3008542538446</v>
      </c>
      <c r="Q291" t="n">
        <v>0.0432</v>
      </c>
      <c r="R291" t="n">
        <v>0</v>
      </c>
      <c r="S291" t="n">
        <v>1350.31807477436</v>
      </c>
    </row>
    <row r="292">
      <c r="A292" s="1" t="n">
        <v>44945</v>
      </c>
      <c r="B292" t="inlineStr">
        <is>
          <t>CHAU</t>
        </is>
      </c>
      <c r="C292" t="inlineStr">
        <is>
          <t>ASHR</t>
        </is>
      </c>
      <c r="D292" t="n">
        <v>29.30828094482422</v>
      </c>
      <c r="E292" t="n">
        <v>22.75403213500977</v>
      </c>
      <c r="F292" t="n">
        <v>5665</v>
      </c>
      <c r="G292" t="n">
        <v>-3740</v>
      </c>
      <c r="H292">
        <f>D292*F292</f>
        <v/>
      </c>
      <c r="I292">
        <f>E292*G292</f>
        <v/>
      </c>
      <c r="J292">
        <f>H292-I292</f>
        <v/>
      </c>
      <c r="K292" t="n">
        <v>-0.01</v>
      </c>
      <c r="L292" t="n">
        <v>1761.733226776123</v>
      </c>
      <c r="M292" t="n">
        <v>-1377.775344848633</v>
      </c>
      <c r="N292">
        <f>-I292*K292/252</f>
        <v/>
      </c>
      <c r="O292" t="n">
        <v>0</v>
      </c>
      <c r="P292" t="n">
        <v>-39.67538275181301</v>
      </c>
      <c r="Q292" t="n">
        <v>0.0432</v>
      </c>
      <c r="R292" t="n">
        <v>0</v>
      </c>
      <c r="S292" t="n">
        <v>380.5808946185639</v>
      </c>
    </row>
    <row r="293">
      <c r="A293" s="1" t="n">
        <v>44945</v>
      </c>
      <c r="B293" t="inlineStr">
        <is>
          <t>BABX</t>
        </is>
      </c>
      <c r="C293" t="inlineStr">
        <is>
          <t>BABA</t>
        </is>
      </c>
      <c r="D293" t="n">
        <v>110.715446472168</v>
      </c>
      <c r="E293" t="n">
        <v>38.7599983215332</v>
      </c>
      <c r="F293" t="n">
        <v>4529</v>
      </c>
      <c r="G293" t="n">
        <v>-6431</v>
      </c>
      <c r="H293">
        <f>D293*F293</f>
        <v/>
      </c>
      <c r="I293">
        <f>E293*G293</f>
        <v/>
      </c>
      <c r="J293">
        <f>H293-I293</f>
        <v/>
      </c>
      <c r="K293" t="n">
        <v>-0.0275</v>
      </c>
      <c r="L293" t="n">
        <v>14451.94390869141</v>
      </c>
      <c r="M293" t="n">
        <v>-13183.54509353638</v>
      </c>
      <c r="N293">
        <f>-I293*K293/252</f>
        <v/>
      </c>
      <c r="O293" t="n">
        <v>0</v>
      </c>
      <c r="P293" t="n">
        <v>-364.5349623624862</v>
      </c>
      <c r="Q293" t="n">
        <v>0.0432</v>
      </c>
      <c r="R293" t="n">
        <v>0</v>
      </c>
      <c r="S293" t="n">
        <v>1241.197217523446</v>
      </c>
    </row>
    <row r="294">
      <c r="A294" s="1" t="n">
        <v>44945</v>
      </c>
      <c r="B294" t="inlineStr">
        <is>
          <t>CONL</t>
        </is>
      </c>
      <c r="C294" t="inlineStr">
        <is>
          <t>COIN</t>
        </is>
      </c>
      <c r="D294" t="n">
        <v>49.41999816894531</v>
      </c>
      <c r="E294" t="n">
        <v>7.281957149505615</v>
      </c>
      <c r="F294" t="n">
        <v>71778</v>
      </c>
      <c r="G294" t="n">
        <v>-242944</v>
      </c>
      <c r="H294">
        <f>D294*F294</f>
        <v/>
      </c>
      <c r="I294">
        <f>E294*G294</f>
        <v/>
      </c>
      <c r="J294">
        <f>H294-I294</f>
        <v/>
      </c>
      <c r="K294" t="n">
        <v>0.03</v>
      </c>
      <c r="L294" t="n">
        <v>-56704.68571472168</v>
      </c>
      <c r="M294" t="n">
        <v>33928.14013671875</v>
      </c>
      <c r="N294">
        <f>-I294*K294/252</f>
        <v/>
      </c>
      <c r="O294" t="n">
        <v>0</v>
      </c>
      <c r="P294" t="n">
        <v>2975.332460620119</v>
      </c>
      <c r="Q294" t="n">
        <v>0.0432</v>
      </c>
      <c r="R294" t="n">
        <v>0</v>
      </c>
      <c r="S294" t="n">
        <v>-22565.93750684466</v>
      </c>
    </row>
    <row r="295">
      <c r="A295" s="1" t="n">
        <v>44945</v>
      </c>
      <c r="B295" t="inlineStr">
        <is>
          <t>MEXX</t>
        </is>
      </c>
      <c r="C295" t="inlineStr">
        <is>
          <t>EWW</t>
        </is>
      </c>
      <c r="D295" t="n">
        <v>50.74181747436523</v>
      </c>
      <c r="E295" t="n">
        <v>21.98525428771973</v>
      </c>
      <c r="F295" t="n">
        <v>8705</v>
      </c>
      <c r="G295" t="n">
        <v>-6605</v>
      </c>
      <c r="H295">
        <f>D295*F295</f>
        <v/>
      </c>
      <c r="I295">
        <f>E295*G295</f>
        <v/>
      </c>
      <c r="J295">
        <f>H295-I295</f>
        <v/>
      </c>
      <c r="K295" t="n">
        <v>0.0075</v>
      </c>
      <c r="L295" t="n">
        <v>-315.4991340637207</v>
      </c>
      <c r="M295" t="n">
        <v>417.9399013519287</v>
      </c>
      <c r="N295">
        <f>-I295*K295/252</f>
        <v/>
      </c>
      <c r="O295" t="n">
        <v>0</v>
      </c>
      <c r="P295" t="n">
        <v>55.86703035076459</v>
      </c>
      <c r="Q295" t="n">
        <v>0.0432</v>
      </c>
      <c r="R295" t="n">
        <v>0</v>
      </c>
      <c r="S295" t="n">
        <v>106.7625709956601</v>
      </c>
    </row>
    <row r="296">
      <c r="A296" s="1" t="n">
        <v>44945</v>
      </c>
      <c r="B296" t="inlineStr">
        <is>
          <t>KORU</t>
        </is>
      </c>
      <c r="C296" t="inlineStr">
        <is>
          <t>EWY</t>
        </is>
      </c>
      <c r="D296" t="n">
        <v>57.87385177612305</v>
      </c>
      <c r="E296" t="n">
        <v>91.56246185302734</v>
      </c>
      <c r="F296" t="n">
        <v>12312</v>
      </c>
      <c r="G296" t="n">
        <v>-2618</v>
      </c>
      <c r="H296">
        <f>D296*F296</f>
        <v/>
      </c>
      <c r="I296">
        <f>E296*G296</f>
        <v/>
      </c>
      <c r="J296">
        <f>H296-I296</f>
        <v/>
      </c>
      <c r="K296" t="n">
        <v>0.0225</v>
      </c>
      <c r="L296" t="n">
        <v>9741.990234375</v>
      </c>
      <c r="M296" t="n">
        <v>-8561.130844116211</v>
      </c>
      <c r="N296">
        <f>-I296*K296/252</f>
        <v/>
      </c>
      <c r="O296" t="n">
        <v>0</v>
      </c>
      <c r="P296" t="n">
        <v>271.6438410690852</v>
      </c>
      <c r="Q296" t="n">
        <v>0.0432</v>
      </c>
      <c r="R296" t="n">
        <v>0</v>
      </c>
      <c r="S296" t="n">
        <v>1202.262115716934</v>
      </c>
    </row>
    <row r="297">
      <c r="A297" s="1" t="n">
        <v>44945</v>
      </c>
      <c r="B297" t="inlineStr">
        <is>
          <t>YINN</t>
        </is>
      </c>
      <c r="C297" t="inlineStr">
        <is>
          <t>FXI</t>
        </is>
      </c>
      <c r="D297" t="n">
        <v>29.44583320617676</v>
      </c>
      <c r="E297" t="n">
        <v>59.27478790283203</v>
      </c>
      <c r="F297" t="n">
        <v>34614</v>
      </c>
      <c r="G297" t="n">
        <v>-5631</v>
      </c>
      <c r="H297">
        <f>D297*F297</f>
        <v/>
      </c>
      <c r="I297">
        <f>E297*G297</f>
        <v/>
      </c>
      <c r="J297">
        <f>H297-I297</f>
        <v/>
      </c>
      <c r="K297" t="n">
        <v>-0.02</v>
      </c>
      <c r="L297" t="n">
        <v>19934.70045089722</v>
      </c>
      <c r="M297" t="n">
        <v>-19321.11957550049</v>
      </c>
      <c r="N297">
        <f>-I297*K297/252</f>
        <v/>
      </c>
      <c r="O297" t="n">
        <v>0</v>
      </c>
      <c r="P297" t="n">
        <v>-335.0791512876844</v>
      </c>
      <c r="Q297" t="n">
        <v>0.0432</v>
      </c>
      <c r="R297" t="n">
        <v>0</v>
      </c>
      <c r="S297" t="n">
        <v>587.0906904220617</v>
      </c>
    </row>
    <row r="298">
      <c r="A298" s="1" t="n">
        <v>44945</v>
      </c>
      <c r="B298" t="inlineStr">
        <is>
          <t>JNUG</t>
        </is>
      </c>
      <c r="C298" t="inlineStr">
        <is>
          <t>GDXJ</t>
        </is>
      </c>
      <c r="D298" t="n">
        <v>37.46100997924805</v>
      </c>
      <c r="E298" t="n">
        <v>41.31201553344727</v>
      </c>
      <c r="F298" t="n">
        <v>13681</v>
      </c>
      <c r="G298" t="n">
        <v>-6148</v>
      </c>
      <c r="H298">
        <f>D298*F298</f>
        <v/>
      </c>
      <c r="I298">
        <f>E298*G298</f>
        <v/>
      </c>
      <c r="J298">
        <f>H298-I298</f>
        <v/>
      </c>
      <c r="K298" t="n">
        <v>-0.005</v>
      </c>
      <c r="L298" t="n">
        <v>13459.6669883728</v>
      </c>
      <c r="M298" t="n">
        <v>-12661.93339538574</v>
      </c>
      <c r="N298">
        <f>-I298*K298/252</f>
        <v/>
      </c>
      <c r="O298" t="n">
        <v>0</v>
      </c>
      <c r="P298" t="n">
        <v>-61.86735020667788</v>
      </c>
      <c r="Q298" t="n">
        <v>0.0432</v>
      </c>
      <c r="R298" t="n">
        <v>0</v>
      </c>
      <c r="S298" t="n">
        <v>792.6941828382564</v>
      </c>
    </row>
    <row r="299">
      <c r="A299" s="1" t="n">
        <v>44945</v>
      </c>
      <c r="B299" t="inlineStr">
        <is>
          <t>GDXU</t>
        </is>
      </c>
      <c r="C299" t="inlineStr">
        <is>
          <t>GDX</t>
        </is>
      </c>
      <c r="D299" t="n">
        <v>30.91265487670898</v>
      </c>
      <c r="E299" t="n">
        <v>56.88999938964844</v>
      </c>
      <c r="F299" t="n">
        <v>52231</v>
      </c>
      <c r="G299" t="n">
        <v>-8884</v>
      </c>
      <c r="H299">
        <f>D299*F299</f>
        <v/>
      </c>
      <c r="I299">
        <f>E299*G299</f>
        <v/>
      </c>
      <c r="J299">
        <f>H299-I299</f>
        <v/>
      </c>
      <c r="K299" t="n">
        <v>-0.005</v>
      </c>
      <c r="L299" t="n">
        <v>40844.12236785889</v>
      </c>
      <c r="M299" t="n">
        <v>-35536</v>
      </c>
      <c r="N299">
        <f>-I299*K299/252</f>
        <v/>
      </c>
      <c r="O299" t="n">
        <v>0</v>
      </c>
      <c r="P299" t="n">
        <v>-127.5147557727875</v>
      </c>
      <c r="Q299" t="n">
        <v>0.0432</v>
      </c>
      <c r="R299" t="n">
        <v>0</v>
      </c>
      <c r="S299" t="n">
        <v>5298.094376696632</v>
      </c>
    </row>
    <row r="300">
      <c r="A300" s="1" t="n">
        <v>44945</v>
      </c>
      <c r="B300" t="inlineStr">
        <is>
          <t>NUGT</t>
        </is>
      </c>
      <c r="C300" t="inlineStr">
        <is>
          <t>GDX</t>
        </is>
      </c>
      <c r="D300" t="n">
        <v>30.91265487670898</v>
      </c>
      <c r="E300" t="n">
        <v>40.80738830566406</v>
      </c>
      <c r="F300" t="n">
        <v>15534</v>
      </c>
      <c r="G300" t="n">
        <v>-5817</v>
      </c>
      <c r="H300">
        <f>D300*F300</f>
        <v/>
      </c>
      <c r="I300">
        <f>E300*G300</f>
        <v/>
      </c>
      <c r="J300">
        <f>H300-I300</f>
        <v/>
      </c>
      <c r="K300" t="n">
        <v>-0.0175</v>
      </c>
      <c r="L300" t="n">
        <v>12147.4334564209</v>
      </c>
      <c r="M300" t="n">
        <v>-10893.96036529541</v>
      </c>
      <c r="N300">
        <f>-I300*K300/252</f>
        <v/>
      </c>
      <c r="O300" t="n">
        <v>0</v>
      </c>
      <c r="P300" t="n">
        <v>-203.2302250687282</v>
      </c>
      <c r="Q300" t="n">
        <v>0.0432</v>
      </c>
      <c r="R300" t="n">
        <v>0</v>
      </c>
      <c r="S300" t="n">
        <v>1236.988606557848</v>
      </c>
    </row>
    <row r="301">
      <c r="A301" s="1" t="n">
        <v>44945</v>
      </c>
      <c r="B301" t="inlineStr">
        <is>
          <t>GGLL</t>
        </is>
      </c>
      <c r="C301" t="inlineStr">
        <is>
          <t>GOOGL</t>
        </is>
      </c>
      <c r="D301" t="n">
        <v>92.28725433349609</v>
      </c>
      <c r="E301" t="n">
        <v>17.26898002624512</v>
      </c>
      <c r="F301" t="n">
        <v>21017</v>
      </c>
      <c r="G301" t="n">
        <v>-56586</v>
      </c>
      <c r="H301">
        <f>D301*F301</f>
        <v/>
      </c>
      <c r="I301">
        <f>E301*G301</f>
        <v/>
      </c>
      <c r="J301">
        <f>H301-I301</f>
        <v/>
      </c>
      <c r="K301" t="n">
        <v>0</v>
      </c>
      <c r="L301" t="n">
        <v>40230.25676727295</v>
      </c>
      <c r="M301" t="n">
        <v>-31913.80979919434</v>
      </c>
      <c r="N301">
        <f>-I301*K301/252</f>
        <v/>
      </c>
      <c r="O301" t="n">
        <v>0</v>
      </c>
      <c r="P301" t="n">
        <v>0</v>
      </c>
      <c r="Q301" t="n">
        <v>0.0432</v>
      </c>
      <c r="R301" t="n">
        <v>0</v>
      </c>
      <c r="S301" t="n">
        <v>8316.44696807861</v>
      </c>
    </row>
    <row r="302">
      <c r="A302" s="1" t="n">
        <v>44945</v>
      </c>
      <c r="B302" t="inlineStr">
        <is>
          <t>CWEB</t>
        </is>
      </c>
      <c r="C302" t="inlineStr">
        <is>
          <t>KWEB</t>
        </is>
      </c>
      <c r="D302" t="n">
        <v>30.4060001373291</v>
      </c>
      <c r="E302" t="n">
        <v>56.82384872436523</v>
      </c>
      <c r="F302" t="n">
        <v>14190</v>
      </c>
      <c r="G302" t="n">
        <v>-3658</v>
      </c>
      <c r="H302">
        <f>D302*F302</f>
        <v/>
      </c>
      <c r="I302">
        <f>E302*G302</f>
        <v/>
      </c>
      <c r="J302">
        <f>H302-I302</f>
        <v/>
      </c>
      <c r="K302" t="n">
        <v>-0.02</v>
      </c>
      <c r="L302" t="n">
        <v>7881.679344177246</v>
      </c>
      <c r="M302" t="n">
        <v>-6587.243858337402</v>
      </c>
      <c r="N302">
        <f>-I302*K302/252</f>
        <v/>
      </c>
      <c r="O302" t="n">
        <v>0</v>
      </c>
      <c r="P302" t="n">
        <v>-216.2620441800072</v>
      </c>
      <c r="Q302" t="n">
        <v>0.0432</v>
      </c>
      <c r="R302" t="n">
        <v>0</v>
      </c>
      <c r="S302" t="n">
        <v>1277.938530392722</v>
      </c>
    </row>
    <row r="303">
      <c r="A303" s="1" t="n">
        <v>44945</v>
      </c>
      <c r="B303" t="inlineStr">
        <is>
          <t>FBL</t>
        </is>
      </c>
      <c r="C303" t="inlineStr">
        <is>
          <t>META</t>
        </is>
      </c>
      <c r="D303" t="n">
        <v>135.0898895263672</v>
      </c>
      <c r="E303" t="n">
        <v>4.13958740234375</v>
      </c>
      <c r="F303" t="n">
        <v>25557</v>
      </c>
      <c r="G303" t="n">
        <v>-416177</v>
      </c>
      <c r="H303">
        <f>D303*F303</f>
        <v/>
      </c>
      <c r="I303">
        <f>E303*G303</f>
        <v/>
      </c>
      <c r="J303">
        <f>H303-I303</f>
        <v/>
      </c>
      <c r="K303" t="n">
        <v>-0.01</v>
      </c>
      <c r="L303" t="n">
        <v>79369.97456359863</v>
      </c>
      <c r="M303" t="n">
        <v>-57855.32485294342</v>
      </c>
      <c r="N303">
        <f>-I303*K303/252</f>
        <v/>
      </c>
      <c r="O303" t="n">
        <v>0</v>
      </c>
      <c r="P303" t="n">
        <v>-819.0924535597695</v>
      </c>
      <c r="Q303" t="n">
        <v>0.0432</v>
      </c>
      <c r="R303" t="n">
        <v>0</v>
      </c>
      <c r="S303" t="n">
        <v>21446.28458897485</v>
      </c>
    </row>
    <row r="304">
      <c r="A304" s="1" t="n">
        <v>44945</v>
      </c>
      <c r="B304" t="inlineStr">
        <is>
          <t>MSFU</t>
        </is>
      </c>
      <c r="C304" t="inlineStr">
        <is>
          <t>MSFT</t>
        </is>
      </c>
      <c r="D304" t="n">
        <v>225.9984130859375</v>
      </c>
      <c r="E304" t="n">
        <v>17.7935791015625</v>
      </c>
      <c r="F304" t="n">
        <v>8999</v>
      </c>
      <c r="G304" t="n">
        <v>-56464</v>
      </c>
      <c r="H304">
        <f>D304*F304</f>
        <v/>
      </c>
      <c r="I304">
        <f>E304*G304</f>
        <v/>
      </c>
      <c r="J304">
        <f>H304-I304</f>
        <v/>
      </c>
      <c r="K304" t="n">
        <v>-0.005</v>
      </c>
      <c r="L304" t="n">
        <v>-34023.48664855957</v>
      </c>
      <c r="M304" t="n">
        <v>25724.60931396484</v>
      </c>
      <c r="N304">
        <f>-I304*K304/252</f>
        <v/>
      </c>
      <c r="O304" t="n">
        <v>0</v>
      </c>
      <c r="P304" t="n">
        <v>-229.8685178338914</v>
      </c>
      <c r="Q304" t="n">
        <v>0.0432</v>
      </c>
      <c r="R304" t="n">
        <v>0</v>
      </c>
      <c r="S304" t="n">
        <v>-8318.81179194375</v>
      </c>
    </row>
    <row r="305">
      <c r="A305" s="1" t="n">
        <v>44945</v>
      </c>
      <c r="B305" t="inlineStr">
        <is>
          <t>NVDL</t>
        </is>
      </c>
      <c r="C305" t="inlineStr">
        <is>
          <t>NVDA</t>
        </is>
      </c>
      <c r="D305" t="n">
        <v>16.7473316192627</v>
      </c>
      <c r="E305" t="n">
        <v>3.432158470153809</v>
      </c>
      <c r="F305" t="n">
        <v>281812</v>
      </c>
      <c r="G305" t="n">
        <v>-687936</v>
      </c>
      <c r="H305">
        <f>D305*F305</f>
        <v/>
      </c>
      <c r="I305">
        <f>E305*G305</f>
        <v/>
      </c>
      <c r="J305">
        <f>H305-I305</f>
        <v/>
      </c>
      <c r="K305" t="n">
        <v>0</v>
      </c>
      <c r="L305" t="n">
        <v>-172286.0517272949</v>
      </c>
      <c r="M305" t="n">
        <v>131372.3111114502</v>
      </c>
      <c r="N305">
        <f>-I305*K305/252</f>
        <v/>
      </c>
      <c r="O305" t="n">
        <v>0</v>
      </c>
      <c r="P305" t="n">
        <v>0</v>
      </c>
      <c r="Q305" t="n">
        <v>0.0432</v>
      </c>
      <c r="R305" t="n">
        <v>0</v>
      </c>
      <c r="S305" t="n">
        <v>-40913.7406158447</v>
      </c>
    </row>
    <row r="306">
      <c r="A306" s="1" t="n">
        <v>44945</v>
      </c>
      <c r="B306" t="inlineStr">
        <is>
          <t>SOXL</t>
        </is>
      </c>
      <c r="C306" t="inlineStr">
        <is>
          <t>SOXX</t>
        </is>
      </c>
      <c r="D306" t="n">
        <v>121.735107421875</v>
      </c>
      <c r="E306" t="n">
        <v>11.51712417602539</v>
      </c>
      <c r="F306" t="n">
        <v>8623</v>
      </c>
      <c r="G306" t="n">
        <v>-28873</v>
      </c>
      <c r="H306">
        <f>D306*F306</f>
        <v/>
      </c>
      <c r="I306">
        <f>E306*G306</f>
        <v/>
      </c>
      <c r="J306">
        <f>H306-I306</f>
        <v/>
      </c>
      <c r="K306" t="n">
        <v>-0.0175</v>
      </c>
      <c r="L306" t="n">
        <v>-30298.392578125</v>
      </c>
      <c r="M306" t="n">
        <v>29665.24963760376</v>
      </c>
      <c r="N306">
        <f>-I306*K306/252</f>
        <v/>
      </c>
      <c r="O306" t="n">
        <v>0</v>
      </c>
      <c r="P306" t="n">
        <v>-314.7416360092163</v>
      </c>
      <c r="Q306" t="n">
        <v>0.0432</v>
      </c>
      <c r="R306" t="n">
        <v>0</v>
      </c>
      <c r="S306" t="n">
        <v>-656.2355742944611</v>
      </c>
    </row>
    <row r="307">
      <c r="A307" s="1" t="n">
        <v>44945</v>
      </c>
      <c r="B307" t="inlineStr">
        <is>
          <t>SOXS</t>
        </is>
      </c>
      <c r="C307" t="inlineStr">
        <is>
          <t>SOXX</t>
        </is>
      </c>
      <c r="D307" t="n">
        <v>-0</v>
      </c>
      <c r="E307" t="n">
        <v>-0</v>
      </c>
      <c r="F307" t="n">
        <v>-6748</v>
      </c>
      <c r="G307" t="n">
        <v>-57</v>
      </c>
      <c r="H307">
        <f>D307*F307</f>
        <v/>
      </c>
      <c r="I307">
        <f>E307*G307</f>
        <v/>
      </c>
      <c r="J307">
        <f>H307-I307</f>
        <v/>
      </c>
      <c r="K307" t="n">
        <v>0.07000000000000001</v>
      </c>
      <c r="L307" t="n">
        <v>23710.2578125</v>
      </c>
      <c r="M307" t="n">
        <v>-24200.7861328125</v>
      </c>
      <c r="N307">
        <f>-I307*K307/252</f>
        <v/>
      </c>
      <c r="O307" t="n">
        <v>0</v>
      </c>
      <c r="P307" t="n">
        <v>0</v>
      </c>
      <c r="Q307" t="n">
        <v>0.0432</v>
      </c>
      <c r="R307" t="n">
        <v>0</v>
      </c>
      <c r="S307" t="n">
        <v>-490.5283203125</v>
      </c>
    </row>
    <row r="308">
      <c r="A308" s="1" t="n">
        <v>44945</v>
      </c>
      <c r="B308" t="inlineStr">
        <is>
          <t>HIBL</t>
        </is>
      </c>
      <c r="C308" t="inlineStr">
        <is>
          <t>SPHB</t>
        </is>
      </c>
      <c r="D308" t="n">
        <v>65.15971374511719</v>
      </c>
      <c r="E308" t="n">
        <v>27.49444580078125</v>
      </c>
      <c r="F308" t="n">
        <v>6387</v>
      </c>
      <c r="G308" t="n">
        <v>-4747</v>
      </c>
      <c r="H308">
        <f>D308*F308</f>
        <v/>
      </c>
      <c r="I308">
        <f>E308*G308</f>
        <v/>
      </c>
      <c r="J308">
        <f>H308-I308</f>
        <v/>
      </c>
      <c r="K308" t="n">
        <v>0.12</v>
      </c>
      <c r="L308" t="n">
        <v>-8281.191467285156</v>
      </c>
      <c r="M308" t="n">
        <v>8600.940565109253</v>
      </c>
      <c r="N308">
        <f>-I308*K308/252</f>
        <v/>
      </c>
      <c r="O308" t="n">
        <v>0</v>
      </c>
      <c r="P308" t="n">
        <v>828.3272536041623</v>
      </c>
      <c r="Q308" t="n">
        <v>0.0432</v>
      </c>
      <c r="R308" t="n">
        <v>0</v>
      </c>
      <c r="S308" t="n">
        <v>381.8996379271008</v>
      </c>
    </row>
    <row r="309">
      <c r="A309" s="1" t="n">
        <v>44945</v>
      </c>
      <c r="B309" t="inlineStr">
        <is>
          <t>TSLL</t>
        </is>
      </c>
      <c r="C309" t="inlineStr">
        <is>
          <t>TSLA</t>
        </is>
      </c>
      <c r="D309" t="n">
        <v>127.1699981689453</v>
      </c>
      <c r="E309" t="n">
        <v>5.575765132904053</v>
      </c>
      <c r="F309" t="n">
        <v>16126</v>
      </c>
      <c r="G309" t="n">
        <v>-187433</v>
      </c>
      <c r="H309">
        <f>D309*F309</f>
        <v/>
      </c>
      <c r="I309">
        <f>E309*G309</f>
        <v/>
      </c>
      <c r="J309">
        <f>H309-I309</f>
        <v/>
      </c>
      <c r="K309" t="n">
        <v>0.01</v>
      </c>
      <c r="L309" t="n">
        <v>-25962.8698425293</v>
      </c>
      <c r="M309" t="n">
        <v>22719.2192234993</v>
      </c>
      <c r="N309">
        <f>-I309*K309/252</f>
        <v/>
      </c>
      <c r="O309" t="n">
        <v>0</v>
      </c>
      <c r="P309" t="n">
        <v>495.2076406899142</v>
      </c>
      <c r="Q309" t="n">
        <v>0.0432</v>
      </c>
      <c r="R309" t="n">
        <v>0</v>
      </c>
      <c r="S309" t="n">
        <v>-3202.179095769856</v>
      </c>
    </row>
    <row r="310">
      <c r="A310" s="1" t="n">
        <v>44945</v>
      </c>
      <c r="B310" t="inlineStr">
        <is>
          <t>TSLQ</t>
        </is>
      </c>
      <c r="C310" t="inlineStr">
        <is>
          <t>TSLA</t>
        </is>
      </c>
      <c r="D310" t="n">
        <v>-0</v>
      </c>
      <c r="E310" t="n">
        <v>-0</v>
      </c>
      <c r="F310" t="n">
        <v>-5992</v>
      </c>
      <c r="G310" t="n">
        <v>-371</v>
      </c>
      <c r="H310">
        <f>D310*F310</f>
        <v/>
      </c>
      <c r="I310">
        <f>E310*G310</f>
        <v/>
      </c>
      <c r="J310">
        <f>H310-I310</f>
        <v/>
      </c>
      <c r="K310" t="n">
        <v>-0.02</v>
      </c>
      <c r="L310" t="n">
        <v>9647.123657226562</v>
      </c>
      <c r="M310" t="n">
        <v>-4938.552551269531</v>
      </c>
      <c r="N310">
        <f>-I310*K310/252</f>
        <v/>
      </c>
      <c r="O310" t="n">
        <v>0</v>
      </c>
      <c r="P310" t="n">
        <v>0</v>
      </c>
      <c r="Q310" t="n">
        <v>0.0432</v>
      </c>
      <c r="R310" t="n">
        <v>0</v>
      </c>
      <c r="S310" t="n">
        <v>4708.571105957031</v>
      </c>
    </row>
    <row r="311">
      <c r="A311" s="1" t="n">
        <v>44945</v>
      </c>
      <c r="B311" t="inlineStr">
        <is>
          <t>LABU</t>
        </is>
      </c>
      <c r="C311" t="inlineStr">
        <is>
          <t>XBI</t>
        </is>
      </c>
      <c r="D311" t="n">
        <v>84.43694305419922</v>
      </c>
      <c r="E311" t="n">
        <v>146.3349761962891</v>
      </c>
      <c r="F311" t="n">
        <v>3391</v>
      </c>
      <c r="G311" t="n">
        <v>-614</v>
      </c>
      <c r="H311">
        <f>D311*F311</f>
        <v/>
      </c>
      <c r="I311">
        <f>E311*G311</f>
        <v/>
      </c>
      <c r="J311">
        <f>H311-I311</f>
        <v/>
      </c>
      <c r="K311" t="n">
        <v>0.1</v>
      </c>
      <c r="L311" t="n">
        <v>-3001.870124816895</v>
      </c>
      <c r="M311" t="n">
        <v>2773.886657714844</v>
      </c>
      <c r="N311">
        <f>-I311*K311/252</f>
        <v/>
      </c>
      <c r="O311" t="n">
        <v>0</v>
      </c>
      <c r="P311" t="n">
        <v>460.1206846933517</v>
      </c>
      <c r="Q311" t="n">
        <v>0.0432</v>
      </c>
      <c r="R311" t="n">
        <v>0</v>
      </c>
      <c r="S311" t="n">
        <v>-192.3288340129549</v>
      </c>
    </row>
    <row r="312">
      <c r="A312" s="1" t="n">
        <v>44945</v>
      </c>
      <c r="B312" t="inlineStr">
        <is>
          <t>ERX</t>
        </is>
      </c>
      <c r="C312" t="inlineStr">
        <is>
          <t>XLE</t>
        </is>
      </c>
      <c r="D312" t="n">
        <v>40.20687484741211</v>
      </c>
      <c r="E312" t="n">
        <v>63.41160583496094</v>
      </c>
      <c r="F312" t="n">
        <v>1882</v>
      </c>
      <c r="G312" t="n">
        <v>-596</v>
      </c>
      <c r="H312">
        <f>D312*F312</f>
        <v/>
      </c>
      <c r="I312">
        <f>E312*G312</f>
        <v/>
      </c>
      <c r="J312">
        <f>H312-I312</f>
        <v/>
      </c>
      <c r="K312" t="n">
        <v>0.12</v>
      </c>
      <c r="L312" t="n">
        <v>929.0680694580078</v>
      </c>
      <c r="M312" t="n">
        <v>-813.0567321777344</v>
      </c>
      <c r="N312">
        <f>-I312*K312/252</f>
        <v/>
      </c>
      <c r="O312" t="n">
        <v>0</v>
      </c>
      <c r="P312" t="n">
        <v>212.6121704137893</v>
      </c>
      <c r="Q312" t="n">
        <v>0.0432</v>
      </c>
      <c r="R312" t="n">
        <v>0</v>
      </c>
      <c r="S312" t="n">
        <v>134.0081549362909</v>
      </c>
    </row>
    <row r="313">
      <c r="A313" s="1" t="n">
        <v>44945</v>
      </c>
      <c r="B313" t="inlineStr">
        <is>
          <t>GUSH</t>
        </is>
      </c>
      <c r="C313" t="inlineStr">
        <is>
          <t>XOP</t>
        </is>
      </c>
      <c r="D313" t="n">
        <v>128.8745727539062</v>
      </c>
      <c r="E313" t="n">
        <v>35.03131484985352</v>
      </c>
      <c r="F313" t="n">
        <v>3048</v>
      </c>
      <c r="G313" t="n">
        <v>-5589</v>
      </c>
      <c r="H313">
        <f>D313*F313</f>
        <v/>
      </c>
      <c r="I313">
        <f>E313*G313</f>
        <v/>
      </c>
      <c r="J313">
        <f>H313-I313</f>
        <v/>
      </c>
      <c r="K313" t="n">
        <v>-0.01</v>
      </c>
      <c r="L313" t="n">
        <v>7508.053344726562</v>
      </c>
      <c r="M313" t="n">
        <v>-7142.997161865234</v>
      </c>
      <c r="N313">
        <f>-I313*K313/252</f>
        <v/>
      </c>
      <c r="O313" t="n">
        <v>0</v>
      </c>
      <c r="P313" t="n">
        <v>-91.92251206609937</v>
      </c>
      <c r="Q313" t="n">
        <v>0.0432</v>
      </c>
      <c r="R313" t="n">
        <v>0</v>
      </c>
      <c r="S313" t="n">
        <v>357.2867376749847</v>
      </c>
    </row>
    <row r="314">
      <c r="A314" s="1" t="n">
        <v>44946</v>
      </c>
      <c r="B314" t="inlineStr">
        <is>
          <t>AAPB</t>
        </is>
      </c>
      <c r="C314" t="inlineStr">
        <is>
          <t>AAPL</t>
        </is>
      </c>
      <c r="D314" t="n">
        <v>135.6940155029297</v>
      </c>
      <c r="E314" t="n">
        <v>13.68328094482422</v>
      </c>
      <c r="F314" t="n">
        <v>9057</v>
      </c>
      <c r="G314" t="n">
        <v>-45734</v>
      </c>
      <c r="H314">
        <f>D314*F314</f>
        <v/>
      </c>
      <c r="I314">
        <f>E314*G314</f>
        <v/>
      </c>
      <c r="J314">
        <f>H314-I314</f>
        <v/>
      </c>
      <c r="K314" t="n">
        <v>-0.005</v>
      </c>
      <c r="L314" t="n">
        <v>23176.63856506348</v>
      </c>
      <c r="M314" t="n">
        <v>-19024.96821022034</v>
      </c>
      <c r="N314">
        <f>-I314*K314/252</f>
        <v/>
      </c>
      <c r="O314" t="n">
        <v>1</v>
      </c>
      <c r="P314" t="n">
        <v>-154.7365093709931</v>
      </c>
      <c r="Q314" t="n">
        <v>0.0432</v>
      </c>
      <c r="R314" t="n">
        <v>0</v>
      </c>
      <c r="S314" t="n">
        <v>4139.25386336039</v>
      </c>
    </row>
    <row r="315">
      <c r="A315" s="1" t="n">
        <v>44946</v>
      </c>
      <c r="B315" t="inlineStr">
        <is>
          <t>AAPU</t>
        </is>
      </c>
      <c r="C315" t="inlineStr">
        <is>
          <t>AAPL</t>
        </is>
      </c>
      <c r="D315" t="n">
        <v>135.6940155029297</v>
      </c>
      <c r="E315" t="n">
        <v>14.01326274871826</v>
      </c>
      <c r="F315" t="n">
        <v>7658</v>
      </c>
      <c r="G315" t="n">
        <v>-37829</v>
      </c>
      <c r="H315">
        <f>D315*F315</f>
        <v/>
      </c>
      <c r="I315">
        <f>E315*G315</f>
        <v/>
      </c>
      <c r="J315">
        <f>H315-I315</f>
        <v/>
      </c>
      <c r="K315" t="n">
        <v>0.02</v>
      </c>
      <c r="L315" t="n">
        <v>19596.63223266602</v>
      </c>
      <c r="M315" t="n">
        <v>-14903.76218318939</v>
      </c>
      <c r="N315">
        <f>-I315*K315/252</f>
        <v/>
      </c>
      <c r="O315" t="n">
        <v>1</v>
      </c>
      <c r="P315" t="n">
        <v>521.9007901227285</v>
      </c>
      <c r="Q315" t="n">
        <v>0.0432</v>
      </c>
      <c r="R315" t="n">
        <v>0</v>
      </c>
      <c r="S315" t="n">
        <v>4734.94209047038</v>
      </c>
    </row>
    <row r="316">
      <c r="A316" s="1" t="n">
        <v>44946</v>
      </c>
      <c r="B316" t="inlineStr">
        <is>
          <t>AMZU</t>
        </is>
      </c>
      <c r="C316" t="inlineStr">
        <is>
          <t>AMZN</t>
        </is>
      </c>
      <c r="D316" t="n">
        <v>97.25</v>
      </c>
      <c r="E316" t="n">
        <v>13.80685234069824</v>
      </c>
      <c r="F316" t="n">
        <v>26092</v>
      </c>
      <c r="G316" t="n">
        <v>-91789</v>
      </c>
      <c r="H316">
        <f>D316*F316</f>
        <v/>
      </c>
      <c r="I316">
        <f>E316*G316</f>
        <v/>
      </c>
      <c r="J316">
        <f>H316-I316</f>
        <v/>
      </c>
      <c r="K316" t="n">
        <v>-0.0025</v>
      </c>
      <c r="L316" t="n">
        <v>93148.43203735352</v>
      </c>
      <c r="M316" t="n">
        <v>-67971.3714799881</v>
      </c>
      <c r="N316">
        <f>-I316*K316/252</f>
        <v/>
      </c>
      <c r="O316" t="n">
        <v>1</v>
      </c>
      <c r="P316" t="n">
        <v>-162.2255059434308</v>
      </c>
      <c r="Q316" t="n">
        <v>0.0432</v>
      </c>
      <c r="R316" t="n">
        <v>0</v>
      </c>
      <c r="S316" t="n">
        <v>25164.48796639815</v>
      </c>
    </row>
    <row r="317">
      <c r="A317" s="1" t="n">
        <v>44946</v>
      </c>
      <c r="B317" t="inlineStr">
        <is>
          <t>TARK</t>
        </is>
      </c>
      <c r="C317" t="inlineStr">
        <is>
          <t>ARKK</t>
        </is>
      </c>
      <c r="D317" t="n">
        <v>36.19811248779297</v>
      </c>
      <c r="E317" t="n">
        <v>21.97653961181641</v>
      </c>
      <c r="F317" t="n">
        <v>18788</v>
      </c>
      <c r="G317" t="n">
        <v>-15784</v>
      </c>
      <c r="H317">
        <f>D317*F317</f>
        <v/>
      </c>
      <c r="I317">
        <f>E317*G317</f>
        <v/>
      </c>
      <c r="J317">
        <f>H317-I317</f>
        <v/>
      </c>
      <c r="K317" t="n">
        <v>-0.02</v>
      </c>
      <c r="L317" t="n">
        <v>31861.70846557617</v>
      </c>
      <c r="M317" t="n">
        <v>-30775.92190551758</v>
      </c>
      <c r="N317">
        <f>-I317*K317/252</f>
        <v/>
      </c>
      <c r="O317" t="n">
        <v>1</v>
      </c>
      <c r="P317" t="n">
        <v>-369.8308305421708</v>
      </c>
      <c r="Q317" t="n">
        <v>0.0432</v>
      </c>
      <c r="R317" t="n">
        <v>0</v>
      </c>
      <c r="S317" t="n">
        <v>1058.25658377026</v>
      </c>
    </row>
    <row r="318">
      <c r="A318" s="1" t="n">
        <v>44946</v>
      </c>
      <c r="B318" t="inlineStr">
        <is>
          <t>CHAU</t>
        </is>
      </c>
      <c r="C318" t="inlineStr">
        <is>
          <t>ASHR</t>
        </is>
      </c>
      <c r="D318" t="n">
        <v>29.59099769592285</v>
      </c>
      <c r="E318" t="n">
        <v>23.21222305297852</v>
      </c>
      <c r="F318" t="n">
        <v>5665</v>
      </c>
      <c r="G318" t="n">
        <v>-3740</v>
      </c>
      <c r="H318">
        <f>D318*F318</f>
        <v/>
      </c>
      <c r="I318">
        <f>E318*G318</f>
        <v/>
      </c>
      <c r="J318">
        <f>H318-I318</f>
        <v/>
      </c>
      <c r="K318" t="n">
        <v>-0.01</v>
      </c>
      <c r="L318" t="n">
        <v>1601.590394973755</v>
      </c>
      <c r="M318" t="n">
        <v>-1713.634033203125</v>
      </c>
      <c r="N318">
        <f>-I318*K318/252</f>
        <v/>
      </c>
      <c r="O318" t="n">
        <v>1</v>
      </c>
      <c r="P318" t="n">
        <v>-43.120371411263</v>
      </c>
      <c r="Q318" t="n">
        <v>0.0432</v>
      </c>
      <c r="R318" t="n">
        <v>0</v>
      </c>
      <c r="S318" t="n">
        <v>-115.4886268888199</v>
      </c>
    </row>
    <row r="319">
      <c r="A319" s="1" t="n">
        <v>44946</v>
      </c>
      <c r="B319" t="inlineStr">
        <is>
          <t>BABX</t>
        </is>
      </c>
      <c r="C319" t="inlineStr">
        <is>
          <t>BABA</t>
        </is>
      </c>
      <c r="D319" t="n">
        <v>113.830451965332</v>
      </c>
      <c r="E319" t="n">
        <v>40.39599990844727</v>
      </c>
      <c r="F319" t="n">
        <v>4529</v>
      </c>
      <c r="G319" t="n">
        <v>-6431</v>
      </c>
      <c r="H319">
        <f>D319*F319</f>
        <v/>
      </c>
      <c r="I319">
        <f>E319*G319</f>
        <v/>
      </c>
      <c r="J319">
        <f>H319-I319</f>
        <v/>
      </c>
      <c r="K319" t="n">
        <v>-0.0275</v>
      </c>
      <c r="L319" t="n">
        <v>14107.85987854004</v>
      </c>
      <c r="M319" t="n">
        <v>-10521.12620544434</v>
      </c>
      <c r="N319">
        <f>-I319*K319/252</f>
        <v/>
      </c>
      <c r="O319" t="n">
        <v>1</v>
      </c>
      <c r="P319" t="n">
        <v>-392.8846987664889</v>
      </c>
      <c r="Q319" t="n">
        <v>0.0432</v>
      </c>
      <c r="R319" t="n">
        <v>0</v>
      </c>
      <c r="S319" t="n">
        <v>3558.383936691699</v>
      </c>
    </row>
    <row r="320">
      <c r="A320" s="1" t="n">
        <v>44946</v>
      </c>
      <c r="B320" t="inlineStr">
        <is>
          <t>CONL</t>
        </is>
      </c>
      <c r="C320" t="inlineStr">
        <is>
          <t>COIN</t>
        </is>
      </c>
      <c r="D320" t="n">
        <v>55.15999984741211</v>
      </c>
      <c r="E320" t="n">
        <v>8.538843154907227</v>
      </c>
      <c r="F320" t="n">
        <v>71778</v>
      </c>
      <c r="G320" t="n">
        <v>-242944</v>
      </c>
      <c r="H320">
        <f>D320*F320</f>
        <v/>
      </c>
      <c r="I320">
        <f>E320*G320</f>
        <v/>
      </c>
      <c r="J320">
        <f>H320-I320</f>
        <v/>
      </c>
      <c r="K320" t="n">
        <v>0.03</v>
      </c>
      <c r="L320" t="n">
        <v>412005.8404769897</v>
      </c>
      <c r="M320" t="n">
        <v>-305352.9136962891</v>
      </c>
      <c r="N320">
        <f>-I320*K320/252</f>
        <v/>
      </c>
      <c r="O320" t="n">
        <v>1</v>
      </c>
      <c r="P320" t="n">
        <v>3222.292069123188</v>
      </c>
      <c r="Q320" t="n">
        <v>0.0432</v>
      </c>
      <c r="R320" t="n">
        <v>0</v>
      </c>
      <c r="S320" t="n">
        <v>106899.8863892036</v>
      </c>
    </row>
    <row r="321">
      <c r="A321" s="1" t="n">
        <v>44946</v>
      </c>
      <c r="B321" t="inlineStr">
        <is>
          <t>MEXX</t>
        </is>
      </c>
      <c r="C321" t="inlineStr">
        <is>
          <t>EWW</t>
        </is>
      </c>
      <c r="D321" t="n">
        <v>51.52092742919922</v>
      </c>
      <c r="E321" t="n">
        <v>22.9609489440918</v>
      </c>
      <c r="F321" t="n">
        <v>8705</v>
      </c>
      <c r="G321" t="n">
        <v>-6605</v>
      </c>
      <c r="H321">
        <f>D321*F321</f>
        <v/>
      </c>
      <c r="I321">
        <f>E321*G321</f>
        <v/>
      </c>
      <c r="J321">
        <f>H321-I321</f>
        <v/>
      </c>
      <c r="K321" t="n">
        <v>0.0075</v>
      </c>
      <c r="L321" t="n">
        <v>6782.152156829834</v>
      </c>
      <c r="M321" t="n">
        <v>-6444.463205337524</v>
      </c>
      <c r="N321">
        <f>-I321*K321/252</f>
        <v/>
      </c>
      <c r="O321" t="n">
        <v>1</v>
      </c>
      <c r="P321" t="n">
        <v>60.3806335583755</v>
      </c>
      <c r="Q321" t="n">
        <v>0.0432</v>
      </c>
      <c r="R321" t="n">
        <v>0</v>
      </c>
      <c r="S321" t="n">
        <v>342.2025546999205</v>
      </c>
    </row>
    <row r="322">
      <c r="A322" s="1" t="n">
        <v>44946</v>
      </c>
      <c r="B322" t="inlineStr">
        <is>
          <t>KORU</t>
        </is>
      </c>
      <c r="C322" t="inlineStr">
        <is>
          <t>EWY</t>
        </is>
      </c>
      <c r="D322" t="n">
        <v>58.86991500854492</v>
      </c>
      <c r="E322" t="n">
        <v>96.42086791992188</v>
      </c>
      <c r="F322" t="n">
        <v>12312</v>
      </c>
      <c r="G322" t="n">
        <v>-2618</v>
      </c>
      <c r="H322">
        <f>D322*F322</f>
        <v/>
      </c>
      <c r="I322">
        <f>E322*G322</f>
        <v/>
      </c>
      <c r="J322">
        <f>H322-I322</f>
        <v/>
      </c>
      <c r="K322" t="n">
        <v>0.0225</v>
      </c>
      <c r="L322" t="n">
        <v>12263.53051757812</v>
      </c>
      <c r="M322" t="n">
        <v>-12719.30708312988</v>
      </c>
      <c r="N322">
        <f>-I322*K322/252</f>
        <v/>
      </c>
      <c r="O322" t="n">
        <v>1</v>
      </c>
      <c r="P322" t="n">
        <v>294.182218945367</v>
      </c>
      <c r="Q322" t="n">
        <v>0.0432</v>
      </c>
      <c r="R322" t="n">
        <v>0</v>
      </c>
      <c r="S322" t="n">
        <v>-433.2381876754779</v>
      </c>
    </row>
    <row r="323">
      <c r="A323" s="1" t="n">
        <v>44946</v>
      </c>
      <c r="B323" t="inlineStr">
        <is>
          <t>YINN</t>
        </is>
      </c>
      <c r="C323" t="inlineStr">
        <is>
          <t>FXI</t>
        </is>
      </c>
      <c r="D323" t="n">
        <v>30.17965507507324</v>
      </c>
      <c r="E323" t="n">
        <v>63.55678558349609</v>
      </c>
      <c r="F323" t="n">
        <v>34614</v>
      </c>
      <c r="G323" t="n">
        <v>-5631</v>
      </c>
      <c r="H323">
        <f>D323*F323</f>
        <v/>
      </c>
      <c r="I323">
        <f>E323*G323</f>
        <v/>
      </c>
      <c r="J323">
        <f>H323-I323</f>
        <v/>
      </c>
      <c r="K323" t="n">
        <v>-0.02</v>
      </c>
      <c r="L323" t="n">
        <v>25400.51016998291</v>
      </c>
      <c r="M323" t="n">
        <v>-24111.92893981934</v>
      </c>
      <c r="N323">
        <f>-I323*K323/252</f>
        <v/>
      </c>
      <c r="O323" t="n">
        <v>1</v>
      </c>
      <c r="P323" t="n">
        <v>-363.4829814163087</v>
      </c>
      <c r="Q323" t="n">
        <v>0.0432</v>
      </c>
      <c r="R323" t="n">
        <v>0</v>
      </c>
      <c r="S323" t="n">
        <v>1260.177400034946</v>
      </c>
    </row>
    <row r="324">
      <c r="A324" s="1" t="n">
        <v>44946</v>
      </c>
      <c r="B324" t="inlineStr">
        <is>
          <t>JNUG</t>
        </is>
      </c>
      <c r="C324" t="inlineStr">
        <is>
          <t>GDXJ</t>
        </is>
      </c>
      <c r="D324" t="n">
        <v>38.09481811523438</v>
      </c>
      <c r="E324" t="n">
        <v>42.697509765625</v>
      </c>
      <c r="F324" t="n">
        <v>13681</v>
      </c>
      <c r="G324" t="n">
        <v>-6148</v>
      </c>
      <c r="H324">
        <f>D324*F324</f>
        <v/>
      </c>
      <c r="I324">
        <f>E324*G324</f>
        <v/>
      </c>
      <c r="J324">
        <f>H324-I324</f>
        <v/>
      </c>
      <c r="K324" t="n">
        <v>-0.005</v>
      </c>
      <c r="L324" t="n">
        <v>8671.129108428955</v>
      </c>
      <c r="M324" t="n">
        <v>-8518.018539428711</v>
      </c>
      <c r="N324">
        <f>-I324*K324/252</f>
        <v/>
      </c>
      <c r="O324" t="n">
        <v>1</v>
      </c>
      <c r="P324" t="n">
        <v>-67.07576865983388</v>
      </c>
      <c r="Q324" t="n">
        <v>0.0432</v>
      </c>
      <c r="R324" t="n">
        <v>0</v>
      </c>
      <c r="S324" t="n">
        <v>147.9021505470881</v>
      </c>
    </row>
    <row r="325">
      <c r="A325" s="1" t="n">
        <v>44946</v>
      </c>
      <c r="B325" t="inlineStr">
        <is>
          <t>GDXU</t>
        </is>
      </c>
      <c r="C325" t="inlineStr">
        <is>
          <t>GDX</t>
        </is>
      </c>
      <c r="D325" t="n">
        <v>31.29881858825684</v>
      </c>
      <c r="E325" t="n">
        <v>59.16999816894531</v>
      </c>
      <c r="F325" t="n">
        <v>52231</v>
      </c>
      <c r="G325" t="n">
        <v>-8884</v>
      </c>
      <c r="H325">
        <f>D325*F325</f>
        <v/>
      </c>
      <c r="I325">
        <f>E325*G325</f>
        <v/>
      </c>
      <c r="J325">
        <f>H325-I325</f>
        <v/>
      </c>
      <c r="K325" t="n">
        <v>-0.005</v>
      </c>
      <c r="L325" t="n">
        <v>20169.71681785583</v>
      </c>
      <c r="M325" t="n">
        <v>-20255.50915527344</v>
      </c>
      <c r="N325">
        <f>-I325*K325/252</f>
        <v/>
      </c>
      <c r="O325" t="n">
        <v>1</v>
      </c>
      <c r="P325" t="n">
        <v>-137.9446419579642</v>
      </c>
      <c r="Q325" t="n">
        <v>0.0432</v>
      </c>
      <c r="R325" t="n">
        <v>0</v>
      </c>
      <c r="S325" t="n">
        <v>-96.2222236027866</v>
      </c>
    </row>
    <row r="326">
      <c r="A326" s="1" t="n">
        <v>44946</v>
      </c>
      <c r="B326" t="inlineStr">
        <is>
          <t>NUGT</t>
        </is>
      </c>
      <c r="C326" t="inlineStr">
        <is>
          <t>GDX</t>
        </is>
      </c>
      <c r="D326" t="n">
        <v>31.29881858825684</v>
      </c>
      <c r="E326" t="n">
        <v>41.76779174804688</v>
      </c>
      <c r="F326" t="n">
        <v>15534</v>
      </c>
      <c r="G326" t="n">
        <v>-5817</v>
      </c>
      <c r="H326">
        <f>D326*F326</f>
        <v/>
      </c>
      <c r="I326">
        <f>E326*G326</f>
        <v/>
      </c>
      <c r="J326">
        <f>H326-I326</f>
        <v/>
      </c>
      <c r="K326" t="n">
        <v>-0.0175</v>
      </c>
      <c r="L326" t="n">
        <v>5998.667095184326</v>
      </c>
      <c r="M326" t="n">
        <v>-5586.66682434082</v>
      </c>
      <c r="N326">
        <f>-I326*K326/252</f>
        <v/>
      </c>
      <c r="O326" t="n">
        <v>1</v>
      </c>
      <c r="P326" t="n">
        <v>-220.1026726102829</v>
      </c>
      <c r="Q326" t="n">
        <v>0.0432</v>
      </c>
      <c r="R326" t="n">
        <v>0</v>
      </c>
      <c r="S326" t="n">
        <v>395.1278233019511</v>
      </c>
    </row>
    <row r="327">
      <c r="A327" s="1" t="n">
        <v>44946</v>
      </c>
      <c r="B327" t="inlineStr">
        <is>
          <t>GGLL</t>
        </is>
      </c>
      <c r="C327" t="inlineStr">
        <is>
          <t>GOOGL</t>
        </is>
      </c>
      <c r="D327" t="n">
        <v>97.21649932861328</v>
      </c>
      <c r="E327" t="n">
        <v>18.63574600219727</v>
      </c>
      <c r="F327" t="n">
        <v>21017</v>
      </c>
      <c r="G327" t="n">
        <v>-56586</v>
      </c>
      <c r="H327">
        <f>D327*F327</f>
        <v/>
      </c>
      <c r="I327">
        <f>E327*G327</f>
        <v/>
      </c>
      <c r="J327">
        <f>H327-I327</f>
        <v/>
      </c>
      <c r="K327" t="n">
        <v>0</v>
      </c>
      <c r="L327" t="n">
        <v>103597.9420623779</v>
      </c>
      <c r="M327" t="n">
        <v>-77339.81951522827</v>
      </c>
      <c r="N327">
        <f>-I327*K327/252</f>
        <v/>
      </c>
      <c r="O327" t="n">
        <v>1</v>
      </c>
      <c r="P327" t="n">
        <v>0</v>
      </c>
      <c r="Q327" t="n">
        <v>0.0432</v>
      </c>
      <c r="R327" t="n">
        <v>0</v>
      </c>
      <c r="S327" t="n">
        <v>26258.12254714963</v>
      </c>
    </row>
    <row r="328">
      <c r="A328" s="1" t="n">
        <v>44946</v>
      </c>
      <c r="B328" t="inlineStr">
        <is>
          <t>CWEB</t>
        </is>
      </c>
      <c r="C328" t="inlineStr">
        <is>
          <t>KWEB</t>
        </is>
      </c>
      <c r="D328" t="n">
        <v>31.22124671936035</v>
      </c>
      <c r="E328" t="n">
        <v>59.9031982421875</v>
      </c>
      <c r="F328" t="n">
        <v>14190</v>
      </c>
      <c r="G328" t="n">
        <v>-3658</v>
      </c>
      <c r="H328">
        <f>D328*F328</f>
        <v/>
      </c>
      <c r="I328">
        <f>E328*G328</f>
        <v/>
      </c>
      <c r="J328">
        <f>H328-I328</f>
        <v/>
      </c>
      <c r="K328" t="n">
        <v>-0.02</v>
      </c>
      <c r="L328" t="n">
        <v>11568.34899902344</v>
      </c>
      <c r="M328" t="n">
        <v>-11264.26053619385</v>
      </c>
      <c r="N328">
        <f>-I328*K328/252</f>
        <v/>
      </c>
      <c r="O328" t="n">
        <v>1</v>
      </c>
      <c r="P328" t="n">
        <v>-233.6529885585724</v>
      </c>
      <c r="Q328" t="n">
        <v>0.0432</v>
      </c>
      <c r="R328" t="n">
        <v>0</v>
      </c>
      <c r="S328" t="n">
        <v>286.6975184510246</v>
      </c>
    </row>
    <row r="329">
      <c r="A329" s="1" t="n">
        <v>44946</v>
      </c>
      <c r="B329" t="inlineStr">
        <is>
          <t>FBL</t>
        </is>
      </c>
      <c r="C329" t="inlineStr">
        <is>
          <t>META</t>
        </is>
      </c>
      <c r="D329" t="n">
        <v>138.2847900390625</v>
      </c>
      <c r="E329" t="n">
        <v>4.278473854064941</v>
      </c>
      <c r="F329" t="n">
        <v>25557</v>
      </c>
      <c r="G329" t="n">
        <v>-416177</v>
      </c>
      <c r="H329">
        <f>D329*F329</f>
        <v/>
      </c>
      <c r="I329">
        <f>E329*G329</f>
        <v/>
      </c>
      <c r="J329">
        <f>H329-I329</f>
        <v/>
      </c>
      <c r="K329" t="n">
        <v>-0.01</v>
      </c>
      <c r="L329" t="n">
        <v>81652.0724029541</v>
      </c>
      <c r="M329" t="n">
        <v>-57801.34681797028</v>
      </c>
      <c r="N329">
        <f>-I329*K329/252</f>
        <v/>
      </c>
      <c r="O329" t="n">
        <v>1</v>
      </c>
      <c r="P329" t="n">
        <v>-889.7512794789435</v>
      </c>
      <c r="Q329" t="n">
        <v>0.0432</v>
      </c>
      <c r="R329" t="n">
        <v>0</v>
      </c>
      <c r="S329" t="n">
        <v>23780.06675906464</v>
      </c>
    </row>
    <row r="330">
      <c r="A330" s="1" t="n">
        <v>44946</v>
      </c>
      <c r="B330" t="inlineStr">
        <is>
          <t>MSFU</t>
        </is>
      </c>
      <c r="C330" t="inlineStr">
        <is>
          <t>MSFT</t>
        </is>
      </c>
      <c r="D330" t="n">
        <v>234.0764465332031</v>
      </c>
      <c r="E330" t="n">
        <v>18.71154403686523</v>
      </c>
      <c r="F330" t="n">
        <v>8999</v>
      </c>
      <c r="G330" t="n">
        <v>-56464</v>
      </c>
      <c r="H330">
        <f>D330*F330</f>
        <v/>
      </c>
      <c r="I330">
        <f>E330*G330</f>
        <v/>
      </c>
      <c r="J330">
        <f>H330-I330</f>
        <v/>
      </c>
      <c r="K330" t="n">
        <v>-0.005</v>
      </c>
      <c r="L330" t="n">
        <v>72694.22299194336</v>
      </c>
      <c r="M330" t="n">
        <v>-51831.97210693359</v>
      </c>
      <c r="N330">
        <f>-I330*K330/252</f>
        <v/>
      </c>
      <c r="O330" t="n">
        <v>1</v>
      </c>
      <c r="P330" t="n">
        <v>-250.8313873278906</v>
      </c>
      <c r="Q330" t="n">
        <v>0.0432</v>
      </c>
      <c r="R330" t="n">
        <v>0</v>
      </c>
      <c r="S330" t="n">
        <v>20841.28801551577</v>
      </c>
    </row>
    <row r="331">
      <c r="A331" s="1" t="n">
        <v>44946</v>
      </c>
      <c r="B331" t="inlineStr">
        <is>
          <t>NVDL</t>
        </is>
      </c>
      <c r="C331" t="inlineStr">
        <is>
          <t>NVDA</t>
        </is>
      </c>
      <c r="D331" t="n">
        <v>17.82019805908203</v>
      </c>
      <c r="E331" t="n">
        <v>3.752580642700194</v>
      </c>
      <c r="F331" t="n">
        <v>281812</v>
      </c>
      <c r="G331" t="n">
        <v>-687936</v>
      </c>
      <c r="H331">
        <f>D331*F331</f>
        <v/>
      </c>
      <c r="I331">
        <f>E331*G331</f>
        <v/>
      </c>
      <c r="J331">
        <f>H331-I331</f>
        <v/>
      </c>
      <c r="K331" t="n">
        <v>0</v>
      </c>
      <c r="L331" t="n">
        <v>302346.6371383667</v>
      </c>
      <c r="M331" t="n">
        <v>-220429.9476928711</v>
      </c>
      <c r="N331">
        <f>-I331*K331/252</f>
        <v/>
      </c>
      <c r="O331" t="n">
        <v>1</v>
      </c>
      <c r="P331" t="n">
        <v>0</v>
      </c>
      <c r="Q331" t="n">
        <v>0.0432</v>
      </c>
      <c r="R331" t="n">
        <v>0</v>
      </c>
      <c r="S331" t="n">
        <v>81916.68944549561</v>
      </c>
    </row>
    <row r="332">
      <c r="A332" s="1" t="n">
        <v>44946</v>
      </c>
      <c r="B332" t="inlineStr">
        <is>
          <t>SOXL</t>
        </is>
      </c>
      <c r="C332" t="inlineStr">
        <is>
          <t>SOXX</t>
        </is>
      </c>
      <c r="D332" t="n">
        <v>125.5451278686523</v>
      </c>
      <c r="E332" t="n">
        <v>12.51521015167236</v>
      </c>
      <c r="F332" t="n">
        <v>8623</v>
      </c>
      <c r="G332" t="n">
        <v>-28873</v>
      </c>
      <c r="H332">
        <f>D332*F332</f>
        <v/>
      </c>
      <c r="I332">
        <f>E332*G332</f>
        <v/>
      </c>
      <c r="J332">
        <f>H332-I332</f>
        <v/>
      </c>
      <c r="K332" t="n">
        <v>-0.0175</v>
      </c>
      <c r="L332" t="n">
        <v>32853.80631256104</v>
      </c>
      <c r="M332" t="n">
        <v>-28817.73637485504</v>
      </c>
      <c r="N332">
        <f>-I332*K332/252</f>
        <v/>
      </c>
      <c r="O332" t="n">
        <v>1</v>
      </c>
      <c r="P332" t="n">
        <v>-339.8355014751355</v>
      </c>
      <c r="Q332" t="n">
        <v>0.0432</v>
      </c>
      <c r="R332" t="n">
        <v>0</v>
      </c>
      <c r="S332" t="n">
        <v>4010.976072240082</v>
      </c>
    </row>
    <row r="333">
      <c r="A333" s="1" t="n">
        <v>44946</v>
      </c>
      <c r="B333" t="inlineStr">
        <is>
          <t>SOXS</t>
        </is>
      </c>
      <c r="C333" t="inlineStr">
        <is>
          <t>SOXX</t>
        </is>
      </c>
      <c r="D333" t="n">
        <v>-0</v>
      </c>
      <c r="E333" t="n">
        <v>-0</v>
      </c>
      <c r="F333" t="n">
        <v>-6748</v>
      </c>
      <c r="G333" t="n">
        <v>-57</v>
      </c>
      <c r="H333">
        <f>D333*F333</f>
        <v/>
      </c>
      <c r="I333">
        <f>E333*G333</f>
        <v/>
      </c>
      <c r="J333">
        <f>H333-I333</f>
        <v/>
      </c>
      <c r="K333" t="n">
        <v>0.07000000000000001</v>
      </c>
      <c r="L333" t="n">
        <v>-25710.01797485352</v>
      </c>
      <c r="M333" t="n">
        <v>28465.68310546875</v>
      </c>
      <c r="N333">
        <f>-I333*K333/252</f>
        <v/>
      </c>
      <c r="O333" t="n">
        <v>1</v>
      </c>
      <c r="P333" t="n">
        <v>0</v>
      </c>
      <c r="Q333" t="n">
        <v>0.0432</v>
      </c>
      <c r="R333" t="n">
        <v>0</v>
      </c>
      <c r="S333" t="n">
        <v>2755.665130615231</v>
      </c>
    </row>
    <row r="334">
      <c r="A334" s="1" t="n">
        <v>44946</v>
      </c>
      <c r="B334" t="inlineStr">
        <is>
          <t>HIBL</t>
        </is>
      </c>
      <c r="C334" t="inlineStr">
        <is>
          <t>SPHB</t>
        </is>
      </c>
      <c r="D334" t="n">
        <v>67.28494262695312</v>
      </c>
      <c r="E334" t="n">
        <v>30.28415298461914</v>
      </c>
      <c r="F334" t="n">
        <v>6387</v>
      </c>
      <c r="G334" t="n">
        <v>-4747</v>
      </c>
      <c r="H334">
        <f>D334*F334</f>
        <v/>
      </c>
      <c r="I334">
        <f>E334*G334</f>
        <v/>
      </c>
      <c r="J334">
        <f>H334-I334</f>
        <v/>
      </c>
      <c r="K334" t="n">
        <v>0.12</v>
      </c>
      <c r="L334" t="n">
        <v>13573.83686828613</v>
      </c>
      <c r="M334" t="n">
        <v>-13242.74000167847</v>
      </c>
      <c r="N334">
        <f>-I334*K334/252</f>
        <v/>
      </c>
      <c r="O334" t="n">
        <v>1</v>
      </c>
      <c r="P334" t="n">
        <v>896.7838603746322</v>
      </c>
      <c r="Q334" t="n">
        <v>0.0432</v>
      </c>
      <c r="R334" t="n">
        <v>0</v>
      </c>
      <c r="S334" t="n">
        <v>399.5534733781288</v>
      </c>
    </row>
    <row r="335">
      <c r="A335" s="1" t="n">
        <v>44946</v>
      </c>
      <c r="B335" t="inlineStr">
        <is>
          <t>TSLL</t>
        </is>
      </c>
      <c r="C335" t="inlineStr">
        <is>
          <t>TSLA</t>
        </is>
      </c>
      <c r="D335" t="n">
        <v>133.4199981689453</v>
      </c>
      <c r="E335" t="n">
        <v>5.991350650787354</v>
      </c>
      <c r="F335" t="n">
        <v>16126</v>
      </c>
      <c r="G335" t="n">
        <v>-187433</v>
      </c>
      <c r="H335">
        <f>D335*F335</f>
        <v/>
      </c>
      <c r="I335">
        <f>E335*G335</f>
        <v/>
      </c>
      <c r="J335">
        <f>H335-I335</f>
        <v/>
      </c>
      <c r="K335" t="n">
        <v>0.01</v>
      </c>
      <c r="L335" t="n">
        <v>100787.5</v>
      </c>
      <c r="M335" t="n">
        <v>-77894.44037342072</v>
      </c>
      <c r="N335">
        <f>-I335*K335/252</f>
        <v/>
      </c>
      <c r="O335" t="n">
        <v>1</v>
      </c>
      <c r="P335" t="n">
        <v>539.7702131712248</v>
      </c>
      <c r="Q335" t="n">
        <v>0.0432</v>
      </c>
      <c r="R335" t="n">
        <v>0</v>
      </c>
      <c r="S335" t="n">
        <v>22937.6221990606</v>
      </c>
    </row>
    <row r="336">
      <c r="A336" s="1" t="n">
        <v>44946</v>
      </c>
      <c r="B336" t="inlineStr">
        <is>
          <t>TSLQ</t>
        </is>
      </c>
      <c r="C336" t="inlineStr">
        <is>
          <t>TSLA</t>
        </is>
      </c>
      <c r="D336" t="n">
        <v>-0</v>
      </c>
      <c r="E336" t="n">
        <v>-0</v>
      </c>
      <c r="F336" t="n">
        <v>-5992</v>
      </c>
      <c r="G336" t="n">
        <v>-371</v>
      </c>
      <c r="H336">
        <f>D336*F336</f>
        <v/>
      </c>
      <c r="I336">
        <f>E336*G336</f>
        <v/>
      </c>
      <c r="J336">
        <f>H336-I336</f>
        <v/>
      </c>
      <c r="K336" t="n">
        <v>-0.02</v>
      </c>
      <c r="L336" t="n">
        <v>-37450</v>
      </c>
      <c r="M336" t="n">
        <v>18606.99505615234</v>
      </c>
      <c r="N336">
        <f>-I336*K336/252</f>
        <v/>
      </c>
      <c r="O336" t="n">
        <v>1</v>
      </c>
      <c r="P336" t="n">
        <v>0</v>
      </c>
      <c r="Q336" t="n">
        <v>0.0432</v>
      </c>
      <c r="R336" t="n">
        <v>0</v>
      </c>
      <c r="S336" t="n">
        <v>-18843.00494384766</v>
      </c>
    </row>
    <row r="337">
      <c r="A337" s="1" t="n">
        <v>44946</v>
      </c>
      <c r="B337" t="inlineStr">
        <is>
          <t>LABU</t>
        </is>
      </c>
      <c r="C337" t="inlineStr">
        <is>
          <t>XBI</t>
        </is>
      </c>
      <c r="D337" t="n">
        <v>86.52573394775391</v>
      </c>
      <c r="E337" t="n">
        <v>153.9954528808594</v>
      </c>
      <c r="F337" t="n">
        <v>3391</v>
      </c>
      <c r="G337" t="n">
        <v>-614</v>
      </c>
      <c r="H337">
        <f>D337*F337</f>
        <v/>
      </c>
      <c r="I337">
        <f>E337*G337</f>
        <v/>
      </c>
      <c r="J337">
        <f>H337-I337</f>
        <v/>
      </c>
      <c r="K337" t="n">
        <v>0.1</v>
      </c>
      <c r="L337" t="n">
        <v>7083.089920043945</v>
      </c>
      <c r="M337" t="n">
        <v>-4703.532684326172</v>
      </c>
      <c r="N337">
        <f>-I337*K337/252</f>
        <v/>
      </c>
      <c r="O337" t="n">
        <v>1</v>
      </c>
      <c r="P337" t="n">
        <v>497.6417990063865</v>
      </c>
      <c r="Q337" t="n">
        <v>0.0432</v>
      </c>
      <c r="R337" t="n">
        <v>0</v>
      </c>
      <c r="S337" t="n">
        <v>2417.078350030808</v>
      </c>
    </row>
    <row r="338">
      <c r="A338" s="1" t="n">
        <v>44946</v>
      </c>
      <c r="B338" t="inlineStr">
        <is>
          <t>ERX</t>
        </is>
      </c>
      <c r="C338" t="inlineStr">
        <is>
          <t>XLE</t>
        </is>
      </c>
      <c r="D338" t="n">
        <v>40.60630416870117</v>
      </c>
      <c r="E338" t="n">
        <v>64.86734008789062</v>
      </c>
      <c r="F338" t="n">
        <v>1882</v>
      </c>
      <c r="G338" t="n">
        <v>-596</v>
      </c>
      <c r="H338">
        <f>D338*F338</f>
        <v/>
      </c>
      <c r="I338">
        <f>E338*G338</f>
        <v/>
      </c>
      <c r="J338">
        <f>H338-I338</f>
        <v/>
      </c>
      <c r="K338" t="n">
        <v>0.12</v>
      </c>
      <c r="L338" t="n">
        <v>751.7259826660156</v>
      </c>
      <c r="M338" t="n">
        <v>-867.6176147460938</v>
      </c>
      <c r="N338">
        <f>-I338*K338/252</f>
        <v/>
      </c>
      <c r="O338" t="n">
        <v>1</v>
      </c>
      <c r="P338" t="n">
        <v>231.022139314924</v>
      </c>
      <c r="Q338" t="n">
        <v>0.0432</v>
      </c>
      <c r="R338" t="n">
        <v>0</v>
      </c>
      <c r="S338" t="n">
        <v>-97.48166317894345</v>
      </c>
    </row>
    <row r="339">
      <c r="A339" s="1" t="n">
        <v>44946</v>
      </c>
      <c r="B339" t="inlineStr">
        <is>
          <t>GUSH</t>
        </is>
      </c>
      <c r="C339" t="inlineStr">
        <is>
          <t>XOP</t>
        </is>
      </c>
      <c r="D339" t="n">
        <v>130.7289276123047</v>
      </c>
      <c r="E339" t="n">
        <v>36.04731369018555</v>
      </c>
      <c r="F339" t="n">
        <v>3048</v>
      </c>
      <c r="G339" t="n">
        <v>-5589</v>
      </c>
      <c r="H339">
        <f>D339*F339</f>
        <v/>
      </c>
      <c r="I339">
        <f>E339*G339</f>
        <v/>
      </c>
      <c r="J339">
        <f>H339-I339</f>
        <v/>
      </c>
      <c r="K339" t="n">
        <v>-0.01</v>
      </c>
      <c r="L339" t="n">
        <v>5652.073608398438</v>
      </c>
      <c r="M339" t="n">
        <v>-5678.417518615723</v>
      </c>
      <c r="N339">
        <f>-I339*K339/252</f>
        <v/>
      </c>
      <c r="O339" t="n">
        <v>1</v>
      </c>
      <c r="P339" t="n">
        <v>-99.91729128095838</v>
      </c>
      <c r="Q339" t="n">
        <v>0.0432</v>
      </c>
      <c r="R339" t="n">
        <v>0</v>
      </c>
      <c r="S339" t="n">
        <v>-34.33868943214325</v>
      </c>
    </row>
    <row r="340">
      <c r="A340" s="1" t="n">
        <v>44949</v>
      </c>
      <c r="B340" t="inlineStr">
        <is>
          <t>AAPB</t>
        </is>
      </c>
      <c r="C340" t="inlineStr">
        <is>
          <t>AAPL</t>
        </is>
      </c>
      <c r="D340" t="n">
        <v>138.8828887939453</v>
      </c>
      <c r="E340" t="n">
        <v>14.24062824249268</v>
      </c>
      <c r="F340" t="n">
        <v>9057</v>
      </c>
      <c r="G340" t="n">
        <v>-45734</v>
      </c>
      <c r="H340">
        <f>D340*F340</f>
        <v/>
      </c>
      <c r="I340">
        <f>E340*G340</f>
        <v/>
      </c>
      <c r="J340">
        <f>H340-I340</f>
        <v/>
      </c>
      <c r="K340" t="n">
        <v>-0.005</v>
      </c>
      <c r="L340" t="n">
        <v>28881.62539672852</v>
      </c>
      <c r="M340" t="n">
        <v>-25489.72131156921</v>
      </c>
      <c r="N340">
        <f>-I340*K340/252</f>
        <v/>
      </c>
      <c r="O340" t="n">
        <v>0</v>
      </c>
      <c r="P340" t="n">
        <v>-167.6587492924645</v>
      </c>
      <c r="Q340" t="n">
        <v>0.0432</v>
      </c>
      <c r="R340" t="n">
        <v>0</v>
      </c>
      <c r="S340" t="n">
        <v>3378.981845237838</v>
      </c>
    </row>
    <row r="341">
      <c r="A341" s="1" t="n">
        <v>44949</v>
      </c>
      <c r="B341" t="inlineStr">
        <is>
          <t>AAPU</t>
        </is>
      </c>
      <c r="C341" t="inlineStr">
        <is>
          <t>AAPL</t>
        </is>
      </c>
      <c r="D341" t="n">
        <v>138.8828887939453</v>
      </c>
      <c r="E341" t="n">
        <v>14.46903991699219</v>
      </c>
      <c r="F341" t="n">
        <v>7658</v>
      </c>
      <c r="G341" t="n">
        <v>-37829</v>
      </c>
      <c r="H341">
        <f>D341*F341</f>
        <v/>
      </c>
      <c r="I341">
        <f>E341*G341</f>
        <v/>
      </c>
      <c r="J341">
        <f>H341-I341</f>
        <v/>
      </c>
      <c r="K341" t="n">
        <v>0.02</v>
      </c>
      <c r="L341" t="n">
        <v>24420.39166259766</v>
      </c>
      <c r="M341" t="n">
        <v>-17241.59449863434</v>
      </c>
      <c r="N341">
        <f>-I341*K341/252</f>
        <v/>
      </c>
      <c r="O341" t="n">
        <v>0</v>
      </c>
      <c r="P341" t="n">
        <v>565.3412116322442</v>
      </c>
      <c r="Q341" t="n">
        <v>0.0432</v>
      </c>
      <c r="R341" t="n">
        <v>0</v>
      </c>
      <c r="S341" t="n">
        <v>7222.237585472837</v>
      </c>
    </row>
    <row r="342">
      <c r="A342" s="1" t="n">
        <v>44949</v>
      </c>
      <c r="B342" t="inlineStr">
        <is>
          <t>AMZU</t>
        </is>
      </c>
      <c r="C342" t="inlineStr">
        <is>
          <t>AMZN</t>
        </is>
      </c>
      <c r="D342" t="n">
        <v>97.51999664306641</v>
      </c>
      <c r="E342" t="n">
        <v>13.85269927978516</v>
      </c>
      <c r="F342" t="n">
        <v>26092</v>
      </c>
      <c r="G342" t="n">
        <v>-91789</v>
      </c>
      <c r="H342">
        <f>D342*F342</f>
        <v/>
      </c>
      <c r="I342">
        <f>E342*G342</f>
        <v/>
      </c>
      <c r="J342">
        <f>H342-I342</f>
        <v/>
      </c>
      <c r="K342" t="n">
        <v>-0.0025</v>
      </c>
      <c r="L342" t="n">
        <v>7044.752410888672</v>
      </c>
      <c r="M342" t="n">
        <v>-4208.244691848755</v>
      </c>
      <c r="N342">
        <f>-I342*K342/252</f>
        <v/>
      </c>
      <c r="O342" t="n">
        <v>0</v>
      </c>
      <c r="P342" t="n">
        <v>-174.8398453699407</v>
      </c>
      <c r="Q342" t="n">
        <v>0.0432</v>
      </c>
      <c r="R342" t="n">
        <v>0</v>
      </c>
      <c r="S342" t="n">
        <v>2823.893379613407</v>
      </c>
    </row>
    <row r="343">
      <c r="A343" s="1" t="n">
        <v>44949</v>
      </c>
      <c r="B343" t="inlineStr">
        <is>
          <t>TARK</t>
        </is>
      </c>
      <c r="C343" t="inlineStr">
        <is>
          <t>ARKK</t>
        </is>
      </c>
      <c r="D343" t="n">
        <v>37.76504898071289</v>
      </c>
      <c r="E343" t="n">
        <v>23.8441333770752</v>
      </c>
      <c r="F343" t="n">
        <v>18788</v>
      </c>
      <c r="G343" t="n">
        <v>-15784</v>
      </c>
      <c r="H343">
        <f>D343*F343</f>
        <v/>
      </c>
      <c r="I343">
        <f>E343*G343</f>
        <v/>
      </c>
      <c r="J343">
        <f>H343-I343</f>
        <v/>
      </c>
      <c r="K343" t="n">
        <v>-0.02</v>
      </c>
      <c r="L343" t="n">
        <v>29439.60282897949</v>
      </c>
      <c r="M343" t="n">
        <v>-29478.09999084473</v>
      </c>
      <c r="N343">
        <f>-I343*K343/252</f>
        <v/>
      </c>
      <c r="O343" t="n">
        <v>0</v>
      </c>
      <c r="P343" t="n">
        <v>-399.7003385758022</v>
      </c>
      <c r="Q343" t="n">
        <v>0.0432</v>
      </c>
      <c r="R343" t="n">
        <v>0</v>
      </c>
      <c r="S343" t="n">
        <v>-68.366669898873</v>
      </c>
    </row>
    <row r="344">
      <c r="A344" s="1" t="n">
        <v>44949</v>
      </c>
      <c r="B344" t="inlineStr">
        <is>
          <t>CHAU</t>
        </is>
      </c>
      <c r="C344" t="inlineStr">
        <is>
          <t>ASHR</t>
        </is>
      </c>
      <c r="D344" t="n">
        <v>29.74178123474121</v>
      </c>
      <c r="E344" t="n">
        <v>23.45965766906738</v>
      </c>
      <c r="F344" t="n">
        <v>5665</v>
      </c>
      <c r="G344" t="n">
        <v>-3740</v>
      </c>
      <c r="H344">
        <f>D344*F344</f>
        <v/>
      </c>
      <c r="I344">
        <f>E344*G344</f>
        <v/>
      </c>
      <c r="J344">
        <f>H344-I344</f>
        <v/>
      </c>
      <c r="K344" t="n">
        <v>-0.01</v>
      </c>
      <c r="L344" t="n">
        <v>854.1887474060059</v>
      </c>
      <c r="M344" t="n">
        <v>-925.4054641723633</v>
      </c>
      <c r="N344">
        <f>-I344*K344/252</f>
        <v/>
      </c>
      <c r="O344" t="n">
        <v>0</v>
      </c>
      <c r="P344" t="n">
        <v>-46.60208250976744</v>
      </c>
      <c r="Q344" t="n">
        <v>0.0432</v>
      </c>
      <c r="R344" t="n">
        <v>0</v>
      </c>
      <c r="S344" t="n">
        <v>-74.69842786486187</v>
      </c>
    </row>
    <row r="345">
      <c r="A345" s="1" t="n">
        <v>44949</v>
      </c>
      <c r="B345" t="inlineStr">
        <is>
          <t>BABX</t>
        </is>
      </c>
      <c r="C345" t="inlineStr">
        <is>
          <t>BABA</t>
        </is>
      </c>
      <c r="D345" t="n">
        <v>113.5170440673828</v>
      </c>
      <c r="E345" t="n">
        <v>40.33499908447266</v>
      </c>
      <c r="F345" t="n">
        <v>4529</v>
      </c>
      <c r="G345" t="n">
        <v>-6431</v>
      </c>
      <c r="H345">
        <f>D345*F345</f>
        <v/>
      </c>
      <c r="I345">
        <f>E345*G345</f>
        <v/>
      </c>
      <c r="J345">
        <f>H345-I345</f>
        <v/>
      </c>
      <c r="K345" t="n">
        <v>-0.0275</v>
      </c>
      <c r="L345" t="n">
        <v>-1419.424369812012</v>
      </c>
      <c r="M345" t="n">
        <v>392.2962989807129</v>
      </c>
      <c r="N345">
        <f>-I345*K345/252</f>
        <v/>
      </c>
      <c r="O345" t="n">
        <v>0</v>
      </c>
      <c r="P345" t="n">
        <v>-421.1916250584997</v>
      </c>
      <c r="Q345" t="n">
        <v>0.0432</v>
      </c>
      <c r="R345" t="n">
        <v>0</v>
      </c>
      <c r="S345" t="n">
        <v>-1055.43499712331</v>
      </c>
    </row>
    <row r="346">
      <c r="A346" s="1" t="n">
        <v>44949</v>
      </c>
      <c r="B346" t="inlineStr">
        <is>
          <t>CONL</t>
        </is>
      </c>
      <c r="C346" t="inlineStr">
        <is>
          <t>COIN</t>
        </is>
      </c>
      <c r="D346" t="n">
        <v>55.95999908447266</v>
      </c>
      <c r="E346" t="n">
        <v>8.715405464172363</v>
      </c>
      <c r="F346" t="n">
        <v>71778</v>
      </c>
      <c r="G346" t="n">
        <v>-233356</v>
      </c>
      <c r="H346">
        <f>D346*F346</f>
        <v/>
      </c>
      <c r="I346">
        <f>E346*G346</f>
        <v/>
      </c>
      <c r="J346">
        <f>H346-I346</f>
        <v/>
      </c>
      <c r="K346" t="n">
        <v>0.03</v>
      </c>
      <c r="L346" t="n">
        <v>57422.34523773193</v>
      </c>
      <c r="M346" t="n">
        <v>-41201.87424087524</v>
      </c>
      <c r="N346">
        <f>-I346*K346/252</f>
        <v/>
      </c>
      <c r="O346" t="n">
        <v>0</v>
      </c>
      <c r="P346" t="n">
        <v>3464.410183110975</v>
      </c>
      <c r="Q346" t="n">
        <v>0.0432</v>
      </c>
      <c r="R346" t="n">
        <v>0</v>
      </c>
      <c r="S346" t="n">
        <v>16462.58911084448</v>
      </c>
    </row>
    <row r="347">
      <c r="A347" s="1" t="n">
        <v>44949</v>
      </c>
      <c r="B347" t="inlineStr">
        <is>
          <t>MEXX</t>
        </is>
      </c>
      <c r="C347" t="inlineStr">
        <is>
          <t>EWW</t>
        </is>
      </c>
      <c r="D347" t="n">
        <v>52.218505859375</v>
      </c>
      <c r="E347" t="n">
        <v>23.83536338806152</v>
      </c>
      <c r="F347" t="n">
        <v>8705</v>
      </c>
      <c r="G347" t="n">
        <v>-6605</v>
      </c>
      <c r="H347">
        <f>D347*F347</f>
        <v/>
      </c>
      <c r="I347">
        <f>E347*G347</f>
        <v/>
      </c>
      <c r="J347">
        <f>H347-I347</f>
        <v/>
      </c>
      <c r="K347" t="n">
        <v>0.0075</v>
      </c>
      <c r="L347" t="n">
        <v>6072.420234680176</v>
      </c>
      <c r="M347" t="n">
        <v>-5775.507402420044</v>
      </c>
      <c r="N347">
        <f>-I347*K347/252</f>
        <v/>
      </c>
      <c r="O347" t="n">
        <v>0</v>
      </c>
      <c r="P347" t="n">
        <v>65.0661268672489</v>
      </c>
      <c r="Q347" t="n">
        <v>0.0432</v>
      </c>
      <c r="R347" t="n">
        <v>0</v>
      </c>
      <c r="S347" t="n">
        <v>301.5983255690052</v>
      </c>
    </row>
    <row r="348">
      <c r="A348" s="1" t="n">
        <v>44949</v>
      </c>
      <c r="B348" t="inlineStr">
        <is>
          <t>KORU</t>
        </is>
      </c>
      <c r="C348" t="inlineStr">
        <is>
          <t>EWY</t>
        </is>
      </c>
      <c r="D348" t="n">
        <v>59.48430633544922</v>
      </c>
      <c r="E348" t="n">
        <v>99.31724548339844</v>
      </c>
      <c r="F348" t="n">
        <v>12312</v>
      </c>
      <c r="G348" t="n">
        <v>-2618</v>
      </c>
      <c r="H348">
        <f>D348*F348</f>
        <v/>
      </c>
      <c r="I348">
        <f>E348*G348</f>
        <v/>
      </c>
      <c r="J348">
        <f>H348-I348</f>
        <v/>
      </c>
      <c r="K348" t="n">
        <v>0.0225</v>
      </c>
      <c r="L348" t="n">
        <v>7564.386016845703</v>
      </c>
      <c r="M348" t="n">
        <v>-7582.716461181641</v>
      </c>
      <c r="N348">
        <f>-I348*K348/252</f>
        <v/>
      </c>
      <c r="O348" t="n">
        <v>0</v>
      </c>
      <c r="P348" t="n">
        <v>317.3976250771113</v>
      </c>
      <c r="Q348" t="n">
        <v>0.0432</v>
      </c>
      <c r="R348" t="n">
        <v>0</v>
      </c>
      <c r="S348" t="n">
        <v>4.884961795806884</v>
      </c>
    </row>
    <row r="349">
      <c r="A349" s="1" t="n">
        <v>44949</v>
      </c>
      <c r="B349" t="inlineStr">
        <is>
          <t>YINN</t>
        </is>
      </c>
      <c r="C349" t="inlineStr">
        <is>
          <t>FXI</t>
        </is>
      </c>
      <c r="D349" t="n">
        <v>30.51405334472656</v>
      </c>
      <c r="E349" t="n">
        <v>65.48275756835938</v>
      </c>
      <c r="F349" t="n">
        <v>34614</v>
      </c>
      <c r="G349" t="n">
        <v>-5631</v>
      </c>
      <c r="H349">
        <f>D349*F349</f>
        <v/>
      </c>
      <c r="I349">
        <f>E349*G349</f>
        <v/>
      </c>
      <c r="J349">
        <f>H349-I349</f>
        <v/>
      </c>
      <c r="K349" t="n">
        <v>-0.02</v>
      </c>
      <c r="L349" t="n">
        <v>11574.86170578003</v>
      </c>
      <c r="M349" t="n">
        <v>-10845.14824676514</v>
      </c>
      <c r="N349">
        <f>-I349*K349/252</f>
        <v/>
      </c>
      <c r="O349" t="n">
        <v>0</v>
      </c>
      <c r="P349" t="n">
        <v>-392.7475375962636</v>
      </c>
      <c r="Q349" t="n">
        <v>0.0432</v>
      </c>
      <c r="R349" t="n">
        <v>0</v>
      </c>
      <c r="S349" t="n">
        <v>700.4489028349341</v>
      </c>
    </row>
    <row r="350">
      <c r="A350" s="1" t="n">
        <v>44949</v>
      </c>
      <c r="B350" t="inlineStr">
        <is>
          <t>JNUG</t>
        </is>
      </c>
      <c r="C350" t="inlineStr">
        <is>
          <t>GDXJ</t>
        </is>
      </c>
      <c r="D350" t="n">
        <v>37.86778259277344</v>
      </c>
      <c r="E350" t="n">
        <v>42.16391754150391</v>
      </c>
      <c r="F350" t="n">
        <v>13681</v>
      </c>
      <c r="G350" t="n">
        <v>-6148</v>
      </c>
      <c r="H350">
        <f>D350*F350</f>
        <v/>
      </c>
      <c r="I350">
        <f>E350*G350</f>
        <v/>
      </c>
      <c r="J350">
        <f>H350-I350</f>
        <v/>
      </c>
      <c r="K350" t="n">
        <v>-0.005</v>
      </c>
      <c r="L350" t="n">
        <v>-3106.072982788086</v>
      </c>
      <c r="M350" t="n">
        <v>3280.524993896484</v>
      </c>
      <c r="N350">
        <f>-I350*K350/252</f>
        <v/>
      </c>
      <c r="O350" t="n">
        <v>0</v>
      </c>
      <c r="P350" t="n">
        <v>-72.21909733136495</v>
      </c>
      <c r="Q350" t="n">
        <v>0.0432</v>
      </c>
      <c r="R350" t="n">
        <v>0</v>
      </c>
      <c r="S350" t="n">
        <v>169.3086824368669</v>
      </c>
    </row>
    <row r="351">
      <c r="A351" s="1" t="n">
        <v>44949</v>
      </c>
      <c r="B351" t="inlineStr">
        <is>
          <t>GDXU</t>
        </is>
      </c>
      <c r="C351" t="inlineStr">
        <is>
          <t>GDX</t>
        </is>
      </c>
      <c r="D351" t="n">
        <v>31.27951431274414</v>
      </c>
      <c r="E351" t="n">
        <v>58.72999954223633</v>
      </c>
      <c r="F351" t="n">
        <v>52231</v>
      </c>
      <c r="G351" t="n">
        <v>-8884</v>
      </c>
      <c r="H351">
        <f>D351*F351</f>
        <v/>
      </c>
      <c r="I351">
        <f>E351*G351</f>
        <v/>
      </c>
      <c r="J351">
        <f>H351-I351</f>
        <v/>
      </c>
      <c r="K351" t="n">
        <v>-0.005</v>
      </c>
      <c r="L351" t="n">
        <v>-1008.281614303589</v>
      </c>
      <c r="M351" t="n">
        <v>3908.947799682617</v>
      </c>
      <c r="N351">
        <f>-I351*K351/252</f>
        <v/>
      </c>
      <c r="O351" t="n">
        <v>0</v>
      </c>
      <c r="P351" t="n">
        <v>-148.2969696550521</v>
      </c>
      <c r="Q351" t="n">
        <v>0.0432</v>
      </c>
      <c r="R351" t="n">
        <v>0</v>
      </c>
      <c r="S351" t="n">
        <v>2890.313857681941</v>
      </c>
    </row>
    <row r="352">
      <c r="A352" s="1" t="n">
        <v>44949</v>
      </c>
      <c r="B352" t="inlineStr">
        <is>
          <t>NUGT</t>
        </is>
      </c>
      <c r="C352" t="inlineStr">
        <is>
          <t>GDX</t>
        </is>
      </c>
      <c r="D352" t="n">
        <v>31.27951431274414</v>
      </c>
      <c r="E352" t="n">
        <v>41.84461975097656</v>
      </c>
      <c r="F352" t="n">
        <v>15534</v>
      </c>
      <c r="G352" t="n">
        <v>-5817</v>
      </c>
      <c r="H352">
        <f>D352*F352</f>
        <v/>
      </c>
      <c r="I352">
        <f>E352*G352</f>
        <v/>
      </c>
      <c r="J352">
        <f>H352-I352</f>
        <v/>
      </c>
      <c r="K352" t="n">
        <v>-0.0175</v>
      </c>
      <c r="L352" t="n">
        <v>-299.872615814209</v>
      </c>
      <c r="M352" t="n">
        <v>-446.9084930419922</v>
      </c>
      <c r="N352">
        <f>-I352*K352/252</f>
        <v/>
      </c>
      <c r="O352" t="n">
        <v>0</v>
      </c>
      <c r="P352" t="n">
        <v>-237.0061554638545</v>
      </c>
      <c r="Q352" t="n">
        <v>0.0432</v>
      </c>
      <c r="R352" t="n">
        <v>0</v>
      </c>
      <c r="S352" t="n">
        <v>-763.6845917097728</v>
      </c>
    </row>
    <row r="353">
      <c r="A353" s="1" t="n">
        <v>44949</v>
      </c>
      <c r="B353" t="inlineStr">
        <is>
          <t>GGLL</t>
        </is>
      </c>
      <c r="C353" t="inlineStr">
        <is>
          <t>GOOGL</t>
        </is>
      </c>
      <c r="D353" t="n">
        <v>98.97200012207031</v>
      </c>
      <c r="E353" t="n">
        <v>19.12845611572266</v>
      </c>
      <c r="F353" t="n">
        <v>21017</v>
      </c>
      <c r="G353" t="n">
        <v>-56586</v>
      </c>
      <c r="H353">
        <f>D353*F353</f>
        <v/>
      </c>
      <c r="I353">
        <f>E353*G353</f>
        <v/>
      </c>
      <c r="J353">
        <f>H353-I353</f>
        <v/>
      </c>
      <c r="K353" t="n">
        <v>0</v>
      </c>
      <c r="L353" t="n">
        <v>36895.36017608643</v>
      </c>
      <c r="M353" t="n">
        <v>-27880.49448394775</v>
      </c>
      <c r="N353">
        <f>-I353*K353/252</f>
        <v/>
      </c>
      <c r="O353" t="n">
        <v>0</v>
      </c>
      <c r="P353" t="n">
        <v>0</v>
      </c>
      <c r="Q353" t="n">
        <v>0.0432</v>
      </c>
      <c r="R353" t="n">
        <v>0</v>
      </c>
      <c r="S353" t="n">
        <v>9014.865692138683</v>
      </c>
    </row>
    <row r="354">
      <c r="A354" s="1" t="n">
        <v>44949</v>
      </c>
      <c r="B354" t="inlineStr">
        <is>
          <t>CWEB</t>
        </is>
      </c>
      <c r="C354" t="inlineStr">
        <is>
          <t>KWEB</t>
        </is>
      </c>
      <c r="D354" t="n">
        <v>31.51688385009766</v>
      </c>
      <c r="E354" t="n">
        <v>61.13674545288086</v>
      </c>
      <c r="F354" t="n">
        <v>14190</v>
      </c>
      <c r="G354" t="n">
        <v>-3658</v>
      </c>
      <c r="H354">
        <f>D354*F354</f>
        <v/>
      </c>
      <c r="I354">
        <f>E354*G354</f>
        <v/>
      </c>
      <c r="J354">
        <f>H354-I354</f>
        <v/>
      </c>
      <c r="K354" t="n">
        <v>-0.02</v>
      </c>
      <c r="L354" t="n">
        <v>4195.090885162354</v>
      </c>
      <c r="M354" t="n">
        <v>-4512.315696716309</v>
      </c>
      <c r="N354">
        <f>-I354*K354/252</f>
        <v/>
      </c>
      <c r="O354" t="n">
        <v>0</v>
      </c>
      <c r="P354" t="n">
        <v>-251.4020532305279</v>
      </c>
      <c r="Q354" t="n">
        <v>0.0432</v>
      </c>
      <c r="R354" t="n">
        <v>0</v>
      </c>
      <c r="S354" t="n">
        <v>-334.9738762259096</v>
      </c>
    </row>
    <row r="355">
      <c r="A355" s="1" t="n">
        <v>44949</v>
      </c>
      <c r="B355" t="inlineStr">
        <is>
          <t>FBL</t>
        </is>
      </c>
      <c r="C355" t="inlineStr">
        <is>
          <t>META</t>
        </is>
      </c>
      <c r="D355" t="n">
        <v>142.1544494628906</v>
      </c>
      <c r="E355" t="n">
        <v>4.461361885070801</v>
      </c>
      <c r="F355" t="n">
        <v>25557</v>
      </c>
      <c r="G355" t="n">
        <v>-416177</v>
      </c>
      <c r="H355">
        <f>D355*F355</f>
        <v/>
      </c>
      <c r="I355">
        <f>E355*G355</f>
        <v/>
      </c>
      <c r="J355">
        <f>H355-I355</f>
        <v/>
      </c>
      <c r="K355" t="n">
        <v>-0.01</v>
      </c>
      <c r="L355" t="n">
        <v>98896.88589477539</v>
      </c>
      <c r="M355" t="n">
        <v>-76113.79207992554</v>
      </c>
      <c r="N355">
        <f>-I355*K355/252</f>
        <v/>
      </c>
      <c r="O355" t="n">
        <v>0</v>
      </c>
      <c r="P355" t="n">
        <v>-963.4304939727177</v>
      </c>
      <c r="Q355" t="n">
        <v>0.0432</v>
      </c>
      <c r="R355" t="n">
        <v>0</v>
      </c>
      <c r="S355" t="n">
        <v>22709.41460035608</v>
      </c>
    </row>
    <row r="356">
      <c r="A356" s="1" t="n">
        <v>44949</v>
      </c>
      <c r="B356" t="inlineStr">
        <is>
          <t>MSFU</t>
        </is>
      </c>
      <c r="C356" t="inlineStr">
        <is>
          <t>MSFT</t>
        </is>
      </c>
      <c r="D356" t="n">
        <v>236.3760528564453</v>
      </c>
      <c r="E356" t="n">
        <v>19.00284957885742</v>
      </c>
      <c r="F356" t="n">
        <v>8999</v>
      </c>
      <c r="G356" t="n">
        <v>-56464</v>
      </c>
      <c r="H356">
        <f>D356*F356</f>
        <v/>
      </c>
      <c r="I356">
        <f>E356*G356</f>
        <v/>
      </c>
      <c r="J356">
        <f>H356-I356</f>
        <v/>
      </c>
      <c r="K356" t="n">
        <v>-0.005</v>
      </c>
      <c r="L356" t="n">
        <v>20694.15730285645</v>
      </c>
      <c r="M356" t="n">
        <v>-16448.27612304688</v>
      </c>
      <c r="N356">
        <f>-I356*K356/252</f>
        <v/>
      </c>
      <c r="O356" t="n">
        <v>0</v>
      </c>
      <c r="P356" t="n">
        <v>-272.1206115068708</v>
      </c>
      <c r="Q356" t="n">
        <v>0.0432</v>
      </c>
      <c r="R356" t="n">
        <v>0</v>
      </c>
      <c r="S356" t="n">
        <v>4224.59195563059</v>
      </c>
    </row>
    <row r="357">
      <c r="A357" s="1" t="n">
        <v>44949</v>
      </c>
      <c r="B357" t="inlineStr">
        <is>
          <t>NVDL</t>
        </is>
      </c>
      <c r="C357" t="inlineStr">
        <is>
          <t>NVDA</t>
        </is>
      </c>
      <c r="D357" t="n">
        <v>19.17277145385742</v>
      </c>
      <c r="E357" t="n">
        <v>4.136609554290771</v>
      </c>
      <c r="F357" t="n">
        <v>281812</v>
      </c>
      <c r="G357" t="n">
        <v>-687936</v>
      </c>
      <c r="H357">
        <f>D357*F357</f>
        <v/>
      </c>
      <c r="I357">
        <f>E357*G357</f>
        <v/>
      </c>
      <c r="J357">
        <f>H357-I357</f>
        <v/>
      </c>
      <c r="K357" t="n">
        <v>0</v>
      </c>
      <c r="L357" t="n">
        <v>381171.4135284424</v>
      </c>
      <c r="M357" t="n">
        <v>-264187.3133239746</v>
      </c>
      <c r="N357">
        <f>-I357*K357/252</f>
        <v/>
      </c>
      <c r="O357" t="n">
        <v>0</v>
      </c>
      <c r="P357" t="n">
        <v>0</v>
      </c>
      <c r="Q357" t="n">
        <v>0.0432</v>
      </c>
      <c r="R357" t="n">
        <v>0</v>
      </c>
      <c r="S357" t="n">
        <v>116984.1002044678</v>
      </c>
    </row>
    <row r="358">
      <c r="A358" s="1" t="n">
        <v>44949</v>
      </c>
      <c r="B358" t="inlineStr">
        <is>
          <t>SOXL</t>
        </is>
      </c>
      <c r="C358" t="inlineStr">
        <is>
          <t>SOXX</t>
        </is>
      </c>
      <c r="D358" t="n">
        <v>131.8495788574219</v>
      </c>
      <c r="E358" t="n">
        <v>14.42331600189209</v>
      </c>
      <c r="F358" t="n">
        <v>8623</v>
      </c>
      <c r="G358" t="n">
        <v>-28873</v>
      </c>
      <c r="H358">
        <f>D358*F358</f>
        <v/>
      </c>
      <c r="I358">
        <f>E358*G358</f>
        <v/>
      </c>
      <c r="J358">
        <f>H358-I358</f>
        <v/>
      </c>
      <c r="K358" t="n">
        <v>-0.0175</v>
      </c>
      <c r="L358" t="n">
        <v>54363.28087615967</v>
      </c>
      <c r="M358" t="n">
        <v>-55092.74021339417</v>
      </c>
      <c r="N358">
        <f>-I358*K358/252</f>
        <v/>
      </c>
      <c r="O358" t="n">
        <v>0</v>
      </c>
      <c r="P358" t="n">
        <v>-368.755251678096</v>
      </c>
      <c r="Q358" t="n">
        <v>0.0432</v>
      </c>
      <c r="R358" t="n">
        <v>0</v>
      </c>
      <c r="S358" t="n">
        <v>-758.3790874374648</v>
      </c>
    </row>
    <row r="359">
      <c r="A359" s="1" t="n">
        <v>44949</v>
      </c>
      <c r="B359" t="inlineStr">
        <is>
          <t>SOXS</t>
        </is>
      </c>
      <c r="C359" t="inlineStr">
        <is>
          <t>SOXX</t>
        </is>
      </c>
      <c r="D359" t="n">
        <v>-0</v>
      </c>
      <c r="E359" t="n">
        <v>-0</v>
      </c>
      <c r="F359" t="n">
        <v>-6748</v>
      </c>
      <c r="G359" t="n">
        <v>-57</v>
      </c>
      <c r="H359">
        <f>D359*F359</f>
        <v/>
      </c>
      <c r="I359">
        <f>E359*G359</f>
        <v/>
      </c>
      <c r="J359">
        <f>H359-I359</f>
        <v/>
      </c>
      <c r="K359" t="n">
        <v>0.07000000000000001</v>
      </c>
      <c r="L359" t="n">
        <v>-42542.4352722168</v>
      </c>
      <c r="M359" t="n">
        <v>41954.69970703125</v>
      </c>
      <c r="N359">
        <f>-I359*K359/252</f>
        <v/>
      </c>
      <c r="O359" t="n">
        <v>0</v>
      </c>
      <c r="P359" t="n">
        <v>0</v>
      </c>
      <c r="Q359" t="n">
        <v>0.0432</v>
      </c>
      <c r="R359" t="n">
        <v>0</v>
      </c>
      <c r="S359" t="n">
        <v>-587.7355651855469</v>
      </c>
    </row>
    <row r="360">
      <c r="A360" s="1" t="n">
        <v>44949</v>
      </c>
      <c r="B360" t="inlineStr">
        <is>
          <t>HIBL</t>
        </is>
      </c>
      <c r="C360" t="inlineStr">
        <is>
          <t>SPHB</t>
        </is>
      </c>
      <c r="D360" t="n">
        <v>69.26390075683594</v>
      </c>
      <c r="E360" t="n">
        <v>32.9492301940918</v>
      </c>
      <c r="F360" t="n">
        <v>6387</v>
      </c>
      <c r="G360" t="n">
        <v>-4747</v>
      </c>
      <c r="H360">
        <f>D360*F360</f>
        <v/>
      </c>
      <c r="I360">
        <f>E360*G360</f>
        <v/>
      </c>
      <c r="J360">
        <f>H360-I360</f>
        <v/>
      </c>
      <c r="K360" t="n">
        <v>0.12</v>
      </c>
      <c r="L360" t="n">
        <v>12639.60557556152</v>
      </c>
      <c r="M360" t="n">
        <v>-12651.1215133667</v>
      </c>
      <c r="N360">
        <f>-I360*K360/252</f>
        <v/>
      </c>
      <c r="O360" t="n">
        <v>0</v>
      </c>
      <c r="P360" t="n">
        <v>971.264810722896</v>
      </c>
      <c r="Q360" t="n">
        <v>0.0432</v>
      </c>
      <c r="R360" t="n">
        <v>0</v>
      </c>
      <c r="S360" t="n">
        <v>62.96501254308427</v>
      </c>
    </row>
    <row r="361">
      <c r="A361" s="1" t="n">
        <v>44949</v>
      </c>
      <c r="B361" t="inlineStr">
        <is>
          <t>TSLL</t>
        </is>
      </c>
      <c r="C361" t="inlineStr">
        <is>
          <t>TSLA</t>
        </is>
      </c>
      <c r="D361" t="n">
        <v>143.75</v>
      </c>
      <c r="E361" t="n">
        <v>6.683992385864258</v>
      </c>
      <c r="F361" t="n">
        <v>16126</v>
      </c>
      <c r="G361" t="n">
        <v>-180093</v>
      </c>
      <c r="H361">
        <f>D361*F361</f>
        <v/>
      </c>
      <c r="I361">
        <f>E361*G361</f>
        <v/>
      </c>
      <c r="J361">
        <f>H361-I361</f>
        <v/>
      </c>
      <c r="K361" t="n">
        <v>0.01</v>
      </c>
      <c r="L361" t="n">
        <v>166581.6095275879</v>
      </c>
      <c r="M361" t="n">
        <v>-124739.9279952049</v>
      </c>
      <c r="N361">
        <f>-I361*K361/252</f>
        <v/>
      </c>
      <c r="O361" t="n">
        <v>0</v>
      </c>
      <c r="P361" t="n">
        <v>587.5376830421554</v>
      </c>
      <c r="Q361" t="n">
        <v>0.0432</v>
      </c>
      <c r="R361" t="n">
        <v>0</v>
      </c>
      <c r="S361" t="n">
        <v>41889.44900225392</v>
      </c>
    </row>
    <row r="362">
      <c r="A362" s="1" t="n">
        <v>44949</v>
      </c>
      <c r="B362" t="inlineStr">
        <is>
          <t>TSLQ</t>
        </is>
      </c>
      <c r="C362" t="inlineStr">
        <is>
          <t>TSLA</t>
        </is>
      </c>
      <c r="D362" t="n">
        <v>-0</v>
      </c>
      <c r="E362" t="n">
        <v>-0</v>
      </c>
      <c r="F362" t="n">
        <v>-5992</v>
      </c>
      <c r="G362" t="n">
        <v>-371</v>
      </c>
      <c r="H362">
        <f>D362*F362</f>
        <v/>
      </c>
      <c r="I362">
        <f>E362*G362</f>
        <v/>
      </c>
      <c r="J362">
        <f>H362-I362</f>
        <v/>
      </c>
      <c r="K362" t="n">
        <v>-0.02</v>
      </c>
      <c r="L362" t="n">
        <v>-61897.37097167969</v>
      </c>
      <c r="M362" t="n">
        <v>27087.41558837891</v>
      </c>
      <c r="N362">
        <f>-I362*K362/252</f>
        <v/>
      </c>
      <c r="O362" t="n">
        <v>0</v>
      </c>
      <c r="P362" t="n">
        <v>0</v>
      </c>
      <c r="Q362" t="n">
        <v>0.0432</v>
      </c>
      <c r="R362" t="n">
        <v>0</v>
      </c>
      <c r="S362" t="n">
        <v>-34809.95538330078</v>
      </c>
    </row>
    <row r="363">
      <c r="A363" s="1" t="n">
        <v>44949</v>
      </c>
      <c r="B363" t="inlineStr">
        <is>
          <t>LABU</t>
        </is>
      </c>
      <c r="C363" t="inlineStr">
        <is>
          <t>XBI</t>
        </is>
      </c>
      <c r="D363" t="n">
        <v>86.69483947753906</v>
      </c>
      <c r="E363" t="n">
        <v>155.5668334960938</v>
      </c>
      <c r="F363" t="n">
        <v>3391</v>
      </c>
      <c r="G363" t="n">
        <v>-638</v>
      </c>
      <c r="H363">
        <f>D363*F363</f>
        <v/>
      </c>
      <c r="I363">
        <f>E363*G363</f>
        <v/>
      </c>
      <c r="J363">
        <f>H363-I363</f>
        <v/>
      </c>
      <c r="K363" t="n">
        <v>0.1</v>
      </c>
      <c r="L363" t="n">
        <v>573.4368515014648</v>
      </c>
      <c r="M363" t="n">
        <v>-1002.540832519531</v>
      </c>
      <c r="N363">
        <f>-I363*K363/252</f>
        <v/>
      </c>
      <c r="O363" t="n">
        <v>0</v>
      </c>
      <c r="P363" t="n">
        <v>537.0273703438896</v>
      </c>
      <c r="Q363" t="n">
        <v>0.0432</v>
      </c>
      <c r="R363" t="n">
        <v>0</v>
      </c>
      <c r="S363" t="n">
        <v>-389.7184096805631</v>
      </c>
    </row>
    <row r="364">
      <c r="A364" s="1" t="n">
        <v>44949</v>
      </c>
      <c r="B364" t="inlineStr">
        <is>
          <t>ERX</t>
        </is>
      </c>
      <c r="C364" t="inlineStr">
        <is>
          <t>XLE</t>
        </is>
      </c>
      <c r="D364" t="n">
        <v>40.66016006469727</v>
      </c>
      <c r="E364" t="n">
        <v>64.81241607666016</v>
      </c>
      <c r="F364" t="n">
        <v>1882</v>
      </c>
      <c r="G364" t="n">
        <v>-596</v>
      </c>
      <c r="H364">
        <f>D364*F364</f>
        <v/>
      </c>
      <c r="I364">
        <f>E364*G364</f>
        <v/>
      </c>
      <c r="J364">
        <f>H364-I364</f>
        <v/>
      </c>
      <c r="K364" t="n">
        <v>0.12</v>
      </c>
      <c r="L364" t="n">
        <v>101.3567962646484</v>
      </c>
      <c r="M364" t="n">
        <v>32.73471069335938</v>
      </c>
      <c r="N364">
        <f>-I364*K364/252</f>
        <v/>
      </c>
      <c r="O364" t="n">
        <v>0</v>
      </c>
      <c r="P364" t="n">
        <v>249.4165202585856</v>
      </c>
      <c r="Q364" t="n">
        <v>0.0432</v>
      </c>
      <c r="R364" t="n">
        <v>0</v>
      </c>
      <c r="S364" t="n">
        <v>152.4858879016694</v>
      </c>
    </row>
    <row r="365">
      <c r="A365" s="1" t="n">
        <v>44949</v>
      </c>
      <c r="B365" t="inlineStr">
        <is>
          <t>GUSH</t>
        </is>
      </c>
      <c r="C365" t="inlineStr">
        <is>
          <t>XOP</t>
        </is>
      </c>
      <c r="D365" t="n">
        <v>132.6109924316406</v>
      </c>
      <c r="E365" t="n">
        <v>37.05412292480469</v>
      </c>
      <c r="F365" t="n">
        <v>3048</v>
      </c>
      <c r="G365" t="n">
        <v>-5589</v>
      </c>
      <c r="H365">
        <f>D365*F365</f>
        <v/>
      </c>
      <c r="I365">
        <f>E365*G365</f>
        <v/>
      </c>
      <c r="J365">
        <f>H365-I365</f>
        <v/>
      </c>
      <c r="K365" t="n">
        <v>-0.01</v>
      </c>
      <c r="L365" t="n">
        <v>5736.533569335938</v>
      </c>
      <c r="M365" t="n">
        <v>-5627.056812286377</v>
      </c>
      <c r="N365">
        <f>-I365*K365/252</f>
        <v/>
      </c>
      <c r="O365" t="n">
        <v>0</v>
      </c>
      <c r="P365" t="n">
        <v>-108.1353664010669</v>
      </c>
      <c r="Q365" t="n">
        <v>0.0432</v>
      </c>
      <c r="R365" t="n">
        <v>0</v>
      </c>
      <c r="S365" t="n">
        <v>101.258681929453</v>
      </c>
    </row>
    <row r="366">
      <c r="A366" s="1" t="n">
        <v>44950</v>
      </c>
      <c r="B366" t="inlineStr">
        <is>
          <t>AAPB</t>
        </is>
      </c>
      <c r="C366" t="inlineStr">
        <is>
          <t>AAPL</t>
        </is>
      </c>
      <c r="D366" t="n">
        <v>140.2804565429688</v>
      </c>
      <c r="E366" t="n">
        <v>14.52334117889404</v>
      </c>
      <c r="F366" t="n">
        <v>9057</v>
      </c>
      <c r="G366" t="n">
        <v>-45734</v>
      </c>
      <c r="H366">
        <f>D366*F366</f>
        <v/>
      </c>
      <c r="I366">
        <f>E366*G366</f>
        <v/>
      </c>
      <c r="J366">
        <f>H366-I366</f>
        <v/>
      </c>
      <c r="K366" t="n">
        <v>-0.005</v>
      </c>
      <c r="L366" t="n">
        <v>12657.77110290527</v>
      </c>
      <c r="M366" t="n">
        <v>-12929.59343338013</v>
      </c>
      <c r="N366">
        <f>-I366*K366/252</f>
        <v/>
      </c>
      <c r="O366" t="n">
        <v>0</v>
      </c>
      <c r="P366" t="n">
        <v>-180.8375287661855</v>
      </c>
      <c r="Q366" t="n">
        <v>0.0432</v>
      </c>
      <c r="R366" t="n">
        <v>0</v>
      </c>
      <c r="S366" t="n">
        <v>-285.0011099485818</v>
      </c>
    </row>
    <row r="367">
      <c r="A367" s="1" t="n">
        <v>44950</v>
      </c>
      <c r="B367" t="inlineStr">
        <is>
          <t>AAPU</t>
        </is>
      </c>
      <c r="C367" t="inlineStr">
        <is>
          <t>AAPL</t>
        </is>
      </c>
      <c r="D367" t="n">
        <v>140.2804565429688</v>
      </c>
      <c r="E367" t="n">
        <v>14.72396850585938</v>
      </c>
      <c r="F367" t="n">
        <v>7658</v>
      </c>
      <c r="G367" t="n">
        <v>-37829</v>
      </c>
      <c r="H367">
        <f>D367*F367</f>
        <v/>
      </c>
      <c r="I367">
        <f>E367*G367</f>
        <v/>
      </c>
      <c r="J367">
        <f>H367-I367</f>
        <v/>
      </c>
      <c r="K367" t="n">
        <v>0.02</v>
      </c>
      <c r="L367" t="n">
        <v>10702.57382202148</v>
      </c>
      <c r="M367" t="n">
        <v>-9643.693588256836</v>
      </c>
      <c r="N367">
        <f>-I367*K367/252</f>
        <v/>
      </c>
      <c r="O367" t="n">
        <v>0</v>
      </c>
      <c r="P367" t="n">
        <v>609.5470056487644</v>
      </c>
      <c r="Q367" t="n">
        <v>0.0432</v>
      </c>
      <c r="R367" t="n">
        <v>0</v>
      </c>
      <c r="S367" t="n">
        <v>1103.086027781165</v>
      </c>
    </row>
    <row r="368">
      <c r="A368" s="1" t="n">
        <v>44950</v>
      </c>
      <c r="B368" t="inlineStr">
        <is>
          <t>AMZU</t>
        </is>
      </c>
      <c r="C368" t="inlineStr">
        <is>
          <t>AMZN</t>
        </is>
      </c>
      <c r="D368" t="n">
        <v>96.31999969482422</v>
      </c>
      <c r="E368" t="n">
        <v>13.62518405914307</v>
      </c>
      <c r="F368" t="n">
        <v>26092</v>
      </c>
      <c r="G368" t="n">
        <v>-91789</v>
      </c>
      <c r="H368">
        <f>D368*F368</f>
        <v/>
      </c>
      <c r="I368">
        <f>E368*G368</f>
        <v/>
      </c>
      <c r="J368">
        <f>H368-I368</f>
        <v/>
      </c>
      <c r="K368" t="n">
        <v>-0.0025</v>
      </c>
      <c r="L368" t="n">
        <v>-31310.32037353516</v>
      </c>
      <c r="M368" t="n">
        <v>20883.39458751678</v>
      </c>
      <c r="N368">
        <f>-I368*K368/252</f>
        <v/>
      </c>
      <c r="O368" t="n">
        <v>0</v>
      </c>
      <c r="P368" t="n">
        <v>-187.2470082628443</v>
      </c>
      <c r="Q368" t="n">
        <v>0.0432</v>
      </c>
      <c r="R368" t="n">
        <v>0</v>
      </c>
      <c r="S368" t="n">
        <v>-10439.33294891128</v>
      </c>
    </row>
    <row r="369">
      <c r="A369" s="1" t="n">
        <v>44950</v>
      </c>
      <c r="B369" t="inlineStr">
        <is>
          <t>TARK</t>
        </is>
      </c>
      <c r="C369" t="inlineStr">
        <is>
          <t>ARKK</t>
        </is>
      </c>
      <c r="D369" t="n">
        <v>37.17000961303711</v>
      </c>
      <c r="E369" t="n">
        <v>22.95144653320312</v>
      </c>
      <c r="F369" t="n">
        <v>18788</v>
      </c>
      <c r="G369" t="n">
        <v>-15784</v>
      </c>
      <c r="H369">
        <f>D369*F369</f>
        <v/>
      </c>
      <c r="I369">
        <f>E369*G369</f>
        <v/>
      </c>
      <c r="J369">
        <f>H369-I369</f>
        <v/>
      </c>
      <c r="K369" t="n">
        <v>-0.02</v>
      </c>
      <c r="L369" t="n">
        <v>-11179.59963989258</v>
      </c>
      <c r="M369" t="n">
        <v>14090.16914367676</v>
      </c>
      <c r="N369">
        <f>-I369*K369/252</f>
        <v/>
      </c>
      <c r="O369" t="n">
        <v>0</v>
      </c>
      <c r="P369" t="n">
        <v>-428.4515792170782</v>
      </c>
      <c r="Q369" t="n">
        <v>0.0432</v>
      </c>
      <c r="R369" t="n">
        <v>0</v>
      </c>
      <c r="S369" t="n">
        <v>2881.818263142904</v>
      </c>
    </row>
    <row r="370">
      <c r="A370" s="1" t="n">
        <v>44950</v>
      </c>
      <c r="B370" t="inlineStr">
        <is>
          <t>CHAU</t>
        </is>
      </c>
      <c r="C370" t="inlineStr">
        <is>
          <t>ASHR</t>
        </is>
      </c>
      <c r="D370" t="n">
        <v>29.7040843963623</v>
      </c>
      <c r="E370" t="n">
        <v>23.37717819213867</v>
      </c>
      <c r="F370" t="n">
        <v>5665</v>
      </c>
      <c r="G370" t="n">
        <v>-3740</v>
      </c>
      <c r="H370">
        <f>D370*F370</f>
        <v/>
      </c>
      <c r="I370">
        <f>E370*G370</f>
        <v/>
      </c>
      <c r="J370">
        <f>H370-I370</f>
        <v/>
      </c>
      <c r="K370" t="n">
        <v>-0.01</v>
      </c>
      <c r="L370" t="n">
        <v>-213.5525894165039</v>
      </c>
      <c r="M370" t="n">
        <v>308.4732437133789</v>
      </c>
      <c r="N370">
        <f>-I370*K370/252</f>
        <v/>
      </c>
      <c r="O370" t="n">
        <v>0</v>
      </c>
      <c r="P370" t="n">
        <v>-50.07155260653723</v>
      </c>
      <c r="Q370" t="n">
        <v>0.0432</v>
      </c>
      <c r="R370" t="n">
        <v>0</v>
      </c>
      <c r="S370" t="n">
        <v>91.45118420010522</v>
      </c>
    </row>
    <row r="371">
      <c r="A371" s="1" t="n">
        <v>44950</v>
      </c>
      <c r="B371" t="inlineStr">
        <is>
          <t>BABX</t>
        </is>
      </c>
      <c r="C371" t="inlineStr">
        <is>
          <t>BABA</t>
        </is>
      </c>
      <c r="D371" t="n">
        <v>113.4315719604492</v>
      </c>
      <c r="E371" t="n">
        <v>40.18500137329102</v>
      </c>
      <c r="F371" t="n">
        <v>4529</v>
      </c>
      <c r="G371" t="n">
        <v>-6431</v>
      </c>
      <c r="H371">
        <f>D371*F371</f>
        <v/>
      </c>
      <c r="I371">
        <f>E371*G371</f>
        <v/>
      </c>
      <c r="J371">
        <f>H371-I371</f>
        <v/>
      </c>
      <c r="K371" t="n">
        <v>-0.0275</v>
      </c>
      <c r="L371" t="n">
        <v>-387.1031723022461</v>
      </c>
      <c r="M371" t="n">
        <v>964.6352806091309</v>
      </c>
      <c r="N371">
        <f>-I371*K371/252</f>
        <v/>
      </c>
      <c r="O371" t="n">
        <v>0</v>
      </c>
      <c r="P371" t="n">
        <v>-449.393283611555</v>
      </c>
      <c r="Q371" t="n">
        <v>0.0432</v>
      </c>
      <c r="R371" t="n">
        <v>0</v>
      </c>
      <c r="S371" t="n">
        <v>549.3304497538294</v>
      </c>
    </row>
    <row r="372">
      <c r="A372" s="1" t="n">
        <v>44950</v>
      </c>
      <c r="B372" t="inlineStr">
        <is>
          <t>CONL</t>
        </is>
      </c>
      <c r="C372" t="inlineStr">
        <is>
          <t>COIN</t>
        </is>
      </c>
      <c r="D372" t="n">
        <v>53.56000137329102</v>
      </c>
      <c r="E372" t="n">
        <v>8.13983154296875</v>
      </c>
      <c r="F372" t="n">
        <v>71778</v>
      </c>
      <c r="G372" t="n">
        <v>-233356</v>
      </c>
      <c r="H372">
        <f>D372*F372</f>
        <v/>
      </c>
      <c r="I372">
        <f>E372*G372</f>
        <v/>
      </c>
      <c r="J372">
        <f>H372-I372</f>
        <v/>
      </c>
      <c r="K372" t="n">
        <v>0.03</v>
      </c>
      <c r="L372" t="n">
        <v>-172267.0357131958</v>
      </c>
      <c r="M372" t="n">
        <v>134313.6279563904</v>
      </c>
      <c r="N372">
        <f>-I372*K372/252</f>
        <v/>
      </c>
      <c r="O372" t="n">
        <v>0</v>
      </c>
      <c r="P372" t="n">
        <v>3690.538579484905</v>
      </c>
      <c r="Q372" t="n">
        <v>0.0432</v>
      </c>
      <c r="R372" t="n">
        <v>0</v>
      </c>
      <c r="S372" t="n">
        <v>-37727.27936043146</v>
      </c>
    </row>
    <row r="373">
      <c r="A373" s="1" t="n">
        <v>44950</v>
      </c>
      <c r="B373" t="inlineStr">
        <is>
          <t>MEXX</t>
        </is>
      </c>
      <c r="C373" t="inlineStr">
        <is>
          <t>EWW</t>
        </is>
      </c>
      <c r="D373" t="n">
        <v>52.57182312011719</v>
      </c>
      <c r="E373" t="n">
        <v>24.3212718963623</v>
      </c>
      <c r="F373" t="n">
        <v>8705</v>
      </c>
      <c r="G373" t="n">
        <v>-6605</v>
      </c>
      <c r="H373">
        <f>D373*F373</f>
        <v/>
      </c>
      <c r="I373">
        <f>E373*G373</f>
        <v/>
      </c>
      <c r="J373">
        <f>H373-I373</f>
        <v/>
      </c>
      <c r="K373" t="n">
        <v>0.0075</v>
      </c>
      <c r="L373" t="n">
        <v>3075.626754760742</v>
      </c>
      <c r="M373" t="n">
        <v>-3209.42569732666</v>
      </c>
      <c r="N373">
        <f>-I373*K373/252</f>
        <v/>
      </c>
      <c r="O373" t="n">
        <v>0</v>
      </c>
      <c r="P373" t="n">
        <v>69.84713879806655</v>
      </c>
      <c r="Q373" t="n">
        <v>0.0432</v>
      </c>
      <c r="R373" t="n">
        <v>0</v>
      </c>
      <c r="S373" t="n">
        <v>-129.0179306351003</v>
      </c>
    </row>
    <row r="374">
      <c r="A374" s="1" t="n">
        <v>44950</v>
      </c>
      <c r="B374" t="inlineStr">
        <is>
          <t>KORU</t>
        </is>
      </c>
      <c r="C374" t="inlineStr">
        <is>
          <t>EWY</t>
        </is>
      </c>
      <c r="D374" t="n">
        <v>59.30743408203125</v>
      </c>
      <c r="E374" t="n">
        <v>98.28949737548828</v>
      </c>
      <c r="F374" t="n">
        <v>12312</v>
      </c>
      <c r="G374" t="n">
        <v>-2618</v>
      </c>
      <c r="H374">
        <f>D374*F374</f>
        <v/>
      </c>
      <c r="I374">
        <f>E374*G374</f>
        <v/>
      </c>
      <c r="J374">
        <f>H374-I374</f>
        <v/>
      </c>
      <c r="K374" t="n">
        <v>0.0225</v>
      </c>
      <c r="L374" t="n">
        <v>-2177.651184082031</v>
      </c>
      <c r="M374" t="n">
        <v>2690.644546508789</v>
      </c>
      <c r="N374">
        <f>-I374*K374/252</f>
        <v/>
      </c>
      <c r="O374" t="n">
        <v>0</v>
      </c>
      <c r="P374" t="n">
        <v>340.3727950886317</v>
      </c>
      <c r="Q374" t="n">
        <v>0.0432</v>
      </c>
      <c r="R374" t="n">
        <v>0</v>
      </c>
      <c r="S374" t="n">
        <v>535.9685324382787</v>
      </c>
    </row>
    <row r="375">
      <c r="A375" s="1" t="n">
        <v>44950</v>
      </c>
      <c r="B375" t="inlineStr">
        <is>
          <t>YINN</t>
        </is>
      </c>
      <c r="C375" t="inlineStr">
        <is>
          <t>FXI</t>
        </is>
      </c>
      <c r="D375" t="n">
        <v>30.45832061767578</v>
      </c>
      <c r="E375" t="n">
        <v>65.33316802978516</v>
      </c>
      <c r="F375" t="n">
        <v>34614</v>
      </c>
      <c r="G375" t="n">
        <v>-5631</v>
      </c>
      <c r="H375">
        <f>D375*F375</f>
        <v/>
      </c>
      <c r="I375">
        <f>E375*G375</f>
        <v/>
      </c>
      <c r="J375">
        <f>H375-I375</f>
        <v/>
      </c>
      <c r="K375" t="n">
        <v>-0.02</v>
      </c>
      <c r="L375" t="n">
        <v>-1929.132614135742</v>
      </c>
      <c r="M375" t="n">
        <v>842.3386917114258</v>
      </c>
      <c r="N375">
        <f>-I375*K375/252</f>
        <v/>
      </c>
      <c r="O375" t="n">
        <v>0</v>
      </c>
      <c r="P375" t="n">
        <v>-421.9452414990985</v>
      </c>
      <c r="Q375" t="n">
        <v>0.0432</v>
      </c>
      <c r="R375" t="n">
        <v>0</v>
      </c>
      <c r="S375" t="n">
        <v>-1115.991626327151</v>
      </c>
    </row>
    <row r="376">
      <c r="A376" s="1" t="n">
        <v>44950</v>
      </c>
      <c r="B376" t="inlineStr">
        <is>
          <t>JNUG</t>
        </is>
      </c>
      <c r="C376" t="inlineStr">
        <is>
          <t>GDXJ</t>
        </is>
      </c>
      <c r="D376" t="n">
        <v>38.43537521362305</v>
      </c>
      <c r="E376" t="n">
        <v>43.3621711730957</v>
      </c>
      <c r="F376" t="n">
        <v>13681</v>
      </c>
      <c r="G376" t="n">
        <v>-6148</v>
      </c>
      <c r="H376">
        <f>D376*F376</f>
        <v/>
      </c>
      <c r="I376">
        <f>E376*G376</f>
        <v/>
      </c>
      <c r="J376">
        <f>H376-I376</f>
        <v/>
      </c>
      <c r="K376" t="n">
        <v>-0.005</v>
      </c>
      <c r="L376" t="n">
        <v>7765.234645843506</v>
      </c>
      <c r="M376" t="n">
        <v>-7366.863327026367</v>
      </c>
      <c r="N376">
        <f>-I376*K376/252</f>
        <v/>
      </c>
      <c r="O376" t="n">
        <v>0</v>
      </c>
      <c r="P376" t="n">
        <v>-77.5085939260513</v>
      </c>
      <c r="Q376" t="n">
        <v>0.0432</v>
      </c>
      <c r="R376" t="n">
        <v>0</v>
      </c>
      <c r="S376" t="n">
        <v>393.0818222224523</v>
      </c>
    </row>
    <row r="377">
      <c r="A377" s="1" t="n">
        <v>44950</v>
      </c>
      <c r="B377" t="inlineStr">
        <is>
          <t>GDXU</t>
        </is>
      </c>
      <c r="C377" t="inlineStr">
        <is>
          <t>GDX</t>
        </is>
      </c>
      <c r="D377" t="n">
        <v>31.59810066223145</v>
      </c>
      <c r="E377" t="n">
        <v>60.59000015258789</v>
      </c>
      <c r="F377" t="n">
        <v>52231</v>
      </c>
      <c r="G377" t="n">
        <v>-8884</v>
      </c>
      <c r="H377">
        <f>D377*F377</f>
        <v/>
      </c>
      <c r="I377">
        <f>E377*G377</f>
        <v/>
      </c>
      <c r="J377">
        <f>H377-I377</f>
        <v/>
      </c>
      <c r="K377" t="n">
        <v>-0.005</v>
      </c>
      <c r="L377" t="n">
        <v>16640.08362007141</v>
      </c>
      <c r="M377" t="n">
        <v>-16524.24542236328</v>
      </c>
      <c r="N377">
        <f>-I377*K377/252</f>
        <v/>
      </c>
      <c r="O377" t="n">
        <v>0</v>
      </c>
      <c r="P377" t="n">
        <v>-158.9771593644884</v>
      </c>
      <c r="Q377" t="n">
        <v>0.0432</v>
      </c>
      <c r="R377" t="n">
        <v>0</v>
      </c>
      <c r="S377" t="n">
        <v>105.1580079986936</v>
      </c>
    </row>
    <row r="378">
      <c r="A378" s="1" t="n">
        <v>44950</v>
      </c>
      <c r="B378" t="inlineStr">
        <is>
          <t>NUGT</t>
        </is>
      </c>
      <c r="C378" t="inlineStr">
        <is>
          <t>GDX</t>
        </is>
      </c>
      <c r="D378" t="n">
        <v>31.59810066223145</v>
      </c>
      <c r="E378" t="n">
        <v>42.62254333496094</v>
      </c>
      <c r="F378" t="n">
        <v>15534</v>
      </c>
      <c r="G378" t="n">
        <v>-5817</v>
      </c>
      <c r="H378">
        <f>D378*F378</f>
        <v/>
      </c>
      <c r="I378">
        <f>E378*G378</f>
        <v/>
      </c>
      <c r="J378">
        <f>H378-I378</f>
        <v/>
      </c>
      <c r="K378" t="n">
        <v>-0.0175</v>
      </c>
      <c r="L378" t="n">
        <v>4948.920352935791</v>
      </c>
      <c r="M378" t="n">
        <v>-4525.181488037109</v>
      </c>
      <c r="N378">
        <f>-I378*K378/252</f>
        <v/>
      </c>
      <c r="O378" t="n">
        <v>0</v>
      </c>
      <c r="P378" t="n">
        <v>-254.2238870318731</v>
      </c>
      <c r="Q378" t="n">
        <v>0.0432</v>
      </c>
      <c r="R378" t="n">
        <v>0</v>
      </c>
      <c r="S378" t="n">
        <v>406.521133330663</v>
      </c>
    </row>
    <row r="379">
      <c r="A379" s="1" t="n">
        <v>44950</v>
      </c>
      <c r="B379" t="inlineStr">
        <is>
          <t>GGLL</t>
        </is>
      </c>
      <c r="C379" t="inlineStr">
        <is>
          <t>GOOGL</t>
        </is>
      </c>
      <c r="D379" t="n">
        <v>96.89913177490234</v>
      </c>
      <c r="E379" t="n">
        <v>18.49675559997559</v>
      </c>
      <c r="F379" t="n">
        <v>21017</v>
      </c>
      <c r="G379" t="n">
        <v>-56586</v>
      </c>
      <c r="H379">
        <f>D379*F379</f>
        <v/>
      </c>
      <c r="I379">
        <f>E379*G379</f>
        <v/>
      </c>
      <c r="J379">
        <f>H379-I379</f>
        <v/>
      </c>
      <c r="K379" t="n">
        <v>0</v>
      </c>
      <c r="L379" t="n">
        <v>-43565.4740524292</v>
      </c>
      <c r="M379" t="n">
        <v>35745.40538406372</v>
      </c>
      <c r="N379">
        <f>-I379*K379/252</f>
        <v/>
      </c>
      <c r="O379" t="n">
        <v>0</v>
      </c>
      <c r="P379" t="n">
        <v>0</v>
      </c>
      <c r="Q379" t="n">
        <v>0.0432</v>
      </c>
      <c r="R379" t="n">
        <v>0</v>
      </c>
      <c r="S379" t="n">
        <v>-7820.068668365479</v>
      </c>
    </row>
    <row r="380">
      <c r="A380" s="1" t="n">
        <v>44950</v>
      </c>
      <c r="B380" t="inlineStr">
        <is>
          <t>CWEB</t>
        </is>
      </c>
      <c r="C380" t="inlineStr">
        <is>
          <t>KWEB</t>
        </is>
      </c>
      <c r="D380" t="n">
        <v>31.37354850769043</v>
      </c>
      <c r="E380" t="n">
        <v>60.56048202514648</v>
      </c>
      <c r="F380" t="n">
        <v>14190</v>
      </c>
      <c r="G380" t="n">
        <v>-3658</v>
      </c>
      <c r="H380">
        <f>D380*F380</f>
        <v/>
      </c>
      <c r="I380">
        <f>E380*G380</f>
        <v/>
      </c>
      <c r="J380">
        <f>H380-I380</f>
        <v/>
      </c>
      <c r="K380" t="n">
        <v>-0.02</v>
      </c>
      <c r="L380" t="n">
        <v>-2033.928508758545</v>
      </c>
      <c r="M380" t="n">
        <v>2107.971618652344</v>
      </c>
      <c r="N380">
        <f>-I380*K380/252</f>
        <v/>
      </c>
      <c r="O380" t="n">
        <v>0</v>
      </c>
      <c r="P380" t="n">
        <v>-268.9838185676696</v>
      </c>
      <c r="Q380" t="n">
        <v>0.0432</v>
      </c>
      <c r="R380" t="n">
        <v>0</v>
      </c>
      <c r="S380" t="n">
        <v>56.46134455665755</v>
      </c>
    </row>
    <row r="381">
      <c r="A381" s="1" t="n">
        <v>44950</v>
      </c>
      <c r="B381" t="inlineStr">
        <is>
          <t>FBL</t>
        </is>
      </c>
      <c r="C381" t="inlineStr">
        <is>
          <t>META</t>
        </is>
      </c>
      <c r="D381" t="n">
        <v>142.0254364013672</v>
      </c>
      <c r="E381" t="n">
        <v>4.448641777038574</v>
      </c>
      <c r="F381" t="n">
        <v>25557</v>
      </c>
      <c r="G381" t="n">
        <v>-416177</v>
      </c>
      <c r="H381">
        <f>D381*F381</f>
        <v/>
      </c>
      <c r="I381">
        <f>E381*G381</f>
        <v/>
      </c>
      <c r="J381">
        <f>H381-I381</f>
        <v/>
      </c>
      <c r="K381" t="n">
        <v>-0.01</v>
      </c>
      <c r="L381" t="n">
        <v>-3297.186813354492</v>
      </c>
      <c r="M381" t="n">
        <v>5293.816400527954</v>
      </c>
      <c r="N381">
        <f>-I381*K381/252</f>
        <v/>
      </c>
      <c r="O381" t="n">
        <v>0</v>
      </c>
      <c r="P381" t="n">
        <v>-1036.899636387106</v>
      </c>
      <c r="Q381" t="n">
        <v>0.0432</v>
      </c>
      <c r="R381" t="n">
        <v>0</v>
      </c>
      <c r="S381" t="n">
        <v>1923.160444759074</v>
      </c>
    </row>
    <row r="382">
      <c r="A382" s="1" t="n">
        <v>44950</v>
      </c>
      <c r="B382" t="inlineStr">
        <is>
          <t>MSFU</t>
        </is>
      </c>
      <c r="C382" t="inlineStr">
        <is>
          <t>MSFT</t>
        </is>
      </c>
      <c r="D382" t="n">
        <v>235.8498840332031</v>
      </c>
      <c r="E382" t="n">
        <v>18.93341064453125</v>
      </c>
      <c r="F382" t="n">
        <v>8999</v>
      </c>
      <c r="G382" t="n">
        <v>-56464</v>
      </c>
      <c r="H382">
        <f>D382*F382</f>
        <v/>
      </c>
      <c r="I382">
        <f>E382*G382</f>
        <v/>
      </c>
      <c r="J382">
        <f>H382-I382</f>
        <v/>
      </c>
      <c r="K382" t="n">
        <v>-0.005</v>
      </c>
      <c r="L382" t="n">
        <v>-4734.993240356445</v>
      </c>
      <c r="M382" t="n">
        <v>3920.799987792969</v>
      </c>
      <c r="N382">
        <f>-I382*K382/252</f>
        <v/>
      </c>
      <c r="O382" t="n">
        <v>0</v>
      </c>
      <c r="P382" t="n">
        <v>-293.3320420352997</v>
      </c>
      <c r="Q382" t="n">
        <v>0.0432</v>
      </c>
      <c r="R382" t="n">
        <v>0</v>
      </c>
      <c r="S382" t="n">
        <v>-835.4046830919049</v>
      </c>
    </row>
    <row r="383">
      <c r="A383" s="1" t="n">
        <v>44950</v>
      </c>
      <c r="B383" t="inlineStr">
        <is>
          <t>NVDL</t>
        </is>
      </c>
      <c r="C383" t="inlineStr">
        <is>
          <t>NVDA</t>
        </is>
      </c>
      <c r="D383" t="n">
        <v>19.24469375610352</v>
      </c>
      <c r="E383" t="n">
        <v>4.206799507141113</v>
      </c>
      <c r="F383" t="n">
        <v>281812</v>
      </c>
      <c r="G383" t="n">
        <v>-687936</v>
      </c>
      <c r="H383">
        <f>D383*F383</f>
        <v/>
      </c>
      <c r="I383">
        <f>E383*G383</f>
        <v/>
      </c>
      <c r="J383">
        <f>H383-I383</f>
        <v/>
      </c>
      <c r="K383" t="n">
        <v>0</v>
      </c>
      <c r="L383" t="n">
        <v>20268.56784057617</v>
      </c>
      <c r="M383" t="n">
        <v>-48286.19540405273</v>
      </c>
      <c r="N383">
        <f>-I383*K383/252</f>
        <v/>
      </c>
      <c r="O383" t="n">
        <v>0</v>
      </c>
      <c r="P383" t="n">
        <v>0</v>
      </c>
      <c r="Q383" t="n">
        <v>0.0432</v>
      </c>
      <c r="R383" t="n">
        <v>0</v>
      </c>
      <c r="S383" t="n">
        <v>-28017.62756347656</v>
      </c>
    </row>
    <row r="384">
      <c r="A384" s="1" t="n">
        <v>44950</v>
      </c>
      <c r="B384" t="inlineStr">
        <is>
          <t>SOXL</t>
        </is>
      </c>
      <c r="C384" t="inlineStr">
        <is>
          <t>SOXX</t>
        </is>
      </c>
      <c r="D384" t="n">
        <v>130.8531036376953</v>
      </c>
      <c r="E384" t="n">
        <v>14.12975978851318</v>
      </c>
      <c r="F384" t="n">
        <v>8623</v>
      </c>
      <c r="G384" t="n">
        <v>-28873</v>
      </c>
      <c r="H384">
        <f>D384*F384</f>
        <v/>
      </c>
      <c r="I384">
        <f>E384*G384</f>
        <v/>
      </c>
      <c r="J384">
        <f>H384-I384</f>
        <v/>
      </c>
      <c r="K384" t="n">
        <v>-0.0175</v>
      </c>
      <c r="L384" t="n">
        <v>-8592.605819702148</v>
      </c>
      <c r="M384" t="n">
        <v>8475.84854888916</v>
      </c>
      <c r="N384">
        <f>-I384*K384/252</f>
        <v/>
      </c>
      <c r="O384" t="n">
        <v>0</v>
      </c>
      <c r="P384" t="n">
        <v>-397.0864012873835</v>
      </c>
      <c r="Q384" t="n">
        <v>0.0432</v>
      </c>
      <c r="R384" t="n">
        <v>0</v>
      </c>
      <c r="S384" t="n">
        <v>-145.0884204222758</v>
      </c>
    </row>
    <row r="385">
      <c r="A385" s="1" t="n">
        <v>44950</v>
      </c>
      <c r="B385" t="inlineStr">
        <is>
          <t>SOXS</t>
        </is>
      </c>
      <c r="C385" t="inlineStr">
        <is>
          <t>SOXX</t>
        </is>
      </c>
      <c r="D385" t="n">
        <v>-0</v>
      </c>
      <c r="E385" t="n">
        <v>-0</v>
      </c>
      <c r="F385" t="n">
        <v>-6748</v>
      </c>
      <c r="G385" t="n">
        <v>-57</v>
      </c>
      <c r="H385">
        <f>D385*F385</f>
        <v/>
      </c>
      <c r="I385">
        <f>E385*G385</f>
        <v/>
      </c>
      <c r="J385">
        <f>H385-I385</f>
        <v/>
      </c>
      <c r="K385" t="n">
        <v>0.07000000000000001</v>
      </c>
      <c r="L385" t="n">
        <v>6724.214782714844</v>
      </c>
      <c r="M385" t="n">
        <v>-4264.89697265625</v>
      </c>
      <c r="N385">
        <f>-I385*K385/252</f>
        <v/>
      </c>
      <c r="O385" t="n">
        <v>0</v>
      </c>
      <c r="P385" t="n">
        <v>0</v>
      </c>
      <c r="Q385" t="n">
        <v>0.0432</v>
      </c>
      <c r="R385" t="n">
        <v>0</v>
      </c>
      <c r="S385" t="n">
        <v>2459.317810058594</v>
      </c>
    </row>
    <row r="386">
      <c r="A386" s="1" t="n">
        <v>44950</v>
      </c>
      <c r="B386" t="inlineStr">
        <is>
          <t>HIBL</t>
        </is>
      </c>
      <c r="C386" t="inlineStr">
        <is>
          <t>SPHB</t>
        </is>
      </c>
      <c r="D386" t="n">
        <v>68.88370513916016</v>
      </c>
      <c r="E386" t="n">
        <v>32.30693435668945</v>
      </c>
      <c r="F386" t="n">
        <v>6387</v>
      </c>
      <c r="G386" t="n">
        <v>-4747</v>
      </c>
      <c r="H386">
        <f>D386*F386</f>
        <v/>
      </c>
      <c r="I386">
        <f>E386*G386</f>
        <v/>
      </c>
      <c r="J386">
        <f>H386-I386</f>
        <v/>
      </c>
      <c r="K386" t="n">
        <v>0.12</v>
      </c>
      <c r="L386" t="n">
        <v>-2428.309410095215</v>
      </c>
      <c r="M386" t="n">
        <v>3048.978340148926</v>
      </c>
      <c r="N386">
        <f>-I386*K386/252</f>
        <v/>
      </c>
      <c r="O386" t="n">
        <v>0</v>
      </c>
      <c r="P386" t="n">
        <v>1044.29386662347</v>
      </c>
      <c r="Q386" t="n">
        <v>0.0432</v>
      </c>
      <c r="R386" t="n">
        <v>0</v>
      </c>
      <c r="S386" t="n">
        <v>693.6979859542846</v>
      </c>
    </row>
    <row r="387">
      <c r="A387" s="1" t="n">
        <v>44950</v>
      </c>
      <c r="B387" t="inlineStr">
        <is>
          <t>TSLL</t>
        </is>
      </c>
      <c r="C387" t="inlineStr">
        <is>
          <t>TSLA</t>
        </is>
      </c>
      <c r="D387" t="n">
        <v>143.8899993896484</v>
      </c>
      <c r="E387" t="n">
        <v>6.701309204101562</v>
      </c>
      <c r="F387" t="n">
        <v>16126</v>
      </c>
      <c r="G387" t="n">
        <v>-180093</v>
      </c>
      <c r="H387">
        <f>D387*F387</f>
        <v/>
      </c>
      <c r="I387">
        <f>E387*G387</f>
        <v/>
      </c>
      <c r="J387">
        <f>H387-I387</f>
        <v/>
      </c>
      <c r="K387" t="n">
        <v>0.01</v>
      </c>
      <c r="L387" t="n">
        <v>2257.630157470703</v>
      </c>
      <c r="M387" t="n">
        <v>-3118.637746810913</v>
      </c>
      <c r="N387">
        <f>-I387*K387/252</f>
        <v/>
      </c>
      <c r="O387" t="n">
        <v>0</v>
      </c>
      <c r="P387" t="n">
        <v>635.4289083792293</v>
      </c>
      <c r="Q387" t="n">
        <v>0.0432</v>
      </c>
      <c r="R387" t="n">
        <v>0</v>
      </c>
      <c r="S387" t="n">
        <v>-813.116364003136</v>
      </c>
    </row>
    <row r="388">
      <c r="A388" s="1" t="n">
        <v>44950</v>
      </c>
      <c r="B388" t="inlineStr">
        <is>
          <t>TSLQ</t>
        </is>
      </c>
      <c r="C388" t="inlineStr">
        <is>
          <t>TSLA</t>
        </is>
      </c>
      <c r="D388" t="n">
        <v>-0</v>
      </c>
      <c r="E388" t="n">
        <v>-0</v>
      </c>
      <c r="F388" t="n">
        <v>-5992</v>
      </c>
      <c r="G388" t="n">
        <v>-371</v>
      </c>
      <c r="H388">
        <f>D388*F388</f>
        <v/>
      </c>
      <c r="I388">
        <f>E388*G388</f>
        <v/>
      </c>
      <c r="J388">
        <f>H388-I388</f>
        <v/>
      </c>
      <c r="K388" t="n">
        <v>-0.02</v>
      </c>
      <c r="L388" t="n">
        <v>-838.8763427734375</v>
      </c>
      <c r="M388" t="n">
        <v>598.6405639648438</v>
      </c>
      <c r="N388">
        <f>-I388*K388/252</f>
        <v/>
      </c>
      <c r="O388" t="n">
        <v>0</v>
      </c>
      <c r="P388" t="n">
        <v>0</v>
      </c>
      <c r="Q388" t="n">
        <v>0.0432</v>
      </c>
      <c r="R388" t="n">
        <v>0</v>
      </c>
      <c r="S388" t="n">
        <v>-240.2357788085938</v>
      </c>
    </row>
    <row r="389">
      <c r="A389" s="1" t="n">
        <v>44950</v>
      </c>
      <c r="B389" t="inlineStr">
        <is>
          <t>LABU</t>
        </is>
      </c>
      <c r="C389" t="inlineStr">
        <is>
          <t>XBI</t>
        </is>
      </c>
      <c r="D389" t="n">
        <v>88.34597015380859</v>
      </c>
      <c r="E389" t="n">
        <v>165.1915435791016</v>
      </c>
      <c r="F389" t="n">
        <v>3391</v>
      </c>
      <c r="G389" t="n">
        <v>-638</v>
      </c>
      <c r="H389">
        <f>D389*F389</f>
        <v/>
      </c>
      <c r="I389">
        <f>E389*G389</f>
        <v/>
      </c>
      <c r="J389">
        <f>H389-I389</f>
        <v/>
      </c>
      <c r="K389" t="n">
        <v>0.1</v>
      </c>
      <c r="L389" t="n">
        <v>5598.98412322998</v>
      </c>
      <c r="M389" t="n">
        <v>-6140.565032958984</v>
      </c>
      <c r="N389">
        <f>-I389*K389/252</f>
        <v/>
      </c>
      <c r="O389" t="n">
        <v>0</v>
      </c>
      <c r="P389" t="n">
        <v>578.8496738373287</v>
      </c>
      <c r="Q389" t="n">
        <v>0.0432</v>
      </c>
      <c r="R389" t="n">
        <v>0</v>
      </c>
      <c r="S389" t="n">
        <v>-499.7586062355656</v>
      </c>
    </row>
    <row r="390">
      <c r="A390" s="1" t="n">
        <v>44950</v>
      </c>
      <c r="B390" t="inlineStr">
        <is>
          <t>ERX</t>
        </is>
      </c>
      <c r="C390" t="inlineStr">
        <is>
          <t>XLE</t>
        </is>
      </c>
      <c r="D390" t="n">
        <v>40.50307846069336</v>
      </c>
      <c r="E390" t="n">
        <v>64.48281097412109</v>
      </c>
      <c r="F390" t="n">
        <v>1882</v>
      </c>
      <c r="G390" t="n">
        <v>-596</v>
      </c>
      <c r="H390">
        <f>D390*F390</f>
        <v/>
      </c>
      <c r="I390">
        <f>E390*G390</f>
        <v/>
      </c>
      <c r="J390">
        <f>H390-I390</f>
        <v/>
      </c>
      <c r="K390" t="n">
        <v>0.12</v>
      </c>
      <c r="L390" t="n">
        <v>-295.6275787353516</v>
      </c>
      <c r="M390" t="n">
        <v>196.4446411132812</v>
      </c>
      <c r="N390">
        <f>-I390*K390/252</f>
        <v/>
      </c>
      <c r="O390" t="n">
        <v>0</v>
      </c>
      <c r="P390" t="n">
        <v>267.7173561350505</v>
      </c>
      <c r="Q390" t="n">
        <v>0.0432</v>
      </c>
      <c r="R390" t="n">
        <v>0</v>
      </c>
      <c r="S390" t="n">
        <v>-80.88210174560558</v>
      </c>
    </row>
    <row r="391">
      <c r="A391" s="1" t="n">
        <v>44950</v>
      </c>
      <c r="B391" t="inlineStr">
        <is>
          <t>GUSH</t>
        </is>
      </c>
      <c r="C391" t="inlineStr">
        <is>
          <t>XOP</t>
        </is>
      </c>
      <c r="D391" t="n">
        <v>131.1809997558594</v>
      </c>
      <c r="E391" t="n">
        <v>36.27257919311523</v>
      </c>
      <c r="F391" t="n">
        <v>3048</v>
      </c>
      <c r="G391" t="n">
        <v>-5589</v>
      </c>
      <c r="H391">
        <f>D391*F391</f>
        <v/>
      </c>
      <c r="I391">
        <f>E391*G391</f>
        <v/>
      </c>
      <c r="J391">
        <f>H391-I391</f>
        <v/>
      </c>
      <c r="K391" t="n">
        <v>-0.01</v>
      </c>
      <c r="L391" t="n">
        <v>-4358.61767578125</v>
      </c>
      <c r="M391" t="n">
        <v>4368.047916412354</v>
      </c>
      <c r="N391">
        <f>-I391*K391/252</f>
        <v/>
      </c>
      <c r="O391" t="n">
        <v>0</v>
      </c>
      <c r="P391" t="n">
        <v>-116.180106286397</v>
      </c>
      <c r="Q391" t="n">
        <v>0.0432</v>
      </c>
      <c r="R391" t="n">
        <v>0</v>
      </c>
      <c r="S391" t="n">
        <v>1.385500745774227</v>
      </c>
    </row>
    <row r="392">
      <c r="A392" s="1" t="n">
        <v>44951</v>
      </c>
      <c r="B392" t="inlineStr">
        <is>
          <t>AAPB</t>
        </is>
      </c>
      <c r="C392" t="inlineStr">
        <is>
          <t>AAPL</t>
        </is>
      </c>
      <c r="D392" t="n">
        <v>139.6210174560547</v>
      </c>
      <c r="E392" t="n">
        <v>14.38036918640137</v>
      </c>
      <c r="F392" t="n">
        <v>9057</v>
      </c>
      <c r="G392" t="n">
        <v>-45734</v>
      </c>
      <c r="H392">
        <f>D392*F392</f>
        <v/>
      </c>
      <c r="I392">
        <f>E392*G392</f>
        <v/>
      </c>
      <c r="J392">
        <f>H392-I392</f>
        <v/>
      </c>
      <c r="K392" t="n">
        <v>-0.005</v>
      </c>
      <c r="L392" t="n">
        <v>-5972.539810180664</v>
      </c>
      <c r="M392" t="n">
        <v>6538.681104660034</v>
      </c>
      <c r="N392">
        <f>-I392*K392/252</f>
        <v/>
      </c>
      <c r="O392" t="n">
        <v>0</v>
      </c>
      <c r="P392" t="n">
        <v>-193.886572503703</v>
      </c>
      <c r="Q392" t="n">
        <v>0.0432</v>
      </c>
      <c r="R392" t="n">
        <v>0</v>
      </c>
      <c r="S392" t="n">
        <v>553.0922507418527</v>
      </c>
    </row>
    <row r="393">
      <c r="A393" s="1" t="n">
        <v>44951</v>
      </c>
      <c r="B393" t="inlineStr">
        <is>
          <t>AAPU</t>
        </is>
      </c>
      <c r="C393" t="inlineStr">
        <is>
          <t>AAPL</t>
        </is>
      </c>
      <c r="D393" t="n">
        <v>139.6210174560547</v>
      </c>
      <c r="E393" t="n">
        <v>14.5694694519043</v>
      </c>
      <c r="F393" t="n">
        <v>7658</v>
      </c>
      <c r="G393" t="n">
        <v>-37829</v>
      </c>
      <c r="H393">
        <f>D393*F393</f>
        <v/>
      </c>
      <c r="I393">
        <f>E393*G393</f>
        <v/>
      </c>
      <c r="J393">
        <f>H393-I393</f>
        <v/>
      </c>
      <c r="K393" t="n">
        <v>0.02</v>
      </c>
      <c r="L393" t="n">
        <v>-5049.984527587891</v>
      </c>
      <c r="M393" t="n">
        <v>5844.54471206665</v>
      </c>
      <c r="N393">
        <f>-I393*K393/252</f>
        <v/>
      </c>
      <c r="O393" t="n">
        <v>0</v>
      </c>
      <c r="P393" t="n">
        <v>653.2889469103586</v>
      </c>
      <c r="Q393" t="n">
        <v>0.0432</v>
      </c>
      <c r="R393" t="n">
        <v>0</v>
      </c>
      <c r="S393" t="n">
        <v>838.3021257403541</v>
      </c>
    </row>
    <row r="394">
      <c r="A394" s="1" t="n">
        <v>44951</v>
      </c>
      <c r="B394" t="inlineStr">
        <is>
          <t>AMZU</t>
        </is>
      </c>
      <c r="C394" t="inlineStr">
        <is>
          <t>AMZN</t>
        </is>
      </c>
      <c r="D394" t="n">
        <v>97.18000030517578</v>
      </c>
      <c r="E394" t="n">
        <v>13.75840759277344</v>
      </c>
      <c r="F394" t="n">
        <v>26092</v>
      </c>
      <c r="G394" t="n">
        <v>-91789</v>
      </c>
      <c r="H394">
        <f>D394*F394</f>
        <v/>
      </c>
      <c r="I394">
        <f>E394*G394</f>
        <v/>
      </c>
      <c r="J394">
        <f>H394-I394</f>
        <v/>
      </c>
      <c r="K394" t="n">
        <v>-0.0025</v>
      </c>
      <c r="L394" t="n">
        <v>22439.13592529297</v>
      </c>
      <c r="M394" t="n">
        <v>-12228.45492839813</v>
      </c>
      <c r="N394">
        <f>-I394*K394/252</f>
        <v/>
      </c>
      <c r="O394" t="n">
        <v>0</v>
      </c>
      <c r="P394" t="n">
        <v>-199.775485192736</v>
      </c>
      <c r="Q394" t="n">
        <v>0.0432</v>
      </c>
      <c r="R394" t="n">
        <v>0</v>
      </c>
      <c r="S394" t="n">
        <v>10198.15251996495</v>
      </c>
    </row>
    <row r="395">
      <c r="A395" s="1" t="n">
        <v>44951</v>
      </c>
      <c r="B395" t="inlineStr">
        <is>
          <t>TARK</t>
        </is>
      </c>
      <c r="C395" t="inlineStr">
        <is>
          <t>ARKK</t>
        </is>
      </c>
      <c r="D395" t="n">
        <v>37.19975662231445</v>
      </c>
      <c r="E395" t="n">
        <v>23.18832206726074</v>
      </c>
      <c r="F395" t="n">
        <v>18788</v>
      </c>
      <c r="G395" t="n">
        <v>-15784</v>
      </c>
      <c r="H395">
        <f>D395*F395</f>
        <v/>
      </c>
      <c r="I395">
        <f>E395*G395</f>
        <v/>
      </c>
      <c r="J395">
        <f>H395-I395</f>
        <v/>
      </c>
      <c r="K395" t="n">
        <v>-0.02</v>
      </c>
      <c r="L395" t="n">
        <v>558.8868103027344</v>
      </c>
      <c r="M395" t="n">
        <v>-3738.84342956543</v>
      </c>
      <c r="N395">
        <f>-I395*K395/252</f>
        <v/>
      </c>
      <c r="O395" t="n">
        <v>0</v>
      </c>
      <c r="P395" t="n">
        <v>-457.4995534638753</v>
      </c>
      <c r="Q395" t="n">
        <v>0.0432</v>
      </c>
      <c r="R395" t="n">
        <v>0</v>
      </c>
      <c r="S395" t="n">
        <v>-3209.004593509493</v>
      </c>
    </row>
    <row r="396">
      <c r="A396" s="1" t="n">
        <v>44951</v>
      </c>
      <c r="B396" t="inlineStr">
        <is>
          <t>CHAU</t>
        </is>
      </c>
      <c r="C396" t="inlineStr">
        <is>
          <t>ASHR</t>
        </is>
      </c>
      <c r="D396" t="n">
        <v>29.89256286621094</v>
      </c>
      <c r="E396" t="n">
        <v>23.67958641052246</v>
      </c>
      <c r="F396" t="n">
        <v>5665</v>
      </c>
      <c r="G396" t="n">
        <v>-3740</v>
      </c>
      <c r="H396">
        <f>D396*F396</f>
        <v/>
      </c>
      <c r="I396">
        <f>E396*G396</f>
        <v/>
      </c>
      <c r="J396">
        <f>H396-I396</f>
        <v/>
      </c>
      <c r="K396" t="n">
        <v>-0.01</v>
      </c>
      <c r="L396" t="n">
        <v>1067.730531692505</v>
      </c>
      <c r="M396" t="n">
        <v>-1131.006736755371</v>
      </c>
      <c r="N396">
        <f>-I396*K396/252</f>
        <v/>
      </c>
      <c r="O396" t="n">
        <v>0</v>
      </c>
      <c r="P396" t="n">
        <v>-53.58590392301953</v>
      </c>
      <c r="Q396" t="n">
        <v>0.0432</v>
      </c>
      <c r="R396" t="n">
        <v>0</v>
      </c>
      <c r="S396" t="n">
        <v>-66.79055637934829</v>
      </c>
    </row>
    <row r="397">
      <c r="A397" s="1" t="n">
        <v>44951</v>
      </c>
      <c r="B397" t="inlineStr">
        <is>
          <t>BABX</t>
        </is>
      </c>
      <c r="C397" t="inlineStr">
        <is>
          <t>BABA</t>
        </is>
      </c>
      <c r="D397" t="n">
        <v>114.2008209228516</v>
      </c>
      <c r="E397" t="n">
        <v>40.59500122070312</v>
      </c>
      <c r="F397" t="n">
        <v>4529</v>
      </c>
      <c r="G397" t="n">
        <v>-6431</v>
      </c>
      <c r="H397">
        <f>D397*F397</f>
        <v/>
      </c>
      <c r="I397">
        <f>E397*G397</f>
        <v/>
      </c>
      <c r="J397">
        <f>H397-I397</f>
        <v/>
      </c>
      <c r="K397" t="n">
        <v>-0.0275</v>
      </c>
      <c r="L397" t="n">
        <v>3483.928550720215</v>
      </c>
      <c r="M397" t="n">
        <v>-2636.709018707275</v>
      </c>
      <c r="N397">
        <f>-I397*K397/252</f>
        <v/>
      </c>
      <c r="O397" t="n">
        <v>0</v>
      </c>
      <c r="P397" t="n">
        <v>-477.8826782678423</v>
      </c>
      <c r="Q397" t="n">
        <v>0.0432</v>
      </c>
      <c r="R397" t="n">
        <v>0</v>
      </c>
      <c r="S397" t="n">
        <v>818.7301373566526</v>
      </c>
    </row>
    <row r="398">
      <c r="A398" s="1" t="n">
        <v>44951</v>
      </c>
      <c r="B398" t="inlineStr">
        <is>
          <t>CONL</t>
        </is>
      </c>
      <c r="C398" t="inlineStr">
        <is>
          <t>COIN</t>
        </is>
      </c>
      <c r="D398" t="n">
        <v>52.7599983215332</v>
      </c>
      <c r="E398" t="n">
        <v>7.96027660369873</v>
      </c>
      <c r="F398" t="n">
        <v>71778</v>
      </c>
      <c r="G398" t="n">
        <v>-233356</v>
      </c>
      <c r="H398">
        <f>D398*F398</f>
        <v/>
      </c>
      <c r="I398">
        <f>E398*G398</f>
        <v/>
      </c>
      <c r="J398">
        <f>H398-I398</f>
        <v/>
      </c>
      <c r="K398" t="n">
        <v>0.03</v>
      </c>
      <c r="L398" t="n">
        <v>-57422.61904907227</v>
      </c>
      <c r="M398" t="n">
        <v>41900.22240829468</v>
      </c>
      <c r="N398">
        <f>-I398*K398/252</f>
        <v/>
      </c>
      <c r="O398" t="n">
        <v>0</v>
      </c>
      <c r="P398" t="n">
        <v>3911.678854143563</v>
      </c>
      <c r="Q398" t="n">
        <v>0.0432</v>
      </c>
      <c r="R398" t="n">
        <v>0</v>
      </c>
      <c r="S398" t="n">
        <v>-15301.25636611894</v>
      </c>
    </row>
    <row r="399">
      <c r="A399" s="1" t="n">
        <v>44951</v>
      </c>
      <c r="B399" t="inlineStr">
        <is>
          <t>MEXX</t>
        </is>
      </c>
      <c r="C399" t="inlineStr">
        <is>
          <t>EWW</t>
        </is>
      </c>
      <c r="D399" t="n">
        <v>52.66242218017578</v>
      </c>
      <c r="E399" t="n">
        <v>24.4227352142334</v>
      </c>
      <c r="F399" t="n">
        <v>8705</v>
      </c>
      <c r="G399" t="n">
        <v>-6605</v>
      </c>
      <c r="H399">
        <f>D399*F399</f>
        <v/>
      </c>
      <c r="I399">
        <f>E399*G399</f>
        <v/>
      </c>
      <c r="J399">
        <f>H399-I399</f>
        <v/>
      </c>
      <c r="K399" t="n">
        <v>0.0075</v>
      </c>
      <c r="L399" t="n">
        <v>788.6648178100586</v>
      </c>
      <c r="M399" t="n">
        <v>-670.1652145385742</v>
      </c>
      <c r="N399">
        <f>-I399*K399/252</f>
        <v/>
      </c>
      <c r="O399" t="n">
        <v>0</v>
      </c>
      <c r="P399" t="n">
        <v>74.64809612217404</v>
      </c>
      <c r="Q399" t="n">
        <v>0.0432</v>
      </c>
      <c r="R399" t="n">
        <v>0</v>
      </c>
      <c r="S399" t="n">
        <v>123.3005605955919</v>
      </c>
    </row>
    <row r="400">
      <c r="A400" s="1" t="n">
        <v>44951</v>
      </c>
      <c r="B400" t="inlineStr">
        <is>
          <t>KORU</t>
        </is>
      </c>
      <c r="C400" t="inlineStr">
        <is>
          <t>EWY</t>
        </is>
      </c>
      <c r="D400" t="n">
        <v>59.44707107543945</v>
      </c>
      <c r="E400" t="n">
        <v>99.03694915771484</v>
      </c>
      <c r="F400" t="n">
        <v>12312</v>
      </c>
      <c r="G400" t="n">
        <v>-2618</v>
      </c>
      <c r="H400">
        <f>D400*F400</f>
        <v/>
      </c>
      <c r="I400">
        <f>E400*G400</f>
        <v/>
      </c>
      <c r="J400">
        <f>H400-I400</f>
        <v/>
      </c>
      <c r="K400" t="n">
        <v>0.0225</v>
      </c>
      <c r="L400" t="n">
        <v>1719.210662841797</v>
      </c>
      <c r="M400" t="n">
        <v>-1956.828765869141</v>
      </c>
      <c r="N400">
        <f>-I400*K400/252</f>
        <v/>
      </c>
      <c r="O400" t="n">
        <v>0</v>
      </c>
      <c r="P400" t="n">
        <v>363.5226819542476</v>
      </c>
      <c r="Q400" t="n">
        <v>0.0432</v>
      </c>
      <c r="R400" t="n">
        <v>0</v>
      </c>
      <c r="S400" t="n">
        <v>-214.4682161617281</v>
      </c>
    </row>
    <row r="401">
      <c r="A401" s="1" t="n">
        <v>44951</v>
      </c>
      <c r="B401" t="inlineStr">
        <is>
          <t>YINN</t>
        </is>
      </c>
      <c r="C401" t="inlineStr">
        <is>
          <t>FXI</t>
        </is>
      </c>
      <c r="D401" t="n">
        <v>30.52334594726562</v>
      </c>
      <c r="E401" t="n">
        <v>65.76322937011719</v>
      </c>
      <c r="F401" t="n">
        <v>34614</v>
      </c>
      <c r="G401" t="n">
        <v>-5631</v>
      </c>
      <c r="H401">
        <f>D401*F401</f>
        <v/>
      </c>
      <c r="I401">
        <f>E401*G401</f>
        <v/>
      </c>
      <c r="J401">
        <f>H401-I401</f>
        <v/>
      </c>
      <c r="K401" t="n">
        <v>-0.02</v>
      </c>
      <c r="L401" t="n">
        <v>2250.786758422852</v>
      </c>
      <c r="M401" t="n">
        <v>-2421.675407409668</v>
      </c>
      <c r="N401">
        <f>-I401*K401/252</f>
        <v/>
      </c>
      <c r="O401" t="n">
        <v>0</v>
      </c>
      <c r="P401" t="n">
        <v>-451.335141862839</v>
      </c>
      <c r="Q401" t="n">
        <v>0.0432</v>
      </c>
      <c r="R401" t="n">
        <v>0</v>
      </c>
      <c r="S401" t="n">
        <v>-200.2785493505564</v>
      </c>
    </row>
    <row r="402">
      <c r="A402" s="1" t="n">
        <v>44951</v>
      </c>
      <c r="B402" t="inlineStr">
        <is>
          <t>JNUG</t>
        </is>
      </c>
      <c r="C402" t="inlineStr">
        <is>
          <t>GDXJ</t>
        </is>
      </c>
      <c r="D402" t="n">
        <v>38.89890289306641</v>
      </c>
      <c r="E402" t="n">
        <v>44.36384201049805</v>
      </c>
      <c r="F402" t="n">
        <v>13681</v>
      </c>
      <c r="G402" t="n">
        <v>-6148</v>
      </c>
      <c r="H402">
        <f>D402*F402</f>
        <v/>
      </c>
      <c r="I402">
        <f>E402*G402</f>
        <v/>
      </c>
      <c r="J402">
        <f>H402-I402</f>
        <v/>
      </c>
      <c r="K402" t="n">
        <v>-0.005</v>
      </c>
      <c r="L402" t="n">
        <v>6341.5221824646</v>
      </c>
      <c r="M402" t="n">
        <v>-6158.272308349609</v>
      </c>
      <c r="N402">
        <f>-I402*K402/252</f>
        <v/>
      </c>
      <c r="O402" t="n">
        <v>0</v>
      </c>
      <c r="P402" t="n">
        <v>-82.92027846336364</v>
      </c>
      <c r="Q402" t="n">
        <v>0.0432</v>
      </c>
      <c r="R402" t="n">
        <v>0</v>
      </c>
      <c r="S402" t="n">
        <v>177.8381895776779</v>
      </c>
    </row>
    <row r="403">
      <c r="A403" s="1" t="n">
        <v>44951</v>
      </c>
      <c r="B403" t="inlineStr">
        <is>
          <t>GDXU</t>
        </is>
      </c>
      <c r="C403" t="inlineStr">
        <is>
          <t>GDX</t>
        </is>
      </c>
      <c r="D403" t="n">
        <v>32.11942291259766</v>
      </c>
      <c r="E403" t="n">
        <v>63.47000122070311</v>
      </c>
      <c r="F403" t="n">
        <v>52231</v>
      </c>
      <c r="G403" t="n">
        <v>-8884</v>
      </c>
      <c r="H403">
        <f>D403*F403</f>
        <v/>
      </c>
      <c r="I403">
        <f>E403*G403</f>
        <v/>
      </c>
      <c r="J403">
        <f>H403-I403</f>
        <v/>
      </c>
      <c r="K403" t="n">
        <v>-0.005</v>
      </c>
      <c r="L403" t="n">
        <v>27229.18245887756</v>
      </c>
      <c r="M403" t="n">
        <v>-25585.92948913574</v>
      </c>
      <c r="N403">
        <f>-I403*K403/252</f>
        <v/>
      </c>
      <c r="O403" t="n">
        <v>0</v>
      </c>
      <c r="P403" t="n">
        <v>-170.1650064050584</v>
      </c>
      <c r="Q403" t="n">
        <v>0.0432</v>
      </c>
      <c r="R403" t="n">
        <v>0</v>
      </c>
      <c r="S403" t="n">
        <v>1632.065122701251</v>
      </c>
    </row>
    <row r="404">
      <c r="A404" s="1" t="n">
        <v>44951</v>
      </c>
      <c r="B404" t="inlineStr">
        <is>
          <t>NUGT</t>
        </is>
      </c>
      <c r="C404" t="inlineStr">
        <is>
          <t>GDX</t>
        </is>
      </c>
      <c r="D404" t="n">
        <v>32.11942291259766</v>
      </c>
      <c r="E404" t="n">
        <v>43.97670745849609</v>
      </c>
      <c r="F404" t="n">
        <v>15534</v>
      </c>
      <c r="G404" t="n">
        <v>-5817</v>
      </c>
      <c r="H404">
        <f>D404*F404</f>
        <v/>
      </c>
      <c r="I404">
        <f>E404*G404</f>
        <v/>
      </c>
      <c r="J404">
        <f>H404-I404</f>
        <v/>
      </c>
      <c r="K404" t="n">
        <v>-0.0175</v>
      </c>
      <c r="L404" t="n">
        <v>8098.219837188721</v>
      </c>
      <c r="M404" t="n">
        <v>-7877.172706604004</v>
      </c>
      <c r="N404">
        <f>-I404*K404/252</f>
        <v/>
      </c>
      <c r="O404" t="n">
        <v>0</v>
      </c>
      <c r="P404" t="n">
        <v>-271.9886444822948</v>
      </c>
      <c r="Q404" t="n">
        <v>0.0432</v>
      </c>
      <c r="R404" t="n">
        <v>0</v>
      </c>
      <c r="S404" t="n">
        <v>203.2823731342951</v>
      </c>
    </row>
    <row r="405">
      <c r="A405" s="1" t="n">
        <v>44951</v>
      </c>
      <c r="B405" t="inlineStr">
        <is>
          <t>GGLL</t>
        </is>
      </c>
      <c r="C405" t="inlineStr">
        <is>
          <t>GOOGL</t>
        </is>
      </c>
      <c r="D405" t="n">
        <v>94.439453125</v>
      </c>
      <c r="E405" t="n">
        <v>17.77505874633789</v>
      </c>
      <c r="F405" t="n">
        <v>21017</v>
      </c>
      <c r="G405" t="n">
        <v>-56586</v>
      </c>
      <c r="H405">
        <f>D405*F405</f>
        <v/>
      </c>
      <c r="I405">
        <f>E405*G405</f>
        <v/>
      </c>
      <c r="J405">
        <f>H405-I405</f>
        <v/>
      </c>
      <c r="K405" t="n">
        <v>0</v>
      </c>
      <c r="L405" t="n">
        <v>-51695.06618499756</v>
      </c>
      <c r="M405" t="n">
        <v>40837.93815994263</v>
      </c>
      <c r="N405">
        <f>-I405*K405/252</f>
        <v/>
      </c>
      <c r="O405" t="n">
        <v>0</v>
      </c>
      <c r="P405" t="n">
        <v>0</v>
      </c>
      <c r="Q405" t="n">
        <v>0.0432</v>
      </c>
      <c r="R405" t="n">
        <v>0</v>
      </c>
      <c r="S405" t="n">
        <v>-10857.12802505493</v>
      </c>
    </row>
    <row r="406">
      <c r="A406" s="1" t="n">
        <v>44951</v>
      </c>
      <c r="B406" t="inlineStr">
        <is>
          <t>CWEB</t>
        </is>
      </c>
      <c r="C406" t="inlineStr">
        <is>
          <t>KWEB</t>
        </is>
      </c>
      <c r="D406" t="n">
        <v>31.49001502990723</v>
      </c>
      <c r="E406" t="n">
        <v>60.99268341064453</v>
      </c>
      <c r="F406" t="n">
        <v>14190</v>
      </c>
      <c r="G406" t="n">
        <v>-3658</v>
      </c>
      <c r="H406">
        <f>D406*F406</f>
        <v/>
      </c>
      <c r="I406">
        <f>E406*G406</f>
        <v/>
      </c>
      <c r="J406">
        <f>H406-I406</f>
        <v/>
      </c>
      <c r="K406" t="n">
        <v>-0.02</v>
      </c>
      <c r="L406" t="n">
        <v>1652.659950256348</v>
      </c>
      <c r="M406" t="n">
        <v>-1580.992668151855</v>
      </c>
      <c r="N406">
        <f>-I406*K406/252</f>
        <v/>
      </c>
      <c r="O406" t="n">
        <v>0</v>
      </c>
      <c r="P406" t="n">
        <v>-286.6910595133948</v>
      </c>
      <c r="Q406" t="n">
        <v>0.0432</v>
      </c>
      <c r="R406" t="n">
        <v>0</v>
      </c>
      <c r="S406" t="n">
        <v>53.96004115876788</v>
      </c>
    </row>
    <row r="407">
      <c r="A407" s="1" t="n">
        <v>44951</v>
      </c>
      <c r="B407" t="inlineStr">
        <is>
          <t>FBL</t>
        </is>
      </c>
      <c r="C407" t="inlineStr">
        <is>
          <t>META</t>
        </is>
      </c>
      <c r="D407" t="n">
        <v>140.3982086181641</v>
      </c>
      <c r="E407" t="n">
        <v>4.376472473144531</v>
      </c>
      <c r="F407" t="n">
        <v>25557</v>
      </c>
      <c r="G407" t="n">
        <v>-416177</v>
      </c>
      <c r="H407">
        <f>D407*F407</f>
        <v/>
      </c>
      <c r="I407">
        <f>E407*G407</f>
        <v/>
      </c>
      <c r="J407">
        <f>H407-I407</f>
        <v/>
      </c>
      <c r="K407" t="n">
        <v>-0.01</v>
      </c>
      <c r="L407" t="n">
        <v>-41587.06045532227</v>
      </c>
      <c r="M407" t="n">
        <v>30035.20438671112</v>
      </c>
      <c r="N407">
        <f>-I407*K407/252</f>
        <v/>
      </c>
      <c r="O407" t="n">
        <v>0</v>
      </c>
      <c r="P407" t="n">
        <v>-1109.176905611545</v>
      </c>
      <c r="Q407" t="n">
        <v>0.0432</v>
      </c>
      <c r="R407" t="n">
        <v>0</v>
      </c>
      <c r="S407" t="n">
        <v>-11624.13333783559</v>
      </c>
    </row>
    <row r="408">
      <c r="A408" s="1" t="n">
        <v>44951</v>
      </c>
      <c r="B408" t="inlineStr">
        <is>
          <t>MSFU</t>
        </is>
      </c>
      <c r="C408" t="inlineStr">
        <is>
          <t>MSFT</t>
        </is>
      </c>
      <c r="D408" t="n">
        <v>234.4564666748047</v>
      </c>
      <c r="E408" t="n">
        <v>18.73186874389648</v>
      </c>
      <c r="F408" t="n">
        <v>8999</v>
      </c>
      <c r="G408" t="n">
        <v>-56464</v>
      </c>
      <c r="H408">
        <f>D408*F408</f>
        <v/>
      </c>
      <c r="I408">
        <f>E408*G408</f>
        <v/>
      </c>
      <c r="J408">
        <f>H408-I408</f>
        <v/>
      </c>
      <c r="K408" t="n">
        <v>-0.005</v>
      </c>
      <c r="L408" t="n">
        <v>-12539.36280822754</v>
      </c>
      <c r="M408" t="n">
        <v>11379.86187744141</v>
      </c>
      <c r="N408">
        <f>-I408*K408/252</f>
        <v/>
      </c>
      <c r="O408" t="n">
        <v>0</v>
      </c>
      <c r="P408" t="n">
        <v>-314.3176816534618</v>
      </c>
      <c r="Q408" t="n">
        <v>0.0432</v>
      </c>
      <c r="R408" t="n">
        <v>0</v>
      </c>
      <c r="S408" t="n">
        <v>-1180.486570404293</v>
      </c>
    </row>
    <row r="409">
      <c r="A409" s="1" t="n">
        <v>44951</v>
      </c>
      <c r="B409" t="inlineStr">
        <is>
          <t>NVDL</t>
        </is>
      </c>
      <c r="C409" t="inlineStr">
        <is>
          <t>NVDA</t>
        </is>
      </c>
      <c r="D409" t="n">
        <v>19.3026294708252</v>
      </c>
      <c r="E409" t="n">
        <v>4.230895519256592</v>
      </c>
      <c r="F409" t="n">
        <v>281812</v>
      </c>
      <c r="G409" t="n">
        <v>-687936</v>
      </c>
      <c r="H409">
        <f>D409*F409</f>
        <v/>
      </c>
      <c r="I409">
        <f>E409*G409</f>
        <v/>
      </c>
      <c r="J409">
        <f>H409-I409</f>
        <v/>
      </c>
      <c r="K409" t="n">
        <v>0</v>
      </c>
      <c r="L409" t="n">
        <v>16326.979637146</v>
      </c>
      <c r="M409" t="n">
        <v>-16576.51419067383</v>
      </c>
      <c r="N409">
        <f>-I409*K409/252</f>
        <v/>
      </c>
      <c r="O409" t="n">
        <v>0</v>
      </c>
      <c r="P409" t="n">
        <v>0</v>
      </c>
      <c r="Q409" t="n">
        <v>0.0432</v>
      </c>
      <c r="R409" t="n">
        <v>0</v>
      </c>
      <c r="S409" t="n">
        <v>-249.534553527832</v>
      </c>
    </row>
    <row r="410">
      <c r="A410" s="1" t="n">
        <v>44951</v>
      </c>
      <c r="B410" t="inlineStr">
        <is>
          <t>SOXL</t>
        </is>
      </c>
      <c r="C410" t="inlineStr">
        <is>
          <t>SOXX</t>
        </is>
      </c>
      <c r="D410" t="n">
        <v>131.2080688476562</v>
      </c>
      <c r="E410" t="n">
        <v>14.21782493591309</v>
      </c>
      <c r="F410" t="n">
        <v>8623</v>
      </c>
      <c r="G410" t="n">
        <v>-28873</v>
      </c>
      <c r="H410">
        <f>D410*F410</f>
        <v/>
      </c>
      <c r="I410">
        <f>E410*G410</f>
        <v/>
      </c>
      <c r="J410">
        <f>H410-I410</f>
        <v/>
      </c>
      <c r="K410" t="n">
        <v>-0.0175</v>
      </c>
      <c r="L410" t="n">
        <v>3060.865005493164</v>
      </c>
      <c r="M410" t="n">
        <v>-2542.70500087738</v>
      </c>
      <c r="N410">
        <f>-I410*K410/252</f>
        <v/>
      </c>
      <c r="O410" t="n">
        <v>0</v>
      </c>
      <c r="P410" t="n">
        <v>-425.5941276328431</v>
      </c>
      <c r="Q410" t="n">
        <v>0.0432</v>
      </c>
      <c r="R410" t="n">
        <v>0</v>
      </c>
      <c r="S410" t="n">
        <v>489.6522782703245</v>
      </c>
    </row>
    <row r="411">
      <c r="A411" s="1" t="n">
        <v>44951</v>
      </c>
      <c r="B411" t="inlineStr">
        <is>
          <t>SOXS</t>
        </is>
      </c>
      <c r="C411" t="inlineStr">
        <is>
          <t>SOXX</t>
        </is>
      </c>
      <c r="D411" t="n">
        <v>-0</v>
      </c>
      <c r="E411" t="n">
        <v>-0</v>
      </c>
      <c r="F411" t="n">
        <v>-6748</v>
      </c>
      <c r="G411" t="n">
        <v>-57</v>
      </c>
      <c r="H411">
        <f>D411*F411</f>
        <v/>
      </c>
      <c r="I411">
        <f>E411*G411</f>
        <v/>
      </c>
      <c r="J411">
        <f>H411-I411</f>
        <v/>
      </c>
      <c r="K411" t="n">
        <v>0.07000000000000001</v>
      </c>
      <c r="L411" t="n">
        <v>-2395.305236816406</v>
      </c>
      <c r="M411" t="n">
        <v>1785.2578125</v>
      </c>
      <c r="N411">
        <f>-I411*K411/252</f>
        <v/>
      </c>
      <c r="O411" t="n">
        <v>0</v>
      </c>
      <c r="P411" t="n">
        <v>0</v>
      </c>
      <c r="Q411" t="n">
        <v>0.0432</v>
      </c>
      <c r="R411" t="n">
        <v>0</v>
      </c>
      <c r="S411" t="n">
        <v>-610.0474243164058</v>
      </c>
    </row>
    <row r="412">
      <c r="A412" s="1" t="n">
        <v>44951</v>
      </c>
      <c r="B412" t="inlineStr">
        <is>
          <t>HIBL</t>
        </is>
      </c>
      <c r="C412" t="inlineStr">
        <is>
          <t>SPHB</t>
        </is>
      </c>
      <c r="D412" t="n">
        <v>69.00069427490234</v>
      </c>
      <c r="E412" t="n">
        <v>32.57535552978516</v>
      </c>
      <c r="F412" t="n">
        <v>6387</v>
      </c>
      <c r="G412" t="n">
        <v>-4747</v>
      </c>
      <c r="H412">
        <f>D412*F412</f>
        <v/>
      </c>
      <c r="I412">
        <f>E412*G412</f>
        <v/>
      </c>
      <c r="J412">
        <f>H412-I412</f>
        <v/>
      </c>
      <c r="K412" t="n">
        <v>0.12</v>
      </c>
      <c r="L412" t="n">
        <v>747.2096099853516</v>
      </c>
      <c r="M412" t="n">
        <v>-1274.195308685303</v>
      </c>
      <c r="N412">
        <f>-I412*K412/252</f>
        <v/>
      </c>
      <c r="O412" t="n">
        <v>0</v>
      </c>
      <c r="P412" t="n">
        <v>1117.929682194846</v>
      </c>
      <c r="Q412" t="n">
        <v>0.0432</v>
      </c>
      <c r="R412" t="n">
        <v>0</v>
      </c>
      <c r="S412" t="n">
        <v>-453.3498831285751</v>
      </c>
    </row>
    <row r="413">
      <c r="A413" s="1" t="n">
        <v>44951</v>
      </c>
      <c r="B413" t="inlineStr">
        <is>
          <t>TSLL</t>
        </is>
      </c>
      <c r="C413" t="inlineStr">
        <is>
          <t>TSLA</t>
        </is>
      </c>
      <c r="D413" t="n">
        <v>144.4299926757812</v>
      </c>
      <c r="E413" t="n">
        <v>6.735941410064697</v>
      </c>
      <c r="F413" t="n">
        <v>16126</v>
      </c>
      <c r="G413" t="n">
        <v>-180093</v>
      </c>
      <c r="H413">
        <f>D413*F413</f>
        <v/>
      </c>
      <c r="I413">
        <f>E413*G413</f>
        <v/>
      </c>
      <c r="J413">
        <f>H413-I413</f>
        <v/>
      </c>
      <c r="K413" t="n">
        <v>0.01</v>
      </c>
      <c r="L413" t="n">
        <v>8707.931732177734</v>
      </c>
      <c r="M413" t="n">
        <v>-6237.017868518829</v>
      </c>
      <c r="N413">
        <f>-I413*K413/252</f>
        <v/>
      </c>
      <c r="O413" t="n">
        <v>0</v>
      </c>
      <c r="P413" t="n">
        <v>683.5676344253715</v>
      </c>
      <c r="Q413" t="n">
        <v>0.0432</v>
      </c>
      <c r="R413" t="n">
        <v>0</v>
      </c>
      <c r="S413" t="n">
        <v>2519.052589705047</v>
      </c>
    </row>
    <row r="414">
      <c r="A414" s="1" t="n">
        <v>44951</v>
      </c>
      <c r="B414" t="inlineStr">
        <is>
          <t>TSLQ</t>
        </is>
      </c>
      <c r="C414" t="inlineStr">
        <is>
          <t>TSLA</t>
        </is>
      </c>
      <c r="D414" t="n">
        <v>-0</v>
      </c>
      <c r="E414" t="n">
        <v>-0</v>
      </c>
      <c r="F414" t="n">
        <v>-5992</v>
      </c>
      <c r="G414" t="n">
        <v>-371</v>
      </c>
      <c r="H414">
        <f>D414*F414</f>
        <v/>
      </c>
      <c r="I414">
        <f>E414*G414</f>
        <v/>
      </c>
      <c r="J414">
        <f>H414-I414</f>
        <v/>
      </c>
      <c r="K414" t="n">
        <v>-0.02</v>
      </c>
      <c r="L414" t="n">
        <v>-3235.639770507812</v>
      </c>
      <c r="M414" t="n">
        <v>349.1937866210938</v>
      </c>
      <c r="N414">
        <f>-I414*K414/252</f>
        <v/>
      </c>
      <c r="O414" t="n">
        <v>0</v>
      </c>
      <c r="P414" t="n">
        <v>0</v>
      </c>
      <c r="Q414" t="n">
        <v>0.0432</v>
      </c>
      <c r="R414" t="n">
        <v>0</v>
      </c>
      <c r="S414" t="n">
        <v>-2886.445983886718</v>
      </c>
    </row>
    <row r="415">
      <c r="A415" s="1" t="n">
        <v>44951</v>
      </c>
      <c r="B415" t="inlineStr">
        <is>
          <t>LABU</t>
        </is>
      </c>
      <c r="C415" t="inlineStr">
        <is>
          <t>XBI</t>
        </is>
      </c>
      <c r="D415" t="n">
        <v>88.42552947998047</v>
      </c>
      <c r="E415" t="n">
        <v>164.2094116210938</v>
      </c>
      <c r="F415" t="n">
        <v>3391</v>
      </c>
      <c r="G415" t="n">
        <v>-638</v>
      </c>
      <c r="H415">
        <f>D415*F415</f>
        <v/>
      </c>
      <c r="I415">
        <f>E415*G415</f>
        <v/>
      </c>
      <c r="J415">
        <f>H415-I415</f>
        <v/>
      </c>
      <c r="K415" t="n">
        <v>0.1</v>
      </c>
      <c r="L415" t="n">
        <v>269.7856750488281</v>
      </c>
      <c r="M415" t="n">
        <v>626.6001892089844</v>
      </c>
      <c r="N415">
        <f>-I415*K415/252</f>
        <v/>
      </c>
      <c r="O415" t="n">
        <v>0</v>
      </c>
      <c r="P415" t="n">
        <v>620.4233264620343</v>
      </c>
      <c r="Q415" t="n">
        <v>0.0432</v>
      </c>
      <c r="R415" t="n">
        <v>0</v>
      </c>
      <c r="S415" t="n">
        <v>937.959516882518</v>
      </c>
    </row>
    <row r="416">
      <c r="A416" s="1" t="n">
        <v>44951</v>
      </c>
      <c r="B416" t="inlineStr">
        <is>
          <t>ERX</t>
        </is>
      </c>
      <c r="C416" t="inlineStr">
        <is>
          <t>XLE</t>
        </is>
      </c>
      <c r="D416" t="n">
        <v>40.50757217407227</v>
      </c>
      <c r="E416" t="n">
        <v>64.33632659912109</v>
      </c>
      <c r="F416" t="n">
        <v>1882</v>
      </c>
      <c r="G416" t="n">
        <v>-596</v>
      </c>
      <c r="H416">
        <f>D416*F416</f>
        <v/>
      </c>
      <c r="I416">
        <f>E416*G416</f>
        <v/>
      </c>
      <c r="J416">
        <f>H416-I416</f>
        <v/>
      </c>
      <c r="K416" t="n">
        <v>0.12</v>
      </c>
      <c r="L416" t="n">
        <v>8.457168579101562</v>
      </c>
      <c r="M416" t="n">
        <v>87.3046875</v>
      </c>
      <c r="N416">
        <f>-I416*K416/252</f>
        <v/>
      </c>
      <c r="O416" t="n">
        <v>0</v>
      </c>
      <c r="P416" t="n">
        <v>285.976618350801</v>
      </c>
      <c r="Q416" t="n">
        <v>0.0432</v>
      </c>
      <c r="R416" t="n">
        <v>0</v>
      </c>
      <c r="S416" t="n">
        <v>114.0211182948521</v>
      </c>
    </row>
    <row r="417">
      <c r="A417" s="1" t="n">
        <v>44951</v>
      </c>
      <c r="B417" t="inlineStr">
        <is>
          <t>GUSH</t>
        </is>
      </c>
      <c r="C417" t="inlineStr">
        <is>
          <t>XOP</t>
        </is>
      </c>
      <c r="D417" t="n">
        <v>131.0426330566406</v>
      </c>
      <c r="E417" t="n">
        <v>36.16684341430664</v>
      </c>
      <c r="F417" t="n">
        <v>3048</v>
      </c>
      <c r="G417" t="n">
        <v>-5589</v>
      </c>
      <c r="H417">
        <f>D417*F417</f>
        <v/>
      </c>
      <c r="I417">
        <f>E417*G417</f>
        <v/>
      </c>
      <c r="J417">
        <f>H417-I417</f>
        <v/>
      </c>
      <c r="K417" t="n">
        <v>-0.01</v>
      </c>
      <c r="L417" t="n">
        <v>-421.74169921875</v>
      </c>
      <c r="M417" t="n">
        <v>590.9572677612305</v>
      </c>
      <c r="N417">
        <f>-I417*K417/252</f>
        <v/>
      </c>
      <c r="O417" t="n">
        <v>0</v>
      </c>
      <c r="P417" t="n">
        <v>-124.2013954864986</v>
      </c>
      <c r="Q417" t="n">
        <v>0.0432</v>
      </c>
      <c r="R417" t="n">
        <v>0</v>
      </c>
      <c r="S417" t="n">
        <v>161.1942793423789</v>
      </c>
    </row>
    <row r="418">
      <c r="A418" s="1" t="n">
        <v>44952</v>
      </c>
      <c r="B418" t="inlineStr">
        <is>
          <t>AAPB</t>
        </is>
      </c>
      <c r="C418" t="inlineStr">
        <is>
          <t>AAPL</t>
        </is>
      </c>
      <c r="D418" t="n">
        <v>141.6878662109375</v>
      </c>
      <c r="E418" t="n">
        <v>14.75516510009766</v>
      </c>
      <c r="F418" t="n">
        <v>9057</v>
      </c>
      <c r="G418" t="n">
        <v>-45734</v>
      </c>
      <c r="H418">
        <f>D418*F418</f>
        <v/>
      </c>
      <c r="I418">
        <f>E418*G418</f>
        <v/>
      </c>
      <c r="J418">
        <f>H418-I418</f>
        <v/>
      </c>
      <c r="K418" t="n">
        <v>-0.005</v>
      </c>
      <c r="L418" t="n">
        <v>18719.44917297363</v>
      </c>
      <c r="M418" t="n">
        <v>-17140.91631698608</v>
      </c>
      <c r="N418">
        <f>-I418*K418/252</f>
        <v/>
      </c>
      <c r="O418" t="n">
        <v>0</v>
      </c>
      <c r="P418" t="n">
        <v>-207.2757137871924</v>
      </c>
      <c r="Q418" t="n">
        <v>0.0432</v>
      </c>
      <c r="R418" t="n">
        <v>0</v>
      </c>
      <c r="S418" t="n">
        <v>1565.143714704059</v>
      </c>
    </row>
    <row r="419">
      <c r="A419" s="1" t="n">
        <v>44952</v>
      </c>
      <c r="B419" t="inlineStr">
        <is>
          <t>AAPU</t>
        </is>
      </c>
      <c r="C419" t="inlineStr">
        <is>
          <t>AAPL</t>
        </is>
      </c>
      <c r="D419" t="n">
        <v>141.6878662109375</v>
      </c>
      <c r="E419" t="n">
        <v>14.90164566040039</v>
      </c>
      <c r="F419" t="n">
        <v>7658</v>
      </c>
      <c r="G419" t="n">
        <v>-37829</v>
      </c>
      <c r="H419">
        <f>D419*F419</f>
        <v/>
      </c>
      <c r="I419">
        <f>E419*G419</f>
        <v/>
      </c>
      <c r="J419">
        <f>H419-I419</f>
        <v/>
      </c>
      <c r="K419" t="n">
        <v>0.02</v>
      </c>
      <c r="L419" t="n">
        <v>15827.92776489258</v>
      </c>
      <c r="M419" t="n">
        <v>-12565.89379119873</v>
      </c>
      <c r="N419">
        <f>-I419*K419/252</f>
        <v/>
      </c>
      <c r="O419" t="n">
        <v>0</v>
      </c>
      <c r="P419" t="n">
        <v>698.0281813299846</v>
      </c>
      <c r="Q419" t="n">
        <v>0.0432</v>
      </c>
      <c r="R419" t="n">
        <v>0</v>
      </c>
      <c r="S419" t="n">
        <v>3306.773208113475</v>
      </c>
    </row>
    <row r="420">
      <c r="A420" s="1" t="n">
        <v>44952</v>
      </c>
      <c r="B420" t="inlineStr">
        <is>
          <t>AMZU</t>
        </is>
      </c>
      <c r="C420" t="inlineStr">
        <is>
          <t>AMZN</t>
        </is>
      </c>
      <c r="D420" t="n">
        <v>99.22000122070312</v>
      </c>
      <c r="E420" t="n">
        <v>14.20479297637939</v>
      </c>
      <c r="F420" t="n">
        <v>26092</v>
      </c>
      <c r="G420" t="n">
        <v>-91789</v>
      </c>
      <c r="H420">
        <f>D420*F420</f>
        <v/>
      </c>
      <c r="I420">
        <f>E420*G420</f>
        <v/>
      </c>
      <c r="J420">
        <f>H420-I420</f>
        <v/>
      </c>
      <c r="K420" t="n">
        <v>-0.0025</v>
      </c>
      <c r="L420" t="n">
        <v>53227.70388793945</v>
      </c>
      <c r="M420" t="n">
        <v>-40973.26797580719</v>
      </c>
      <c r="N420">
        <f>-I420*K420/252</f>
        <v/>
      </c>
      <c r="O420" t="n">
        <v>0</v>
      </c>
      <c r="P420" t="n">
        <v>-212.710442955721</v>
      </c>
      <c r="Q420" t="n">
        <v>0.0432</v>
      </c>
      <c r="R420" t="n">
        <v>0</v>
      </c>
      <c r="S420" t="n">
        <v>12241.50095436928</v>
      </c>
    </row>
    <row r="421">
      <c r="A421" s="1" t="n">
        <v>44952</v>
      </c>
      <c r="B421" t="inlineStr">
        <is>
          <t>TARK</t>
        </is>
      </c>
      <c r="C421" t="inlineStr">
        <is>
          <t>ARKK</t>
        </is>
      </c>
      <c r="D421" t="n">
        <v>37.95347595214844</v>
      </c>
      <c r="E421" t="n">
        <v>24.12603378295898</v>
      </c>
      <c r="F421" t="n">
        <v>18788</v>
      </c>
      <c r="G421" t="n">
        <v>-15784</v>
      </c>
      <c r="H421">
        <f>D421*F421</f>
        <v/>
      </c>
      <c r="I421">
        <f>E421*G421</f>
        <v/>
      </c>
      <c r="J421">
        <f>H421-I421</f>
        <v/>
      </c>
      <c r="K421" t="n">
        <v>-0.02</v>
      </c>
      <c r="L421" t="n">
        <v>14160.8787689209</v>
      </c>
      <c r="M421" t="n">
        <v>-14800.84172058105</v>
      </c>
      <c r="N421">
        <f>-I421*K421/252</f>
        <v/>
      </c>
      <c r="O421" t="n">
        <v>0</v>
      </c>
      <c r="P421" t="n">
        <v>-487.7221976884963</v>
      </c>
      <c r="Q421" t="n">
        <v>0.0432</v>
      </c>
      <c r="R421" t="n">
        <v>0</v>
      </c>
      <c r="S421" t="n">
        <v>-670.18559588477</v>
      </c>
    </row>
    <row r="422">
      <c r="A422" s="1" t="n">
        <v>44952</v>
      </c>
      <c r="B422" t="inlineStr">
        <is>
          <t>CHAU</t>
        </is>
      </c>
      <c r="C422" t="inlineStr">
        <is>
          <t>ASHR</t>
        </is>
      </c>
      <c r="D422" t="n">
        <v>30.24124717712402</v>
      </c>
      <c r="E422" t="n">
        <v>24.23859024047852</v>
      </c>
      <c r="F422" t="n">
        <v>5665</v>
      </c>
      <c r="G422" t="n">
        <v>-3740</v>
      </c>
      <c r="H422">
        <f>D422*F422</f>
        <v/>
      </c>
      <c r="I422">
        <f>E422*G422</f>
        <v/>
      </c>
      <c r="J422">
        <f>H422-I422</f>
        <v/>
      </c>
      <c r="K422" t="n">
        <v>-0.01</v>
      </c>
      <c r="L422" t="n">
        <v>1975.296621322632</v>
      </c>
      <c r="M422" t="n">
        <v>-2090.674324035645</v>
      </c>
      <c r="N422">
        <f>-I422*K422/252</f>
        <v/>
      </c>
      <c r="O422" t="n">
        <v>0</v>
      </c>
      <c r="P422" t="n">
        <v>-57.18321850632864</v>
      </c>
      <c r="Q422" t="n">
        <v>0.0432</v>
      </c>
      <c r="R422" t="n">
        <v>0</v>
      </c>
      <c r="S422" t="n">
        <v>-118.975017296322</v>
      </c>
    </row>
    <row r="423">
      <c r="A423" s="1" t="n">
        <v>44952</v>
      </c>
      <c r="B423" t="inlineStr">
        <is>
          <t>BABX</t>
        </is>
      </c>
      <c r="C423" t="inlineStr">
        <is>
          <t>BABA</t>
        </is>
      </c>
      <c r="D423" t="n">
        <v>114.5047302246094</v>
      </c>
      <c r="E423" t="n">
        <v>40.93999862670898</v>
      </c>
      <c r="F423" t="n">
        <v>4529</v>
      </c>
      <c r="G423" t="n">
        <v>-6431</v>
      </c>
      <c r="H423">
        <f>D423*F423</f>
        <v/>
      </c>
      <c r="I423">
        <f>E423*G423</f>
        <v/>
      </c>
      <c r="J423">
        <f>H423-I423</f>
        <v/>
      </c>
      <c r="K423" t="n">
        <v>-0.0275</v>
      </c>
      <c r="L423" t="n">
        <v>1376.405227661133</v>
      </c>
      <c r="M423" t="n">
        <v>-2218.678318023682</v>
      </c>
      <c r="N423">
        <f>-I423*K423/252</f>
        <v/>
      </c>
      <c r="O423" t="n">
        <v>0</v>
      </c>
      <c r="P423" t="n">
        <v>-506.6141905977235</v>
      </c>
      <c r="Q423" t="n">
        <v>0.0432</v>
      </c>
      <c r="R423" t="n">
        <v>0</v>
      </c>
      <c r="S423" t="n">
        <v>-871.0046026924302</v>
      </c>
    </row>
    <row r="424">
      <c r="A424" s="1" t="n">
        <v>44952</v>
      </c>
      <c r="B424" t="inlineStr">
        <is>
          <t>CONL</t>
        </is>
      </c>
      <c r="C424" t="inlineStr">
        <is>
          <t>COIN</t>
        </is>
      </c>
      <c r="D424" t="n">
        <v>53.02000045776367</v>
      </c>
      <c r="E424" t="n">
        <v>8.02012825012207</v>
      </c>
      <c r="F424" t="n">
        <v>71778</v>
      </c>
      <c r="G424" t="n">
        <v>-233356</v>
      </c>
      <c r="H424">
        <f>D424*F424</f>
        <v/>
      </c>
      <c r="I424">
        <f>E424*G424</f>
        <v/>
      </c>
      <c r="J424">
        <f>H424-I424</f>
        <v/>
      </c>
      <c r="K424" t="n">
        <v>0.03</v>
      </c>
      <c r="L424" t="n">
        <v>18662.43333435059</v>
      </c>
      <c r="M424" t="n">
        <v>-13966.74080276489</v>
      </c>
      <c r="N424">
        <f>-I424*K424/252</f>
        <v/>
      </c>
      <c r="O424" t="n">
        <v>0</v>
      </c>
      <c r="P424" t="n">
        <v>4134.481836040644</v>
      </c>
      <c r="Q424" t="n">
        <v>0.0432</v>
      </c>
      <c r="R424" t="n">
        <v>0</v>
      </c>
      <c r="S424" t="n">
        <v>4918.495513482781</v>
      </c>
    </row>
    <row r="425">
      <c r="A425" s="1" t="n">
        <v>44952</v>
      </c>
      <c r="B425" t="inlineStr">
        <is>
          <t>MEXX</t>
        </is>
      </c>
      <c r="C425" t="inlineStr">
        <is>
          <t>EWW</t>
        </is>
      </c>
      <c r="D425" t="n">
        <v>52.96138000488281</v>
      </c>
      <c r="E425" t="n">
        <v>24.80883979797363</v>
      </c>
      <c r="F425" t="n">
        <v>8705</v>
      </c>
      <c r="G425" t="n">
        <v>-6605</v>
      </c>
      <c r="H425">
        <f>D425*F425</f>
        <v/>
      </c>
      <c r="I425">
        <f>E425*G425</f>
        <v/>
      </c>
      <c r="J425">
        <f>H425-I425</f>
        <v/>
      </c>
      <c r="K425" t="n">
        <v>0.0075</v>
      </c>
      <c r="L425" t="n">
        <v>2602.427864074707</v>
      </c>
      <c r="M425" t="n">
        <v>-2550.220775604248</v>
      </c>
      <c r="N425">
        <f>-I425*K425/252</f>
        <v/>
      </c>
      <c r="O425" t="n">
        <v>0</v>
      </c>
      <c r="P425" t="n">
        <v>79.5249528741269</v>
      </c>
      <c r="Q425" t="n">
        <v>0.0432</v>
      </c>
      <c r="R425" t="n">
        <v>0</v>
      </c>
      <c r="S425" t="n">
        <v>57.08394522241183</v>
      </c>
    </row>
    <row r="426">
      <c r="A426" s="1" t="n">
        <v>44952</v>
      </c>
      <c r="B426" t="inlineStr">
        <is>
          <t>KORU</t>
        </is>
      </c>
      <c r="C426" t="inlineStr">
        <is>
          <t>EWY</t>
        </is>
      </c>
      <c r="D426" t="n">
        <v>60.59206771850586</v>
      </c>
      <c r="E426" t="n">
        <v>104.642822265625</v>
      </c>
      <c r="F426" t="n">
        <v>12312</v>
      </c>
      <c r="G426" t="n">
        <v>-2618</v>
      </c>
      <c r="H426">
        <f>D426*F426</f>
        <v/>
      </c>
      <c r="I426">
        <f>E426*G426</f>
        <v/>
      </c>
      <c r="J426">
        <f>H426-I426</f>
        <v/>
      </c>
      <c r="K426" t="n">
        <v>0.0225</v>
      </c>
      <c r="L426" t="n">
        <v>14097.19866943359</v>
      </c>
      <c r="M426" t="n">
        <v>-14676.17579650879</v>
      </c>
      <c r="N426">
        <f>-I426*K426/252</f>
        <v/>
      </c>
      <c r="O426" t="n">
        <v>0</v>
      </c>
      <c r="P426" t="n">
        <v>387.9829416588374</v>
      </c>
      <c r="Q426" t="n">
        <v>0.0432</v>
      </c>
      <c r="R426" t="n">
        <v>0</v>
      </c>
      <c r="S426" t="n">
        <v>-554.516867370611</v>
      </c>
    </row>
    <row r="427">
      <c r="A427" s="1" t="n">
        <v>44952</v>
      </c>
      <c r="B427" t="inlineStr">
        <is>
          <t>YINN</t>
        </is>
      </c>
      <c r="C427" t="inlineStr">
        <is>
          <t>FXI</t>
        </is>
      </c>
      <c r="D427" t="n">
        <v>30.92276763916016</v>
      </c>
      <c r="E427" t="n">
        <v>68.25015258789062</v>
      </c>
      <c r="F427" t="n">
        <v>34614</v>
      </c>
      <c r="G427" t="n">
        <v>-5631</v>
      </c>
      <c r="H427">
        <f>D427*F427</f>
        <v/>
      </c>
      <c r="I427">
        <f>E427*G427</f>
        <v/>
      </c>
      <c r="J427">
        <f>H427-I427</f>
        <v/>
      </c>
      <c r="K427" t="n">
        <v>-0.02</v>
      </c>
      <c r="L427" t="n">
        <v>13825.5824432373</v>
      </c>
      <c r="M427" t="n">
        <v>-14003.86463928223</v>
      </c>
      <c r="N427">
        <f>-I427*K427/252</f>
        <v/>
      </c>
      <c r="O427" t="n">
        <v>0</v>
      </c>
      <c r="P427" t="n">
        <v>-481.8364600550939</v>
      </c>
      <c r="Q427" t="n">
        <v>0.0432</v>
      </c>
      <c r="R427" t="n">
        <v>0</v>
      </c>
      <c r="S427" t="n">
        <v>-208.7835142371859</v>
      </c>
    </row>
    <row r="428">
      <c r="A428" s="1" t="n">
        <v>44952</v>
      </c>
      <c r="B428" t="inlineStr">
        <is>
          <t>JNUG</t>
        </is>
      </c>
      <c r="C428" t="inlineStr">
        <is>
          <t>GDXJ</t>
        </is>
      </c>
      <c r="D428" t="n">
        <v>38.10427856445312</v>
      </c>
      <c r="E428" t="n">
        <v>42.70687484741211</v>
      </c>
      <c r="F428" t="n">
        <v>13681</v>
      </c>
      <c r="G428" t="n">
        <v>-6148</v>
      </c>
      <c r="H428">
        <f>D428*F428</f>
        <v/>
      </c>
      <c r="I428">
        <f>E428*G428</f>
        <v/>
      </c>
      <c r="J428">
        <f>H428-I428</f>
        <v/>
      </c>
      <c r="K428" t="n">
        <v>-0.005</v>
      </c>
      <c r="L428" t="n">
        <v>-10871.2554397583</v>
      </c>
      <c r="M428" t="n">
        <v>10187.03411865234</v>
      </c>
      <c r="N428">
        <f>-I428*K428/252</f>
        <v/>
      </c>
      <c r="O428" t="n">
        <v>0</v>
      </c>
      <c r="P428" t="n">
        <v>-88.12983930784559</v>
      </c>
      <c r="Q428" t="n">
        <v>0.0432</v>
      </c>
      <c r="R428" t="n">
        <v>0</v>
      </c>
      <c r="S428" t="n">
        <v>-689.4308819504427</v>
      </c>
    </row>
    <row r="429">
      <c r="A429" s="1" t="n">
        <v>44952</v>
      </c>
      <c r="B429" t="inlineStr">
        <is>
          <t>GDXU</t>
        </is>
      </c>
      <c r="C429" t="inlineStr">
        <is>
          <t>GDX</t>
        </is>
      </c>
      <c r="D429" t="n">
        <v>31.62705993652344</v>
      </c>
      <c r="E429" t="n">
        <v>60.43999862670897</v>
      </c>
      <c r="F429" t="n">
        <v>52231</v>
      </c>
      <c r="G429" t="n">
        <v>-8884</v>
      </c>
      <c r="H429">
        <f>D429*F429</f>
        <v/>
      </c>
      <c r="I429">
        <f>E429*G429</f>
        <v/>
      </c>
      <c r="J429">
        <f>H429-I429</f>
        <v/>
      </c>
      <c r="K429" t="n">
        <v>-0.005</v>
      </c>
      <c r="L429" t="n">
        <v>-25716.61060333252</v>
      </c>
      <c r="M429" t="n">
        <v>26918.54304504395</v>
      </c>
      <c r="N429">
        <f>-I429*K429/252</f>
        <v/>
      </c>
      <c r="O429" t="n">
        <v>0</v>
      </c>
      <c r="P429" t="n">
        <v>-180.8187553693378</v>
      </c>
      <c r="Q429" t="n">
        <v>0.0432</v>
      </c>
      <c r="R429" t="n">
        <v>0</v>
      </c>
      <c r="S429" t="n">
        <v>1191.27869274715</v>
      </c>
    </row>
    <row r="430">
      <c r="A430" s="1" t="n">
        <v>44952</v>
      </c>
      <c r="B430" t="inlineStr">
        <is>
          <t>NUGT</t>
        </is>
      </c>
      <c r="C430" t="inlineStr">
        <is>
          <t>GDX</t>
        </is>
      </c>
      <c r="D430" t="n">
        <v>31.62705993652344</v>
      </c>
      <c r="E430" t="n">
        <v>42.72818756103516</v>
      </c>
      <c r="F430" t="n">
        <v>15534</v>
      </c>
      <c r="G430" t="n">
        <v>-5817</v>
      </c>
      <c r="H430">
        <f>D430*F430</f>
        <v/>
      </c>
      <c r="I430">
        <f>E430*G430</f>
        <v/>
      </c>
      <c r="J430">
        <f>H430-I430</f>
        <v/>
      </c>
      <c r="K430" t="n">
        <v>-0.0175</v>
      </c>
      <c r="L430" t="n">
        <v>-7648.366470336914</v>
      </c>
      <c r="M430" t="n">
        <v>7262.640243530273</v>
      </c>
      <c r="N430">
        <f>-I430*K430/252</f>
        <v/>
      </c>
      <c r="O430" t="n">
        <v>0</v>
      </c>
      <c r="P430" t="n">
        <v>-289.2490519158046</v>
      </c>
      <c r="Q430" t="n">
        <v>0.0432</v>
      </c>
      <c r="R430" t="n">
        <v>0</v>
      </c>
      <c r="S430" t="n">
        <v>-402.9866342401505</v>
      </c>
    </row>
    <row r="431">
      <c r="A431" s="1" t="n">
        <v>44952</v>
      </c>
      <c r="B431" t="inlineStr">
        <is>
          <t>GGLL</t>
        </is>
      </c>
      <c r="C431" t="inlineStr">
        <is>
          <t>GOOGL</t>
        </is>
      </c>
      <c r="D431" t="n">
        <v>96.72060394287109</v>
      </c>
      <c r="E431" t="n">
        <v>18.43527030944824</v>
      </c>
      <c r="F431" t="n">
        <v>21017</v>
      </c>
      <c r="G431" t="n">
        <v>-56586</v>
      </c>
      <c r="H431">
        <f>D431*F431</f>
        <v/>
      </c>
      <c r="I431">
        <f>E431*G431</f>
        <v/>
      </c>
      <c r="J431">
        <f>H431-I431</f>
        <v/>
      </c>
      <c r="K431" t="n">
        <v>0</v>
      </c>
      <c r="L431" t="n">
        <v>47942.94673919678</v>
      </c>
      <c r="M431" t="n">
        <v>-37358.73151016235</v>
      </c>
      <c r="N431">
        <f>-I431*K431/252</f>
        <v/>
      </c>
      <c r="O431" t="n">
        <v>0</v>
      </c>
      <c r="P431" t="n">
        <v>0</v>
      </c>
      <c r="Q431" t="n">
        <v>0.0432</v>
      </c>
      <c r="R431" t="n">
        <v>0</v>
      </c>
      <c r="S431" t="n">
        <v>10584.21522903442</v>
      </c>
    </row>
    <row r="432">
      <c r="A432" s="1" t="n">
        <v>44952</v>
      </c>
      <c r="B432" t="inlineStr">
        <is>
          <t>CWEB</t>
        </is>
      </c>
      <c r="C432" t="inlineStr">
        <is>
          <t>KWEB</t>
        </is>
      </c>
      <c r="D432" t="n">
        <v>32.38589096069336</v>
      </c>
      <c r="E432" t="n">
        <v>64.50422668457031</v>
      </c>
      <c r="F432" t="n">
        <v>14190</v>
      </c>
      <c r="G432" t="n">
        <v>-3658</v>
      </c>
      <c r="H432">
        <f>D432*F432</f>
        <v/>
      </c>
      <c r="I432">
        <f>E432*G432</f>
        <v/>
      </c>
      <c r="J432">
        <f>H432-I432</f>
        <v/>
      </c>
      <c r="K432" t="n">
        <v>-0.02</v>
      </c>
      <c r="L432" t="n">
        <v>12712.47945785522</v>
      </c>
      <c r="M432" t="n">
        <v>-12845.22529602051</v>
      </c>
      <c r="N432">
        <f>-I432*K432/252</f>
        <v/>
      </c>
      <c r="O432" t="n">
        <v>0</v>
      </c>
      <c r="P432" t="n">
        <v>-305.417762784201</v>
      </c>
      <c r="Q432" t="n">
        <v>0.0432</v>
      </c>
      <c r="R432" t="n">
        <v>0</v>
      </c>
      <c r="S432" t="n">
        <v>-151.4725414360967</v>
      </c>
    </row>
    <row r="433">
      <c r="A433" s="1" t="n">
        <v>44952</v>
      </c>
      <c r="B433" t="inlineStr">
        <is>
          <t>FBL</t>
        </is>
      </c>
      <c r="C433" t="inlineStr">
        <is>
          <t>META</t>
        </is>
      </c>
      <c r="D433" t="n">
        <v>146.1530609130859</v>
      </c>
      <c r="E433" t="n">
        <v>4.637890815734863</v>
      </c>
      <c r="F433" t="n">
        <v>25557</v>
      </c>
      <c r="G433" t="n">
        <v>-416177</v>
      </c>
      <c r="H433">
        <f>D433*F433</f>
        <v/>
      </c>
      <c r="I433">
        <f>E433*G433</f>
        <v/>
      </c>
      <c r="J433">
        <f>H433-I433</f>
        <v/>
      </c>
      <c r="K433" t="n">
        <v>-0.01</v>
      </c>
      <c r="L433" t="n">
        <v>147076.7601013184</v>
      </c>
      <c r="M433" t="n">
        <v>-108796.3015642166</v>
      </c>
      <c r="N433">
        <f>-I433*K433/252</f>
        <v/>
      </c>
      <c r="O433" t="n">
        <v>0</v>
      </c>
      <c r="P433" t="n">
        <v>-1185.77148839012</v>
      </c>
      <c r="Q433" t="n">
        <v>0.0432</v>
      </c>
      <c r="R433" t="n">
        <v>0</v>
      </c>
      <c r="S433" t="n">
        <v>38203.86395432321</v>
      </c>
    </row>
    <row r="434">
      <c r="A434" s="1" t="n">
        <v>44952</v>
      </c>
      <c r="B434" t="inlineStr">
        <is>
          <t>MSFU</t>
        </is>
      </c>
      <c r="C434" t="inlineStr">
        <is>
          <t>MSFT</t>
        </is>
      </c>
      <c r="D434" t="n">
        <v>241.6574859619141</v>
      </c>
      <c r="E434" t="n">
        <v>19.63797760009766</v>
      </c>
      <c r="F434" t="n">
        <v>8999</v>
      </c>
      <c r="G434" t="n">
        <v>-56464</v>
      </c>
      <c r="H434">
        <f>D434*F434</f>
        <v/>
      </c>
      <c r="I434">
        <f>E434*G434</f>
        <v/>
      </c>
      <c r="J434">
        <f>H434-I434</f>
        <v/>
      </c>
      <c r="K434" t="n">
        <v>-0.005</v>
      </c>
      <c r="L434" t="n">
        <v>64801.97256469727</v>
      </c>
      <c r="M434" t="n">
        <v>-51162.53045654297</v>
      </c>
      <c r="N434">
        <f>-I434*K434/252</f>
        <v/>
      </c>
      <c r="O434" t="n">
        <v>0</v>
      </c>
      <c r="P434" t="n">
        <v>-336.3184508441743</v>
      </c>
      <c r="Q434" t="n">
        <v>0.0432</v>
      </c>
      <c r="R434" t="n">
        <v>0</v>
      </c>
      <c r="S434" t="n">
        <v>13617.44133896359</v>
      </c>
    </row>
    <row r="435">
      <c r="A435" s="1" t="n">
        <v>44952</v>
      </c>
      <c r="B435" t="inlineStr">
        <is>
          <t>NVDL</t>
        </is>
      </c>
      <c r="C435" t="inlineStr">
        <is>
          <t>NVDA</t>
        </is>
      </c>
      <c r="D435" t="n">
        <v>19.78112411499023</v>
      </c>
      <c r="E435" t="n">
        <v>4.367085456848145</v>
      </c>
      <c r="F435" t="n">
        <v>281812</v>
      </c>
      <c r="G435" t="n">
        <v>-687936</v>
      </c>
      <c r="H435">
        <f>D435*F435</f>
        <v/>
      </c>
      <c r="I435">
        <f>E435*G435</f>
        <v/>
      </c>
      <c r="J435">
        <f>H435-I435</f>
        <v/>
      </c>
      <c r="K435" t="n">
        <v>0</v>
      </c>
      <c r="L435" t="n">
        <v>134845.532661438</v>
      </c>
      <c r="M435" t="n">
        <v>-93689.96090698242</v>
      </c>
      <c r="N435">
        <f>-I435*K435/252</f>
        <v/>
      </c>
      <c r="O435" t="n">
        <v>0</v>
      </c>
      <c r="P435" t="n">
        <v>0</v>
      </c>
      <c r="Q435" t="n">
        <v>0.0432</v>
      </c>
      <c r="R435" t="n">
        <v>0</v>
      </c>
      <c r="S435" t="n">
        <v>41155.57175445557</v>
      </c>
    </row>
    <row r="436">
      <c r="A436" s="1" t="n">
        <v>44952</v>
      </c>
      <c r="B436" t="inlineStr">
        <is>
          <t>SOXL</t>
        </is>
      </c>
      <c r="C436" t="inlineStr">
        <is>
          <t>SOXX</t>
        </is>
      </c>
      <c r="D436" t="n">
        <v>133.4191741943359</v>
      </c>
      <c r="E436" t="n">
        <v>14.91257190704346</v>
      </c>
      <c r="F436" t="n">
        <v>8623</v>
      </c>
      <c r="G436" t="n">
        <v>-28873</v>
      </c>
      <c r="H436">
        <f>D436*F436</f>
        <v/>
      </c>
      <c r="I436">
        <f>E436*G436</f>
        <v/>
      </c>
      <c r="J436">
        <f>H436-I436</f>
        <v/>
      </c>
      <c r="K436" t="n">
        <v>-0.0175</v>
      </c>
      <c r="L436" t="n">
        <v>19066.36140441895</v>
      </c>
      <c r="M436" t="n">
        <v>-20059.4292974472</v>
      </c>
      <c r="N436">
        <f>-I436*K436/252</f>
        <v/>
      </c>
      <c r="O436" t="n">
        <v>0</v>
      </c>
      <c r="P436" t="n">
        <v>-455.4948699017366</v>
      </c>
      <c r="Q436" t="n">
        <v>0.0432</v>
      </c>
      <c r="R436" t="n">
        <v>0</v>
      </c>
      <c r="S436" t="n">
        <v>-1022.968635297146</v>
      </c>
    </row>
    <row r="437">
      <c r="A437" s="1" t="n">
        <v>44952</v>
      </c>
      <c r="B437" t="inlineStr">
        <is>
          <t>SOXS</t>
        </is>
      </c>
      <c r="C437" t="inlineStr">
        <is>
          <t>SOXX</t>
        </is>
      </c>
      <c r="D437" t="n">
        <v>-0</v>
      </c>
      <c r="E437" t="n">
        <v>-0</v>
      </c>
      <c r="F437" t="n">
        <v>-6748</v>
      </c>
      <c r="G437" t="n">
        <v>-57</v>
      </c>
      <c r="H437">
        <f>D437*F437</f>
        <v/>
      </c>
      <c r="I437">
        <f>E437*G437</f>
        <v/>
      </c>
      <c r="J437">
        <f>H437-I437</f>
        <v/>
      </c>
      <c r="K437" t="n">
        <v>0.07000000000000001</v>
      </c>
      <c r="L437" t="n">
        <v>-14920.53887939453</v>
      </c>
      <c r="M437" t="n">
        <v>11207.80590820312</v>
      </c>
      <c r="N437">
        <f>-I437*K437/252</f>
        <v/>
      </c>
      <c r="O437" t="n">
        <v>0</v>
      </c>
      <c r="P437" t="n">
        <v>0</v>
      </c>
      <c r="Q437" t="n">
        <v>0.0432</v>
      </c>
      <c r="R437" t="n">
        <v>0</v>
      </c>
      <c r="S437" t="n">
        <v>-3712.73297119141</v>
      </c>
    </row>
    <row r="438">
      <c r="A438" s="1" t="n">
        <v>44952</v>
      </c>
      <c r="B438" t="inlineStr">
        <is>
          <t>HIBL</t>
        </is>
      </c>
      <c r="C438" t="inlineStr">
        <is>
          <t>SPHB</t>
        </is>
      </c>
      <c r="D438" t="n">
        <v>70.10227203369141</v>
      </c>
      <c r="E438" t="n">
        <v>34.13797378540039</v>
      </c>
      <c r="F438" t="n">
        <v>6387</v>
      </c>
      <c r="G438" t="n">
        <v>-4747</v>
      </c>
      <c r="H438">
        <f>D438*F438</f>
        <v/>
      </c>
      <c r="I438">
        <f>E438*G438</f>
        <v/>
      </c>
      <c r="J438">
        <f>H438-I438</f>
        <v/>
      </c>
      <c r="K438" t="n">
        <v>0.12</v>
      </c>
      <c r="L438" t="n">
        <v>7035.777145385742</v>
      </c>
      <c r="M438" t="n">
        <v>-7417.748859405518</v>
      </c>
      <c r="N438">
        <f>-I438*K438/252</f>
        <v/>
      </c>
      <c r="O438" t="n">
        <v>0</v>
      </c>
      <c r="P438" t="n">
        <v>1195.097759127844</v>
      </c>
      <c r="Q438" t="n">
        <v>0.0432</v>
      </c>
      <c r="R438" t="n">
        <v>0</v>
      </c>
      <c r="S438" t="n">
        <v>-304.8036370867775</v>
      </c>
    </row>
    <row r="439">
      <c r="A439" s="1" t="n">
        <v>44952</v>
      </c>
      <c r="B439" t="inlineStr">
        <is>
          <t>TSLL</t>
        </is>
      </c>
      <c r="C439" t="inlineStr">
        <is>
          <t>TSLA</t>
        </is>
      </c>
      <c r="D439" t="n">
        <v>160.2700042724609</v>
      </c>
      <c r="E439" t="n">
        <v>7.835510730743408</v>
      </c>
      <c r="F439" t="n">
        <v>16126</v>
      </c>
      <c r="G439" t="n">
        <v>-180093</v>
      </c>
      <c r="H439">
        <f>D439*F439</f>
        <v/>
      </c>
      <c r="I439">
        <f>E439*G439</f>
        <v/>
      </c>
      <c r="J439">
        <f>H439-I439</f>
        <v/>
      </c>
      <c r="K439" t="n">
        <v>0.01</v>
      </c>
      <c r="L439" t="n">
        <v>255436.0270080566</v>
      </c>
      <c r="M439" t="n">
        <v>-198024.7376689911</v>
      </c>
      <c r="N439">
        <f>-I439*K439/252</f>
        <v/>
      </c>
      <c r="O439" t="n">
        <v>0</v>
      </c>
      <c r="P439" t="n">
        <v>739.5644849821878</v>
      </c>
      <c r="Q439" t="n">
        <v>0.0432</v>
      </c>
      <c r="R439" t="n">
        <v>0</v>
      </c>
      <c r="S439" t="n">
        <v>57467.28618962234</v>
      </c>
    </row>
    <row r="440">
      <c r="A440" s="1" t="n">
        <v>44952</v>
      </c>
      <c r="B440" t="inlineStr">
        <is>
          <t>TSLQ</t>
        </is>
      </c>
      <c r="C440" t="inlineStr">
        <is>
          <t>TSLA</t>
        </is>
      </c>
      <c r="D440" t="n">
        <v>-0</v>
      </c>
      <c r="E440" t="n">
        <v>-0</v>
      </c>
      <c r="F440" t="n">
        <v>-5992</v>
      </c>
      <c r="G440" t="n">
        <v>-371</v>
      </c>
      <c r="H440">
        <f>D440*F440</f>
        <v/>
      </c>
      <c r="I440">
        <f>E440*G440</f>
        <v/>
      </c>
      <c r="J440">
        <f>H440-I440</f>
        <v/>
      </c>
      <c r="K440" t="n">
        <v>-0.02</v>
      </c>
      <c r="L440" t="n">
        <v>-94913.34948730469</v>
      </c>
      <c r="M440" t="n">
        <v>36216.27093505859</v>
      </c>
      <c r="N440">
        <f>-I440*K440/252</f>
        <v/>
      </c>
      <c r="O440" t="n">
        <v>0</v>
      </c>
      <c r="P440" t="n">
        <v>0</v>
      </c>
      <c r="Q440" t="n">
        <v>0.0432</v>
      </c>
      <c r="R440" t="n">
        <v>0</v>
      </c>
      <c r="S440" t="n">
        <v>-58697.0785522461</v>
      </c>
    </row>
    <row r="441">
      <c r="A441" s="1" t="n">
        <v>44952</v>
      </c>
      <c r="B441" t="inlineStr">
        <is>
          <t>LABU</t>
        </is>
      </c>
      <c r="C441" t="inlineStr">
        <is>
          <t>XBI</t>
        </is>
      </c>
      <c r="D441" t="n">
        <v>88.1171875</v>
      </c>
      <c r="E441" t="n">
        <v>162.8345184326172</v>
      </c>
      <c r="F441" t="n">
        <v>3391</v>
      </c>
      <c r="G441" t="n">
        <v>-638</v>
      </c>
      <c r="H441">
        <f>D441*F441</f>
        <v/>
      </c>
      <c r="I441">
        <f>E441*G441</f>
        <v/>
      </c>
      <c r="J441">
        <f>H441-I441</f>
        <v/>
      </c>
      <c r="K441" t="n">
        <v>0.1</v>
      </c>
      <c r="L441" t="n">
        <v>-1045.58765411377</v>
      </c>
      <c r="M441" t="n">
        <v>877.1818542480469</v>
      </c>
      <c r="N441">
        <f>-I441*K441/252</f>
        <v/>
      </c>
      <c r="O441" t="n">
        <v>0</v>
      </c>
      <c r="P441" t="n">
        <v>661.6488910493398</v>
      </c>
      <c r="Q441" t="n">
        <v>0.0432</v>
      </c>
      <c r="R441" t="n">
        <v>0</v>
      </c>
      <c r="S441" t="n">
        <v>-127.1802352784176</v>
      </c>
    </row>
    <row r="442">
      <c r="A442" s="1" t="n">
        <v>44952</v>
      </c>
      <c r="B442" t="inlineStr">
        <is>
          <t>ERX</t>
        </is>
      </c>
      <c r="C442" t="inlineStr">
        <is>
          <t>XLE</t>
        </is>
      </c>
      <c r="D442" t="n">
        <v>41.78661346435547</v>
      </c>
      <c r="E442" t="n">
        <v>68.38307952880859</v>
      </c>
      <c r="F442" t="n">
        <v>1882</v>
      </c>
      <c r="G442" t="n">
        <v>-596</v>
      </c>
      <c r="H442">
        <f>D442*F442</f>
        <v/>
      </c>
      <c r="I442">
        <f>E442*G442</f>
        <v/>
      </c>
      <c r="J442">
        <f>H442-I442</f>
        <v/>
      </c>
      <c r="K442" t="n">
        <v>0.12</v>
      </c>
      <c r="L442" t="n">
        <v>2407.155708312988</v>
      </c>
      <c r="M442" t="n">
        <v>-2411.86474609375</v>
      </c>
      <c r="N442">
        <f>-I442*K442/252</f>
        <v/>
      </c>
      <c r="O442" t="n">
        <v>0</v>
      </c>
      <c r="P442" t="n">
        <v>305.384387588501</v>
      </c>
      <c r="Q442" t="n">
        <v>0.0432</v>
      </c>
      <c r="R442" t="n">
        <v>0</v>
      </c>
      <c r="S442" t="n">
        <v>14.69873145693779</v>
      </c>
    </row>
    <row r="443">
      <c r="A443" s="1" t="n">
        <v>44952</v>
      </c>
      <c r="B443" t="inlineStr">
        <is>
          <t>GUSH</t>
        </is>
      </c>
      <c r="C443" t="inlineStr">
        <is>
          <t>XOP</t>
        </is>
      </c>
      <c r="D443" t="n">
        <v>134.1885986328125</v>
      </c>
      <c r="E443" t="n">
        <v>37.95059204101562</v>
      </c>
      <c r="F443" t="n">
        <v>3048</v>
      </c>
      <c r="G443" t="n">
        <v>-5589</v>
      </c>
      <c r="H443">
        <f>D443*F443</f>
        <v/>
      </c>
      <c r="I443">
        <f>E443*G443</f>
        <v/>
      </c>
      <c r="J443">
        <f>H443-I443</f>
        <v/>
      </c>
      <c r="K443" t="n">
        <v>-0.01</v>
      </c>
      <c r="L443" t="n">
        <v>9588.903076171875</v>
      </c>
      <c r="M443" t="n">
        <v>-9969.371074676514</v>
      </c>
      <c r="N443">
        <f>-I443*K443/252</f>
        <v/>
      </c>
      <c r="O443" t="n">
        <v>0</v>
      </c>
      <c r="P443" t="n">
        <v>-132.618294649881</v>
      </c>
      <c r="Q443" t="n">
        <v>0.0432</v>
      </c>
      <c r="R443" t="n">
        <v>0</v>
      </c>
      <c r="S443" t="n">
        <v>-388.884897668021</v>
      </c>
    </row>
    <row r="444">
      <c r="A444" s="1" t="n">
        <v>44953</v>
      </c>
      <c r="B444" t="inlineStr">
        <is>
          <t>AAPB</t>
        </is>
      </c>
      <c r="C444" t="inlineStr">
        <is>
          <t>AAPL</t>
        </is>
      </c>
      <c r="D444" t="n">
        <v>143.6267700195312</v>
      </c>
      <c r="E444" t="n">
        <v>15.10168933868408</v>
      </c>
      <c r="F444" t="n">
        <v>9057</v>
      </c>
      <c r="G444" t="n">
        <v>-45734</v>
      </c>
      <c r="H444">
        <f>D444*F444</f>
        <v/>
      </c>
      <c r="I444">
        <f>E444*G444</f>
        <v/>
      </c>
      <c r="J444">
        <f>H444-I444</f>
        <v/>
      </c>
      <c r="K444" t="n">
        <v>-0.005</v>
      </c>
      <c r="L444" t="n">
        <v>17560.65179443359</v>
      </c>
      <c r="M444" t="n">
        <v>-15847.9395275116</v>
      </c>
      <c r="N444">
        <f>-I444*K444/252</f>
        <v/>
      </c>
      <c r="O444" t="n">
        <v>1</v>
      </c>
      <c r="P444" t="n">
        <v>-220.9792983152753</v>
      </c>
      <c r="Q444" t="n">
        <v>0.0432</v>
      </c>
      <c r="R444" t="n">
        <v>0</v>
      </c>
      <c r="S444" t="n">
        <v>1699.008682393907</v>
      </c>
    </row>
    <row r="445">
      <c r="A445" s="1" t="n">
        <v>44953</v>
      </c>
      <c r="B445" t="inlineStr">
        <is>
          <t>AAPU</t>
        </is>
      </c>
      <c r="C445" t="inlineStr">
        <is>
          <t>AAPL</t>
        </is>
      </c>
      <c r="D445" t="n">
        <v>143.6267700195312</v>
      </c>
      <c r="E445" t="n">
        <v>15.20292282104492</v>
      </c>
      <c r="F445" t="n">
        <v>7658</v>
      </c>
      <c r="G445" t="n">
        <v>-37829</v>
      </c>
      <c r="H445">
        <f>D445*F445</f>
        <v/>
      </c>
      <c r="I445">
        <f>E445*G445</f>
        <v/>
      </c>
      <c r="J445">
        <f>H445-I445</f>
        <v/>
      </c>
      <c r="K445" t="n">
        <v>0.02</v>
      </c>
      <c r="L445" t="n">
        <v>14848.12536621094</v>
      </c>
      <c r="M445" t="n">
        <v>-11397.01371002197</v>
      </c>
      <c r="N445">
        <f>-I445*K445/252</f>
        <v/>
      </c>
      <c r="O445" t="n">
        <v>1</v>
      </c>
      <c r="P445" t="n">
        <v>743.6719406472313</v>
      </c>
      <c r="Q445" t="n">
        <v>0.0432</v>
      </c>
      <c r="R445" t="n">
        <v>0</v>
      </c>
      <c r="S445" t="n">
        <v>3496.755415506215</v>
      </c>
    </row>
    <row r="446">
      <c r="A446" s="1" t="n">
        <v>44953</v>
      </c>
      <c r="B446" t="inlineStr">
        <is>
          <t>AMZU</t>
        </is>
      </c>
      <c r="C446" t="inlineStr">
        <is>
          <t>AMZN</t>
        </is>
      </c>
      <c r="D446" t="n">
        <v>102.2399978637695</v>
      </c>
      <c r="E446" t="n">
        <v>14.84496021270752</v>
      </c>
      <c r="F446" t="n">
        <v>26092</v>
      </c>
      <c r="G446" t="n">
        <v>-91789</v>
      </c>
      <c r="H446">
        <f>D446*F446</f>
        <v/>
      </c>
      <c r="I446">
        <f>E446*G446</f>
        <v/>
      </c>
      <c r="J446">
        <f>H446-I446</f>
        <v/>
      </c>
      <c r="K446" t="n">
        <v>-0.0025</v>
      </c>
      <c r="L446" t="n">
        <v>78797.75241088867</v>
      </c>
      <c r="M446" t="n">
        <v>-58760.31045532227</v>
      </c>
      <c r="N446">
        <f>-I446*K446/252</f>
        <v/>
      </c>
      <c r="O446" t="n">
        <v>1</v>
      </c>
      <c r="P446" t="n">
        <v>-226.2283403065564</v>
      </c>
      <c r="Q446" t="n">
        <v>0.0432</v>
      </c>
      <c r="R446" t="n">
        <v>0</v>
      </c>
      <c r="S446" t="n">
        <v>20023.92405821557</v>
      </c>
    </row>
    <row r="447">
      <c r="A447" s="1" t="n">
        <v>44953</v>
      </c>
      <c r="B447" t="inlineStr">
        <is>
          <t>TARK</t>
        </is>
      </c>
      <c r="C447" t="inlineStr">
        <is>
          <t>ARKK</t>
        </is>
      </c>
      <c r="D447" t="n">
        <v>40.05593872070312</v>
      </c>
      <c r="E447" t="n">
        <v>26.76102638244629</v>
      </c>
      <c r="F447" t="n">
        <v>18788</v>
      </c>
      <c r="G447" t="n">
        <v>-15784</v>
      </c>
      <c r="H447">
        <f>D447*F447</f>
        <v/>
      </c>
      <c r="I447">
        <f>E447*G447</f>
        <v/>
      </c>
      <c r="J447">
        <f>H447-I447</f>
        <v/>
      </c>
      <c r="K447" t="n">
        <v>-0.02</v>
      </c>
      <c r="L447" t="n">
        <v>39501.07049560547</v>
      </c>
      <c r="M447" t="n">
        <v>-41590.72319030762</v>
      </c>
      <c r="N447">
        <f>-I447*K447/252</f>
        <v/>
      </c>
      <c r="O447" t="n">
        <v>1</v>
      </c>
      <c r="P447" t="n">
        <v>-521.2456929599671</v>
      </c>
      <c r="Q447" t="n">
        <v>0.0432</v>
      </c>
      <c r="R447" t="n">
        <v>0</v>
      </c>
      <c r="S447" t="n">
        <v>-2123.176189973619</v>
      </c>
    </row>
    <row r="448">
      <c r="A448" s="1" t="n">
        <v>44953</v>
      </c>
      <c r="B448" t="inlineStr">
        <is>
          <t>CHAU</t>
        </is>
      </c>
      <c r="C448" t="inlineStr">
        <is>
          <t>ASHR</t>
        </is>
      </c>
      <c r="D448" t="n">
        <v>30.16585350036621</v>
      </c>
      <c r="E448" t="n">
        <v>24.1561107635498</v>
      </c>
      <c r="F448" t="n">
        <v>5665</v>
      </c>
      <c r="G448" t="n">
        <v>-3740</v>
      </c>
      <c r="H448">
        <f>D448*F448</f>
        <v/>
      </c>
      <c r="I448">
        <f>E448*G448</f>
        <v/>
      </c>
      <c r="J448">
        <f>H448-I448</f>
        <v/>
      </c>
      <c r="K448" t="n">
        <v>-0.01</v>
      </c>
      <c r="L448" t="n">
        <v>-427.1051788330078</v>
      </c>
      <c r="M448" t="n">
        <v>308.4732437133789</v>
      </c>
      <c r="N448">
        <f>-I448*K448/252</f>
        <v/>
      </c>
      <c r="O448" t="n">
        <v>1</v>
      </c>
      <c r="P448" t="n">
        <v>-60.7682920879031</v>
      </c>
      <c r="Q448" t="n">
        <v>0.0432</v>
      </c>
      <c r="R448" t="n">
        <v>0</v>
      </c>
      <c r="S448" t="n">
        <v>-122.2170087012034</v>
      </c>
    </row>
    <row r="449">
      <c r="A449" s="1" t="n">
        <v>44953</v>
      </c>
      <c r="B449" t="inlineStr">
        <is>
          <t>BABX</t>
        </is>
      </c>
      <c r="C449" t="inlineStr">
        <is>
          <t>BABA</t>
        </is>
      </c>
      <c r="D449" t="n">
        <v>112.4248886108398</v>
      </c>
      <c r="E449" t="n">
        <v>39.53099822998047</v>
      </c>
      <c r="F449" t="n">
        <v>4529</v>
      </c>
      <c r="G449" t="n">
        <v>-6431</v>
      </c>
      <c r="H449">
        <f>D449*F449</f>
        <v/>
      </c>
      <c r="I449">
        <f>E449*G449</f>
        <v/>
      </c>
      <c r="J449">
        <f>H449-I449</f>
        <v/>
      </c>
      <c r="K449" t="n">
        <v>-0.0275</v>
      </c>
      <c r="L449" t="n">
        <v>-9419.602668762207</v>
      </c>
      <c r="M449" t="n">
        <v>9061.281551361084</v>
      </c>
      <c r="N449">
        <f>-I449*K449/252</f>
        <v/>
      </c>
      <c r="O449" t="n">
        <v>1</v>
      </c>
      <c r="P449" t="n">
        <v>-534.3568725995791</v>
      </c>
      <c r="Q449" t="n">
        <v>0.0432</v>
      </c>
      <c r="R449" t="n">
        <v>0</v>
      </c>
      <c r="S449" t="n">
        <v>-386.0637994029787</v>
      </c>
    </row>
    <row r="450">
      <c r="A450" s="1" t="n">
        <v>44953</v>
      </c>
      <c r="B450" t="inlineStr">
        <is>
          <t>CONL</t>
        </is>
      </c>
      <c r="C450" t="inlineStr">
        <is>
          <t>COIN</t>
        </is>
      </c>
      <c r="D450" t="n">
        <v>61.36999893188478</v>
      </c>
      <c r="E450" t="n">
        <v>9.895481109619141</v>
      </c>
      <c r="F450" t="n">
        <v>71778</v>
      </c>
      <c r="G450" t="n">
        <v>-233356</v>
      </c>
      <c r="H450">
        <f>D450*F450</f>
        <v/>
      </c>
      <c r="I450">
        <f>E450*G450</f>
        <v/>
      </c>
      <c r="J450">
        <f>H450-I450</f>
        <v/>
      </c>
      <c r="K450" t="n">
        <v>0.03</v>
      </c>
      <c r="L450" t="n">
        <v>599346.1904754639</v>
      </c>
      <c r="M450" t="n">
        <v>-437624.8418807983</v>
      </c>
      <c r="N450">
        <f>-I450*K450/252</f>
        <v/>
      </c>
      <c r="O450" t="n">
        <v>1</v>
      </c>
      <c r="P450" t="n">
        <v>4409.383013399725</v>
      </c>
      <c r="Q450" t="n">
        <v>0.0432</v>
      </c>
      <c r="R450" t="n">
        <v>0</v>
      </c>
      <c r="S450" t="n">
        <v>161996.2497720247</v>
      </c>
    </row>
    <row r="451">
      <c r="A451" s="1" t="n">
        <v>44953</v>
      </c>
      <c r="B451" t="inlineStr">
        <is>
          <t>MEXX</t>
        </is>
      </c>
      <c r="C451" t="inlineStr">
        <is>
          <t>EWW</t>
        </is>
      </c>
      <c r="D451" t="n">
        <v>52.58994293212891</v>
      </c>
      <c r="E451" t="n">
        <v>24.2978458404541</v>
      </c>
      <c r="F451" t="n">
        <v>8705</v>
      </c>
      <c r="G451" t="n">
        <v>-6605</v>
      </c>
      <c r="H451">
        <f>D451*F451</f>
        <v/>
      </c>
      <c r="I451">
        <f>E451*G451</f>
        <v/>
      </c>
      <c r="J451">
        <f>H451-I451</f>
        <v/>
      </c>
      <c r="K451" t="n">
        <v>0.0075</v>
      </c>
      <c r="L451" t="n">
        <v>-3233.359718322754</v>
      </c>
      <c r="M451" t="n">
        <v>3375.115089416504</v>
      </c>
      <c r="N451">
        <f>-I451*K451/252</f>
        <v/>
      </c>
      <c r="O451" t="n">
        <v>1</v>
      </c>
      <c r="P451" t="n">
        <v>84.30135977222807</v>
      </c>
      <c r="Q451" t="n">
        <v>0.0432</v>
      </c>
      <c r="R451" t="n">
        <v>0</v>
      </c>
      <c r="S451" t="n">
        <v>146.5317779918512</v>
      </c>
    </row>
    <row r="452">
      <c r="A452" s="1" t="n">
        <v>44953</v>
      </c>
      <c r="B452" t="inlineStr">
        <is>
          <t>KORU</t>
        </is>
      </c>
      <c r="C452" t="inlineStr">
        <is>
          <t>EWY</t>
        </is>
      </c>
      <c r="D452" t="n">
        <v>60.88996124267578</v>
      </c>
      <c r="E452" t="n">
        <v>106.6048583984375</v>
      </c>
      <c r="F452" t="n">
        <v>12312</v>
      </c>
      <c r="G452" t="n">
        <v>-2618</v>
      </c>
      <c r="H452">
        <f>D452*F452</f>
        <v/>
      </c>
      <c r="I452">
        <f>E452*G452</f>
        <v/>
      </c>
      <c r="J452">
        <f>H452-I452</f>
        <v/>
      </c>
      <c r="K452" t="n">
        <v>0.0225</v>
      </c>
      <c r="L452" t="n">
        <v>3667.665069580078</v>
      </c>
      <c r="M452" t="n">
        <v>-5136.610595703125</v>
      </c>
      <c r="N452">
        <f>-I452*K452/252</f>
        <v/>
      </c>
      <c r="O452" t="n">
        <v>1</v>
      </c>
      <c r="P452" t="n">
        <v>412.9018273094722</v>
      </c>
      <c r="Q452" t="n">
        <v>0.0432</v>
      </c>
      <c r="R452" t="n">
        <v>0</v>
      </c>
      <c r="S452" t="n">
        <v>-1444.026640472412</v>
      </c>
    </row>
    <row r="453">
      <c r="A453" s="1" t="n">
        <v>44953</v>
      </c>
      <c r="B453" t="inlineStr">
        <is>
          <t>YINN</t>
        </is>
      </c>
      <c r="C453" t="inlineStr">
        <is>
          <t>FXI</t>
        </is>
      </c>
      <c r="D453" t="n">
        <v>30.86703681945801</v>
      </c>
      <c r="E453" t="n">
        <v>67.92293548583984</v>
      </c>
      <c r="F453" t="n">
        <v>34614</v>
      </c>
      <c r="G453" t="n">
        <v>-5631</v>
      </c>
      <c r="H453">
        <f>D453*F453</f>
        <v/>
      </c>
      <c r="I453">
        <f>E453*G453</f>
        <v/>
      </c>
      <c r="J453">
        <f>H453-I453</f>
        <v/>
      </c>
      <c r="K453" t="n">
        <v>-0.02</v>
      </c>
      <c r="L453" t="n">
        <v>-1929.066593170166</v>
      </c>
      <c r="M453" t="n">
        <v>1842.559501647949</v>
      </c>
      <c r="N453">
        <f>-I453*K453/252</f>
        <v/>
      </c>
      <c r="O453" t="n">
        <v>1</v>
      </c>
      <c r="P453" t="n">
        <v>-512.1915433662657</v>
      </c>
      <c r="Q453" t="n">
        <v>0.0432</v>
      </c>
      <c r="R453" t="n">
        <v>0</v>
      </c>
      <c r="S453" t="n">
        <v>-116.8621748333888</v>
      </c>
    </row>
    <row r="454">
      <c r="A454" s="1" t="n">
        <v>44953</v>
      </c>
      <c r="B454" t="inlineStr">
        <is>
          <t>JNUG</t>
        </is>
      </c>
      <c r="C454" t="inlineStr">
        <is>
          <t>GDXJ</t>
        </is>
      </c>
      <c r="D454" t="n">
        <v>37.35695266723633</v>
      </c>
      <c r="E454" t="n">
        <v>41.04988861083984</v>
      </c>
      <c r="F454" t="n">
        <v>13681</v>
      </c>
      <c r="G454" t="n">
        <v>-6148</v>
      </c>
      <c r="H454">
        <f>D454*F454</f>
        <v/>
      </c>
      <c r="I454">
        <f>E454*G454</f>
        <v/>
      </c>
      <c r="J454">
        <f>H454-I454</f>
        <v/>
      </c>
      <c r="K454" t="n">
        <v>-0.005</v>
      </c>
      <c r="L454" t="n">
        <v>-10224.165599823</v>
      </c>
      <c r="M454" t="n">
        <v>10187.15138244629</v>
      </c>
      <c r="N454">
        <f>-I454*K454/252</f>
        <v/>
      </c>
      <c r="O454" t="n">
        <v>1</v>
      </c>
      <c r="P454" t="n">
        <v>-93.13727413283455</v>
      </c>
      <c r="Q454" t="n">
        <v>0.0432</v>
      </c>
      <c r="R454" t="n">
        <v>0</v>
      </c>
      <c r="S454" t="n">
        <v>-42.02165220169794</v>
      </c>
    </row>
    <row r="455">
      <c r="A455" s="1" t="n">
        <v>44953</v>
      </c>
      <c r="B455" t="inlineStr">
        <is>
          <t>GDXU</t>
        </is>
      </c>
      <c r="C455" t="inlineStr">
        <is>
          <t>GDX</t>
        </is>
      </c>
      <c r="D455" t="n">
        <v>31.192626953125</v>
      </c>
      <c r="E455" t="n">
        <v>57.52000045776367</v>
      </c>
      <c r="F455" t="n">
        <v>52231</v>
      </c>
      <c r="G455" t="n">
        <v>-8884</v>
      </c>
      <c r="H455">
        <f>D455*F455</f>
        <v/>
      </c>
      <c r="I455">
        <f>E455*G455</f>
        <v/>
      </c>
      <c r="J455">
        <f>H455-I455</f>
        <v/>
      </c>
      <c r="K455" t="n">
        <v>-0.005</v>
      </c>
      <c r="L455" t="n">
        <v>-22690.86915588379</v>
      </c>
      <c r="M455" t="n">
        <v>25941.26373291016</v>
      </c>
      <c r="N455">
        <f>-I455*K455/252</f>
        <v/>
      </c>
      <c r="O455" t="n">
        <v>1</v>
      </c>
      <c r="P455" t="n">
        <v>-190.957796719869</v>
      </c>
      <c r="Q455" t="n">
        <v>0.0432</v>
      </c>
      <c r="R455" t="n">
        <v>0</v>
      </c>
      <c r="S455" t="n">
        <v>3240.25553567584</v>
      </c>
    </row>
    <row r="456">
      <c r="A456" s="1" t="n">
        <v>44953</v>
      </c>
      <c r="B456" t="inlineStr">
        <is>
          <t>NUGT</t>
        </is>
      </c>
      <c r="C456" t="inlineStr">
        <is>
          <t>GDX</t>
        </is>
      </c>
      <c r="D456" t="n">
        <v>31.192626953125</v>
      </c>
      <c r="E456" t="n">
        <v>41.56610107421875</v>
      </c>
      <c r="F456" t="n">
        <v>15534</v>
      </c>
      <c r="G456" t="n">
        <v>-5817</v>
      </c>
      <c r="H456">
        <f>D456*F456</f>
        <v/>
      </c>
      <c r="I456">
        <f>E456*G456</f>
        <v/>
      </c>
      <c r="J456">
        <f>H456-I456</f>
        <v/>
      </c>
      <c r="K456" t="n">
        <v>-0.0175</v>
      </c>
      <c r="L456" t="n">
        <v>-6748.481964111328</v>
      </c>
      <c r="M456" t="n">
        <v>6759.857093811035</v>
      </c>
      <c r="N456">
        <f>-I456*K456/252</f>
        <v/>
      </c>
      <c r="O456" t="n">
        <v>1</v>
      </c>
      <c r="P456" t="n">
        <v>-306.0400248289109</v>
      </c>
      <c r="Q456" t="n">
        <v>0.0432</v>
      </c>
      <c r="R456" t="n">
        <v>0</v>
      </c>
      <c r="S456" t="n">
        <v>-5.415843213399253</v>
      </c>
    </row>
    <row r="457">
      <c r="A457" s="1" t="n">
        <v>44953</v>
      </c>
      <c r="B457" t="inlineStr">
        <is>
          <t>GGLL</t>
        </is>
      </c>
      <c r="C457" t="inlineStr">
        <is>
          <t>GOOGL</t>
        </is>
      </c>
      <c r="D457" t="n">
        <v>98.55543518066406</v>
      </c>
      <c r="E457" t="n">
        <v>18.97075271606445</v>
      </c>
      <c r="F457" t="n">
        <v>21017</v>
      </c>
      <c r="G457" t="n">
        <v>-56586</v>
      </c>
      <c r="H457">
        <f>D457*F457</f>
        <v/>
      </c>
      <c r="I457">
        <f>E457*G457</f>
        <v/>
      </c>
      <c r="J457">
        <f>H457-I457</f>
        <v/>
      </c>
      <c r="K457" t="n">
        <v>0</v>
      </c>
      <c r="L457" t="n">
        <v>38562.64812469482</v>
      </c>
      <c r="M457" t="n">
        <v>-30300.80746078491</v>
      </c>
      <c r="N457">
        <f>-I457*K457/252</f>
        <v/>
      </c>
      <c r="O457" t="n">
        <v>1</v>
      </c>
      <c r="P457" t="n">
        <v>0</v>
      </c>
      <c r="Q457" t="n">
        <v>0.0432</v>
      </c>
      <c r="R457" t="n">
        <v>0</v>
      </c>
      <c r="S457" t="n">
        <v>8261.840663909908</v>
      </c>
    </row>
    <row r="458">
      <c r="A458" s="1" t="n">
        <v>44953</v>
      </c>
      <c r="B458" t="inlineStr">
        <is>
          <t>CWEB</t>
        </is>
      </c>
      <c r="C458" t="inlineStr">
        <is>
          <t>KWEB</t>
        </is>
      </c>
      <c r="D458" t="n">
        <v>32.09920883178711</v>
      </c>
      <c r="E458" t="n">
        <v>63.31569671630859</v>
      </c>
      <c r="F458" t="n">
        <v>14190</v>
      </c>
      <c r="G458" t="n">
        <v>-3658</v>
      </c>
      <c r="H458">
        <f>D458*F458</f>
        <v/>
      </c>
      <c r="I458">
        <f>E458*G458</f>
        <v/>
      </c>
      <c r="J458">
        <f>H458-I458</f>
        <v/>
      </c>
      <c r="K458" t="n">
        <v>-0.02</v>
      </c>
      <c r="L458" t="n">
        <v>-4068.019409179688</v>
      </c>
      <c r="M458" t="n">
        <v>4347.642623901367</v>
      </c>
      <c r="N458">
        <f>-I458*K458/252</f>
        <v/>
      </c>
      <c r="O458" t="n">
        <v>1</v>
      </c>
      <c r="P458" t="n">
        <v>-323.7994150531103</v>
      </c>
      <c r="Q458" t="n">
        <v>0.0432</v>
      </c>
      <c r="R458" t="n">
        <v>0</v>
      </c>
      <c r="S458" t="n">
        <v>261.24156245277</v>
      </c>
    </row>
    <row r="459">
      <c r="A459" s="1" t="n">
        <v>44953</v>
      </c>
      <c r="B459" t="inlineStr">
        <is>
          <t>FBL</t>
        </is>
      </c>
      <c r="C459" t="inlineStr">
        <is>
          <t>META</t>
        </is>
      </c>
      <c r="D459" t="n">
        <v>150.5585021972656</v>
      </c>
      <c r="E459" t="n">
        <v>4.847777843475342</v>
      </c>
      <c r="F459" t="n">
        <v>25557</v>
      </c>
      <c r="G459" t="n">
        <v>-416177</v>
      </c>
      <c r="H459">
        <f>D459*F459</f>
        <v/>
      </c>
      <c r="I459">
        <f>E459*G459</f>
        <v/>
      </c>
      <c r="J459">
        <f>H459-I459</f>
        <v/>
      </c>
      <c r="K459" t="n">
        <v>-0.01</v>
      </c>
      <c r="L459" t="n">
        <v>112589.8628997803</v>
      </c>
      <c r="M459" t="n">
        <v>-87350.15354394913</v>
      </c>
      <c r="N459">
        <f>-I459*K459/252</f>
        <v/>
      </c>
      <c r="O459" t="n">
        <v>1</v>
      </c>
      <c r="P459" t="n">
        <v>-1265.832347102979</v>
      </c>
      <c r="Q459" t="n">
        <v>0.0432</v>
      </c>
      <c r="R459" t="n">
        <v>0</v>
      </c>
      <c r="S459" t="n">
        <v>25159.64849711832</v>
      </c>
    </row>
    <row r="460">
      <c r="A460" s="1" t="n">
        <v>44953</v>
      </c>
      <c r="B460" t="inlineStr">
        <is>
          <t>MSFU</t>
        </is>
      </c>
      <c r="C460" t="inlineStr">
        <is>
          <t>MSFT</t>
        </is>
      </c>
      <c r="D460" t="n">
        <v>241.8133697509766</v>
      </c>
      <c r="E460" t="n">
        <v>19.63712882995605</v>
      </c>
      <c r="F460" t="n">
        <v>8999</v>
      </c>
      <c r="G460" t="n">
        <v>-56464</v>
      </c>
      <c r="H460">
        <f>D460*F460</f>
        <v/>
      </c>
      <c r="I460">
        <f>E460*G460</f>
        <v/>
      </c>
      <c r="J460">
        <f>H460-I460</f>
        <v/>
      </c>
      <c r="K460" t="n">
        <v>-0.005</v>
      </c>
      <c r="L460" t="n">
        <v>1402.798217773438</v>
      </c>
      <c r="M460" t="n">
        <v>47.92495727539062</v>
      </c>
      <c r="N460">
        <f>-I460*K460/252</f>
        <v/>
      </c>
      <c r="O460" t="n">
        <v>1</v>
      </c>
      <c r="P460" t="n">
        <v>-358.3182691428775</v>
      </c>
      <c r="Q460" t="n">
        <v>0.0432</v>
      </c>
      <c r="R460" t="n">
        <v>0</v>
      </c>
      <c r="S460" t="n">
        <v>1428.723356750126</v>
      </c>
    </row>
    <row r="461">
      <c r="A461" s="1" t="n">
        <v>44953</v>
      </c>
      <c r="B461" t="inlineStr">
        <is>
          <t>NVDL</t>
        </is>
      </c>
      <c r="C461" t="inlineStr">
        <is>
          <t>NVDA</t>
        </is>
      </c>
      <c r="D461" t="n">
        <v>20.34353065490723</v>
      </c>
      <c r="E461" t="n">
        <v>4.571970462799072</v>
      </c>
      <c r="F461" t="n">
        <v>281812</v>
      </c>
      <c r="G461" t="n">
        <v>-687936</v>
      </c>
      <c r="H461">
        <f>D461*F461</f>
        <v/>
      </c>
      <c r="I461">
        <f>E461*G461</f>
        <v/>
      </c>
      <c r="J461">
        <f>H461-I461</f>
        <v/>
      </c>
      <c r="K461" t="n">
        <v>0</v>
      </c>
      <c r="L461" t="n">
        <v>158492.9118270874</v>
      </c>
      <c r="M461" t="n">
        <v>-140947.7714538574</v>
      </c>
      <c r="N461">
        <f>-I461*K461/252</f>
        <v/>
      </c>
      <c r="O461" t="n">
        <v>1</v>
      </c>
      <c r="P461" t="n">
        <v>0</v>
      </c>
      <c r="Q461" t="n">
        <v>0.0432</v>
      </c>
      <c r="R461" t="n">
        <v>0</v>
      </c>
      <c r="S461" t="n">
        <v>17545.14037323001</v>
      </c>
    </row>
    <row r="462">
      <c r="A462" s="1" t="n">
        <v>44953</v>
      </c>
      <c r="B462" t="inlineStr">
        <is>
          <t>SOXL</t>
        </is>
      </c>
      <c r="C462" t="inlineStr">
        <is>
          <t>SOXX</t>
        </is>
      </c>
      <c r="D462" t="n">
        <v>132.5692749023438</v>
      </c>
      <c r="E462" t="n">
        <v>14.65815830230713</v>
      </c>
      <c r="F462" t="n">
        <v>8623</v>
      </c>
      <c r="G462" t="n">
        <v>-28873</v>
      </c>
      <c r="H462">
        <f>D462*F462</f>
        <v/>
      </c>
      <c r="I462">
        <f>E462*G462</f>
        <v/>
      </c>
      <c r="J462">
        <f>H462-I462</f>
        <v/>
      </c>
      <c r="K462" t="n">
        <v>-0.0175</v>
      </c>
      <c r="L462" t="n">
        <v>-7328.681594848633</v>
      </c>
      <c r="M462" t="n">
        <v>7345.684009552002</v>
      </c>
      <c r="N462">
        <f>-I462*K462/252</f>
        <v/>
      </c>
      <c r="O462" t="n">
        <v>1</v>
      </c>
      <c r="P462" t="n">
        <v>-484.8854952255223</v>
      </c>
      <c r="Q462" t="n">
        <v>0.0432</v>
      </c>
      <c r="R462" t="n">
        <v>0</v>
      </c>
      <c r="S462" t="n">
        <v>-12.38821062041654</v>
      </c>
    </row>
    <row r="463">
      <c r="A463" s="1" t="n">
        <v>44953</v>
      </c>
      <c r="B463" t="inlineStr">
        <is>
          <t>SOXS</t>
        </is>
      </c>
      <c r="C463" t="inlineStr">
        <is>
          <t>SOXX</t>
        </is>
      </c>
      <c r="D463" t="n">
        <v>-0</v>
      </c>
      <c r="E463" t="n">
        <v>-0</v>
      </c>
      <c r="F463" t="n">
        <v>-6748</v>
      </c>
      <c r="G463" t="n">
        <v>-57</v>
      </c>
      <c r="H463">
        <f>D463*F463</f>
        <v/>
      </c>
      <c r="I463">
        <f>E463*G463</f>
        <v/>
      </c>
      <c r="J463">
        <f>H463-I463</f>
        <v/>
      </c>
      <c r="K463" t="n">
        <v>0.07000000000000001</v>
      </c>
      <c r="L463" t="n">
        <v>5735.120422363281</v>
      </c>
      <c r="M463" t="n">
        <v>-4463.297607421875</v>
      </c>
      <c r="N463">
        <f>-I463*K463/252</f>
        <v/>
      </c>
      <c r="O463" t="n">
        <v>1</v>
      </c>
      <c r="P463" t="n">
        <v>0</v>
      </c>
      <c r="Q463" t="n">
        <v>0.0432</v>
      </c>
      <c r="R463" t="n">
        <v>0</v>
      </c>
      <c r="S463" t="n">
        <v>1271.822814941406</v>
      </c>
    </row>
    <row r="464">
      <c r="A464" s="1" t="n">
        <v>44953</v>
      </c>
      <c r="B464" t="inlineStr">
        <is>
          <t>HIBL</t>
        </is>
      </c>
      <c r="C464" t="inlineStr">
        <is>
          <t>SPHB</t>
        </is>
      </c>
      <c r="D464" t="n">
        <v>70.49222564697266</v>
      </c>
      <c r="E464" t="n">
        <v>34.62688827514648</v>
      </c>
      <c r="F464" t="n">
        <v>6387</v>
      </c>
      <c r="G464" t="n">
        <v>-4747</v>
      </c>
      <c r="H464">
        <f>D464*F464</f>
        <v/>
      </c>
      <c r="I464">
        <f>E464*G464</f>
        <v/>
      </c>
      <c r="J464">
        <f>H464-I464</f>
        <v/>
      </c>
      <c r="K464" t="n">
        <v>0.12</v>
      </c>
      <c r="L464" t="n">
        <v>2490.633728027344</v>
      </c>
      <c r="M464" t="n">
        <v>-2320.877082824707</v>
      </c>
      <c r="N464">
        <f>-I464*K464/252</f>
        <v/>
      </c>
      <c r="O464" t="n">
        <v>1</v>
      </c>
      <c r="P464" t="n">
        <v>1273.371015624092</v>
      </c>
      <c r="Q464" t="n">
        <v>0.0432</v>
      </c>
      <c r="R464" t="n">
        <v>0</v>
      </c>
      <c r="S464" t="n">
        <v>248.0299016988849</v>
      </c>
    </row>
    <row r="465">
      <c r="A465" s="1" t="n">
        <v>44953</v>
      </c>
      <c r="B465" t="inlineStr">
        <is>
          <t>TSLL</t>
        </is>
      </c>
      <c r="C465" t="inlineStr">
        <is>
          <t>TSLA</t>
        </is>
      </c>
      <c r="D465" t="n">
        <v>177.8999938964844</v>
      </c>
      <c r="E465" t="n">
        <v>9.134212493896484</v>
      </c>
      <c r="F465" t="n">
        <v>16126</v>
      </c>
      <c r="G465" t="n">
        <v>-180093</v>
      </c>
      <c r="H465">
        <f>D465*F465</f>
        <v/>
      </c>
      <c r="I465">
        <f>E465*G465</f>
        <v/>
      </c>
      <c r="J465">
        <f>H465-I465</f>
        <v/>
      </c>
      <c r="K465" t="n">
        <v>0.01</v>
      </c>
      <c r="L465" t="n">
        <v>284301.212677002</v>
      </c>
      <c r="M465" t="n">
        <v>-233887.0966315269</v>
      </c>
      <c r="N465">
        <f>-I465*K465/252</f>
        <v/>
      </c>
      <c r="O465" t="n">
        <v>1</v>
      </c>
      <c r="P465" t="n">
        <v>804.8425695323187</v>
      </c>
      <c r="Q465" t="n">
        <v>0.0432</v>
      </c>
      <c r="R465" t="n">
        <v>0</v>
      </c>
      <c r="S465" t="n">
        <v>50479.39413002526</v>
      </c>
    </row>
    <row r="466">
      <c r="A466" s="1" t="n">
        <v>44953</v>
      </c>
      <c r="B466" t="inlineStr">
        <is>
          <t>TSLQ</t>
        </is>
      </c>
      <c r="C466" t="inlineStr">
        <is>
          <t>TSLA</t>
        </is>
      </c>
      <c r="D466" t="n">
        <v>-0</v>
      </c>
      <c r="E466" t="n">
        <v>-0</v>
      </c>
      <c r="F466" t="n">
        <v>-5992</v>
      </c>
      <c r="G466" t="n">
        <v>-371</v>
      </c>
      <c r="H466">
        <f>D466*F466</f>
        <v/>
      </c>
      <c r="I466">
        <f>E466*G466</f>
        <v/>
      </c>
      <c r="J466">
        <f>H466-I466</f>
        <v/>
      </c>
      <c r="K466" t="n">
        <v>-0.02</v>
      </c>
      <c r="L466" t="n">
        <v>-105638.8978271484</v>
      </c>
      <c r="M466" t="n">
        <v>32025.99078369141</v>
      </c>
      <c r="N466">
        <f>-I466*K466/252</f>
        <v/>
      </c>
      <c r="O466" t="n">
        <v>1</v>
      </c>
      <c r="P466" t="n">
        <v>0</v>
      </c>
      <c r="Q466" t="n">
        <v>0.0432</v>
      </c>
      <c r="R466" t="n">
        <v>0</v>
      </c>
      <c r="S466" t="n">
        <v>-73612.90704345699</v>
      </c>
    </row>
    <row r="467">
      <c r="A467" s="1" t="n">
        <v>44953</v>
      </c>
      <c r="B467" t="inlineStr">
        <is>
          <t>LABU</t>
        </is>
      </c>
      <c r="C467" t="inlineStr">
        <is>
          <t>XBI</t>
        </is>
      </c>
      <c r="D467" t="n">
        <v>88.91291809082031</v>
      </c>
      <c r="E467" t="n">
        <v>167.15576171875</v>
      </c>
      <c r="F467" t="n">
        <v>3391</v>
      </c>
      <c r="G467" t="n">
        <v>-638</v>
      </c>
      <c r="H467">
        <f>D467*F467</f>
        <v/>
      </c>
      <c r="I467">
        <f>E467*G467</f>
        <v/>
      </c>
      <c r="J467">
        <f>H467-I467</f>
        <v/>
      </c>
      <c r="K467" t="n">
        <v>0.1</v>
      </c>
      <c r="L467" t="n">
        <v>2698.32243347168</v>
      </c>
      <c r="M467" t="n">
        <v>-2756.953216552734</v>
      </c>
      <c r="N467">
        <f>-I467*K467/252</f>
        <v/>
      </c>
      <c r="O467" t="n">
        <v>1</v>
      </c>
      <c r="P467" t="n">
        <v>703.9684846908328</v>
      </c>
      <c r="Q467" t="n">
        <v>0.0432</v>
      </c>
      <c r="R467" t="n">
        <v>0</v>
      </c>
      <c r="S467" t="n">
        <v>-16.31118943956072</v>
      </c>
    </row>
    <row r="468">
      <c r="A468" s="1" t="n">
        <v>44953</v>
      </c>
      <c r="B468" t="inlineStr">
        <is>
          <t>ERX</t>
        </is>
      </c>
      <c r="C468" t="inlineStr">
        <is>
          <t>XLE</t>
        </is>
      </c>
      <c r="D468" t="n">
        <v>40.94289398193359</v>
      </c>
      <c r="E468" t="n">
        <v>65.69134521484375</v>
      </c>
      <c r="F468" t="n">
        <v>1882</v>
      </c>
      <c r="G468" t="n">
        <v>-596</v>
      </c>
      <c r="H468">
        <f>D468*F468</f>
        <v/>
      </c>
      <c r="I468">
        <f>E468*G468</f>
        <v/>
      </c>
      <c r="J468">
        <f>H468-I468</f>
        <v/>
      </c>
      <c r="K468" t="n">
        <v>0.12</v>
      </c>
      <c r="L468" t="n">
        <v>-1587.880065917969</v>
      </c>
      <c r="M468" t="n">
        <v>1604.273651123047</v>
      </c>
      <c r="N468">
        <f>-I468*K468/252</f>
        <v/>
      </c>
      <c r="O468" t="n">
        <v>1</v>
      </c>
      <c r="P468" t="n">
        <v>324.0282169923328</v>
      </c>
      <c r="Q468" t="n">
        <v>0.0432</v>
      </c>
      <c r="R468" t="n">
        <v>0</v>
      </c>
      <c r="S468" t="n">
        <v>35.03741460890997</v>
      </c>
    </row>
    <row r="469">
      <c r="A469" s="1" t="n">
        <v>44953</v>
      </c>
      <c r="B469" t="inlineStr">
        <is>
          <t>GUSH</t>
        </is>
      </c>
      <c r="C469" t="inlineStr">
        <is>
          <t>XOP</t>
        </is>
      </c>
      <c r="D469" t="n">
        <v>132.3619079589844</v>
      </c>
      <c r="E469" t="n">
        <v>36.82195281982422</v>
      </c>
      <c r="F469" t="n">
        <v>3048</v>
      </c>
      <c r="G469" t="n">
        <v>-5589</v>
      </c>
      <c r="H469">
        <f>D469*F469</f>
        <v/>
      </c>
      <c r="I469">
        <f>E469*G469</f>
        <v/>
      </c>
      <c r="J469">
        <f>H469-I469</f>
        <v/>
      </c>
      <c r="K469" t="n">
        <v>-0.01</v>
      </c>
      <c r="L469" t="n">
        <v>-5567.753173828125</v>
      </c>
      <c r="M469" t="n">
        <v>6307.96460723877</v>
      </c>
      <c r="N469">
        <f>-I469*K469/252</f>
        <v/>
      </c>
      <c r="O469" t="n">
        <v>1</v>
      </c>
      <c r="P469" t="n">
        <v>-140.7848777574206</v>
      </c>
      <c r="Q469" t="n">
        <v>0.0432</v>
      </c>
      <c r="R469" t="n">
        <v>0</v>
      </c>
      <c r="S469" t="n">
        <v>732.0448503031058</v>
      </c>
    </row>
    <row r="470">
      <c r="A470" s="1" t="n">
        <v>44956</v>
      </c>
      <c r="B470" t="inlineStr">
        <is>
          <t>AAPB</t>
        </is>
      </c>
      <c r="C470" t="inlineStr">
        <is>
          <t>AAPL</t>
        </is>
      </c>
      <c r="D470" t="n">
        <v>140.7430419921875</v>
      </c>
      <c r="E470" t="n">
        <v>14.59603786468506</v>
      </c>
      <c r="F470" t="n">
        <v>8874</v>
      </c>
      <c r="G470" t="n">
        <v>-42412</v>
      </c>
      <c r="H470">
        <f>D470*F470</f>
        <v/>
      </c>
      <c r="I470">
        <f>E470*G470</f>
        <v/>
      </c>
      <c r="J470">
        <f>H470-I470</f>
        <v/>
      </c>
      <c r="K470" t="n">
        <v>-0.005</v>
      </c>
      <c r="L470" t="n">
        <v>-25590.20251464844</v>
      </c>
      <c r="M470" t="n">
        <v>21445.69031524658</v>
      </c>
      <c r="N470">
        <f>-I470*K470/252</f>
        <v/>
      </c>
      <c r="O470" t="n">
        <v>0</v>
      </c>
      <c r="P470" t="n">
        <v>-233.2619800199781</v>
      </c>
      <c r="Q470" t="n">
        <v>0.0432</v>
      </c>
      <c r="R470" t="n">
        <v>0</v>
      </c>
      <c r="S470" t="n">
        <v>-4156.794881106565</v>
      </c>
    </row>
    <row r="471">
      <c r="A471" s="1" t="n">
        <v>44956</v>
      </c>
      <c r="B471" t="inlineStr">
        <is>
          <t>AAPU</t>
        </is>
      </c>
      <c r="C471" t="inlineStr">
        <is>
          <t>AAPL</t>
        </is>
      </c>
      <c r="D471" t="n">
        <v>140.7430419921875</v>
      </c>
      <c r="E471" t="n">
        <v>14.7548713684082</v>
      </c>
      <c r="F471" t="n">
        <v>7503</v>
      </c>
      <c r="G471" t="n">
        <v>-35693</v>
      </c>
      <c r="H471">
        <f>D471*F471</f>
        <v/>
      </c>
      <c r="I471">
        <f>E471*G471</f>
        <v/>
      </c>
      <c r="J471">
        <f>H471-I471</f>
        <v/>
      </c>
      <c r="K471" t="n">
        <v>0.02</v>
      </c>
      <c r="L471" t="n">
        <v>-21636.61138916016</v>
      </c>
      <c r="M471" t="n">
        <v>15992.3004989624</v>
      </c>
      <c r="N471">
        <f>-I471*K471/252</f>
        <v/>
      </c>
      <c r="O471" t="n">
        <v>0</v>
      </c>
      <c r="P471" t="n">
        <v>785.4692123736276</v>
      </c>
      <c r="Q471" t="n">
        <v>0.0432</v>
      </c>
      <c r="R471" t="n">
        <v>0</v>
      </c>
      <c r="S471" t="n">
        <v>-5602.513618471363</v>
      </c>
    </row>
    <row r="472">
      <c r="A472" s="1" t="n">
        <v>44956</v>
      </c>
      <c r="B472" t="inlineStr">
        <is>
          <t>AMZU</t>
        </is>
      </c>
      <c r="C472" t="inlineStr">
        <is>
          <t>AMZN</t>
        </is>
      </c>
      <c r="D472" t="n">
        <v>100.5500030517578</v>
      </c>
      <c r="E472" t="n">
        <v>14.49027252197266</v>
      </c>
      <c r="F472" t="n">
        <v>26570</v>
      </c>
      <c r="G472" t="n">
        <v>-92003</v>
      </c>
      <c r="H472">
        <f>D472*F472</f>
        <v/>
      </c>
      <c r="I472">
        <f>E472*G472</f>
        <v/>
      </c>
      <c r="J472">
        <f>H472-I472</f>
        <v/>
      </c>
      <c r="K472" t="n">
        <v>-0.0025</v>
      </c>
      <c r="L472" t="n">
        <v>-44903.16215515137</v>
      </c>
      <c r="M472" t="n">
        <v>32632.33161067963</v>
      </c>
      <c r="N472">
        <f>-I472*K472/252</f>
        <v/>
      </c>
      <c r="O472" t="n">
        <v>0</v>
      </c>
      <c r="P472" t="n">
        <v>-239.4540202950391</v>
      </c>
      <c r="Q472" t="n">
        <v>0.0432</v>
      </c>
      <c r="R472" t="n">
        <v>0</v>
      </c>
      <c r="S472" t="n">
        <v>-12284.05622446022</v>
      </c>
    </row>
    <row r="473">
      <c r="A473" s="1" t="n">
        <v>44956</v>
      </c>
      <c r="B473" t="inlineStr">
        <is>
          <t>TARK</t>
        </is>
      </c>
      <c r="C473" t="inlineStr">
        <is>
          <t>ARKK</t>
        </is>
      </c>
      <c r="D473" t="n">
        <v>38.19148635864258</v>
      </c>
      <c r="E473" t="n">
        <v>24.18867874145508</v>
      </c>
      <c r="F473" t="n">
        <v>17763</v>
      </c>
      <c r="G473" t="n">
        <v>-13435</v>
      </c>
      <c r="H473">
        <f>D473*F473</f>
        <v/>
      </c>
      <c r="I473">
        <f>E473*G473</f>
        <v/>
      </c>
      <c r="J473">
        <f>H473-I473</f>
        <v/>
      </c>
      <c r="K473" t="n">
        <v>-0.02</v>
      </c>
      <c r="L473" t="n">
        <v>-33118.26730728149</v>
      </c>
      <c r="M473" t="n">
        <v>34559.49055671692</v>
      </c>
      <c r="N473">
        <f>-I473*K473/252</f>
        <v/>
      </c>
      <c r="O473" t="n">
        <v>0</v>
      </c>
      <c r="P473" t="n">
        <v>-547.0373516021456</v>
      </c>
      <c r="Q473" t="n">
        <v>0.0432</v>
      </c>
      <c r="R473" t="n">
        <v>0</v>
      </c>
      <c r="S473" t="n">
        <v>1415.431590793254</v>
      </c>
    </row>
    <row r="474">
      <c r="A474" s="1" t="n">
        <v>44956</v>
      </c>
      <c r="B474" t="inlineStr">
        <is>
          <t>CHAU</t>
        </is>
      </c>
      <c r="C474" t="inlineStr">
        <is>
          <t>ASHR</t>
        </is>
      </c>
      <c r="D474" t="n">
        <v>29.5721492767334</v>
      </c>
      <c r="E474" t="n">
        <v>23.20764541625977</v>
      </c>
      <c r="F474" t="n">
        <v>5793</v>
      </c>
      <c r="G474" t="n">
        <v>-3678</v>
      </c>
      <c r="H474">
        <f>D474*F474</f>
        <v/>
      </c>
      <c r="I474">
        <f>E474*G474</f>
        <v/>
      </c>
      <c r="J474">
        <f>H474-I474</f>
        <v/>
      </c>
      <c r="K474" t="n">
        <v>-0.01</v>
      </c>
      <c r="L474" t="n">
        <v>-3439.328567504883</v>
      </c>
      <c r="M474" t="n">
        <v>3488.455547332764</v>
      </c>
      <c r="N474">
        <f>-I474*K474/252</f>
        <v/>
      </c>
      <c r="O474" t="n">
        <v>0</v>
      </c>
      <c r="P474" t="n">
        <v>-64.15550319270483</v>
      </c>
      <c r="Q474" t="n">
        <v>0.0432</v>
      </c>
      <c r="R474" t="n">
        <v>0</v>
      </c>
      <c r="S474" t="n">
        <v>45.73976872307959</v>
      </c>
    </row>
    <row r="475">
      <c r="A475" s="1" t="n">
        <v>44956</v>
      </c>
      <c r="B475" t="inlineStr">
        <is>
          <t>BABX</t>
        </is>
      </c>
      <c r="C475" t="inlineStr">
        <is>
          <t>BABA</t>
        </is>
      </c>
      <c r="D475" t="n">
        <v>105.6060791015625</v>
      </c>
      <c r="E475" t="n">
        <v>35.3650016784668</v>
      </c>
      <c r="F475" t="n">
        <v>4750</v>
      </c>
      <c r="G475" t="n">
        <v>-6734</v>
      </c>
      <c r="H475">
        <f>D475*F475</f>
        <v/>
      </c>
      <c r="I475">
        <f>E475*G475</f>
        <v/>
      </c>
      <c r="J475">
        <f>H475-I475</f>
        <v/>
      </c>
      <c r="K475" t="n">
        <v>-0.0275</v>
      </c>
      <c r="L475" t="n">
        <v>-32389.34516906738</v>
      </c>
      <c r="M475" t="n">
        <v>28053.82077789307</v>
      </c>
      <c r="N475">
        <f>-I475*K475/252</f>
        <v/>
      </c>
      <c r="O475" t="n">
        <v>0</v>
      </c>
      <c r="P475" t="n">
        <v>-560.3452370274634</v>
      </c>
      <c r="Q475" t="n">
        <v>0.0432</v>
      </c>
      <c r="R475" t="n">
        <v>0</v>
      </c>
      <c r="S475" t="n">
        <v>-4361.512755602193</v>
      </c>
    </row>
    <row r="476">
      <c r="A476" s="1" t="n">
        <v>44956</v>
      </c>
      <c r="B476" t="inlineStr">
        <is>
          <t>CONL</t>
        </is>
      </c>
      <c r="C476" t="inlineStr">
        <is>
          <t>COIN</t>
        </is>
      </c>
      <c r="D476" t="n">
        <v>56.15999984741211</v>
      </c>
      <c r="E476" t="n">
        <v>8.658546447753906</v>
      </c>
      <c r="F476" t="n">
        <v>62026</v>
      </c>
      <c r="G476" t="n">
        <v>-193596</v>
      </c>
      <c r="H476">
        <f>D476*F476</f>
        <v/>
      </c>
      <c r="I476">
        <f>E476*G476</f>
        <v/>
      </c>
      <c r="J476">
        <f>H476-I476</f>
        <v/>
      </c>
      <c r="K476" t="n">
        <v>0.03</v>
      </c>
      <c r="L476" t="n">
        <v>-323155.403213501</v>
      </c>
      <c r="M476" t="n">
        <v>239465.6027984619</v>
      </c>
      <c r="N476">
        <f>-I476*K476/252</f>
        <v/>
      </c>
      <c r="O476" t="n">
        <v>0</v>
      </c>
      <c r="P476" t="n">
        <v>4608.937770316317</v>
      </c>
      <c r="Q476" t="n">
        <v>0.0432</v>
      </c>
      <c r="R476" t="n">
        <v>0</v>
      </c>
      <c r="S476" t="n">
        <v>-83490.24565812247</v>
      </c>
    </row>
    <row r="477">
      <c r="A477" s="1" t="n">
        <v>44956</v>
      </c>
      <c r="B477" t="inlineStr">
        <is>
          <t>MEXX</t>
        </is>
      </c>
      <c r="C477" t="inlineStr">
        <is>
          <t>EWW</t>
        </is>
      </c>
      <c r="D477" t="n">
        <v>52.20038604736328</v>
      </c>
      <c r="E477" t="n">
        <v>23.87742233276367</v>
      </c>
      <c r="F477" t="n">
        <v>9018</v>
      </c>
      <c r="G477" t="n">
        <v>-6603</v>
      </c>
      <c r="H477">
        <f>D477*F477</f>
        <v/>
      </c>
      <c r="I477">
        <f>E477*G477</f>
        <v/>
      </c>
      <c r="J477">
        <f>H477-I477</f>
        <v/>
      </c>
      <c r="K477" t="n">
        <v>0.0075</v>
      </c>
      <c r="L477" t="n">
        <v>-3513.023986816406</v>
      </c>
      <c r="M477" t="n">
        <v>2776.056421279907</v>
      </c>
      <c r="N477">
        <f>-I477*K477/252</f>
        <v/>
      </c>
      <c r="O477" t="n">
        <v>0</v>
      </c>
      <c r="P477" t="n">
        <v>88.99369964315778</v>
      </c>
      <c r="Q477" t="n">
        <v>0.0432</v>
      </c>
      <c r="R477" t="n">
        <v>0</v>
      </c>
      <c r="S477" t="n">
        <v>-732.2752256655689</v>
      </c>
    </row>
    <row r="478">
      <c r="A478" s="1" t="n">
        <v>44956</v>
      </c>
      <c r="B478" t="inlineStr">
        <is>
          <t>KORU</t>
        </is>
      </c>
      <c r="C478" t="inlineStr">
        <is>
          <t>EWY</t>
        </is>
      </c>
      <c r="D478" t="n">
        <v>59.54947280883789</v>
      </c>
      <c r="E478" t="n">
        <v>99.31724548339844</v>
      </c>
      <c r="F478" t="n">
        <v>12466</v>
      </c>
      <c r="G478" t="n">
        <v>-2427</v>
      </c>
      <c r="H478">
        <f>D478*F478</f>
        <v/>
      </c>
      <c r="I478">
        <f>E478*G478</f>
        <v/>
      </c>
      <c r="J478">
        <f>H478-I478</f>
        <v/>
      </c>
      <c r="K478" t="n">
        <v>0.0225</v>
      </c>
      <c r="L478" t="n">
        <v>-16710.52881622314</v>
      </c>
      <c r="M478" t="n">
        <v>17687.0365447998</v>
      </c>
      <c r="N478">
        <f>-I478*K478/252</f>
        <v/>
      </c>
      <c r="O478" t="n">
        <v>0</v>
      </c>
      <c r="P478" t="n">
        <v>434.4235197012765</v>
      </c>
      <c r="Q478" t="n">
        <v>0.0432</v>
      </c>
      <c r="R478" t="n">
        <v>0</v>
      </c>
      <c r="S478" t="n">
        <v>998.0294209684645</v>
      </c>
    </row>
    <row r="479">
      <c r="A479" s="1" t="n">
        <v>44956</v>
      </c>
      <c r="B479" t="inlineStr">
        <is>
          <t>YINN</t>
        </is>
      </c>
      <c r="C479" t="inlineStr">
        <is>
          <t>FXI</t>
        </is>
      </c>
      <c r="D479" t="n">
        <v>29.72450065612793</v>
      </c>
      <c r="E479" t="n">
        <v>60.39670944213867</v>
      </c>
      <c r="F479" t="n">
        <v>35468</v>
      </c>
      <c r="G479" t="n">
        <v>-5418</v>
      </c>
      <c r="H479">
        <f>D479*F479</f>
        <v/>
      </c>
      <c r="I479">
        <f>E479*G479</f>
        <v/>
      </c>
      <c r="J479">
        <f>H479-I479</f>
        <v/>
      </c>
      <c r="K479" t="n">
        <v>-0.02</v>
      </c>
      <c r="L479" t="n">
        <v>-40523.47264099121</v>
      </c>
      <c r="M479" t="n">
        <v>40777.09270477295</v>
      </c>
      <c r="N479">
        <f>-I479*K479/252</f>
        <v/>
      </c>
      <c r="O479" t="n">
        <v>0</v>
      </c>
      <c r="P479" t="n">
        <v>-538.1621284263854</v>
      </c>
      <c r="Q479" t="n">
        <v>0.0432</v>
      </c>
      <c r="R479" t="n">
        <v>0</v>
      </c>
      <c r="S479" t="n">
        <v>227.6494787216187</v>
      </c>
    </row>
    <row r="480">
      <c r="A480" s="1" t="n">
        <v>44956</v>
      </c>
      <c r="B480" t="inlineStr">
        <is>
          <t>JNUG</t>
        </is>
      </c>
      <c r="C480" t="inlineStr">
        <is>
          <t>GDXJ</t>
        </is>
      </c>
      <c r="D480" t="n">
        <v>36.68529891967773</v>
      </c>
      <c r="E480" t="n">
        <v>39.58951950073242</v>
      </c>
      <c r="F480" t="n">
        <v>14851</v>
      </c>
      <c r="G480" t="n">
        <v>-6847</v>
      </c>
      <c r="H480">
        <f>D480*F480</f>
        <v/>
      </c>
      <c r="I480">
        <f>E480*G480</f>
        <v/>
      </c>
      <c r="J480">
        <f>H480-I480</f>
        <v/>
      </c>
      <c r="K480" t="n">
        <v>-0.005</v>
      </c>
      <c r="L480" t="n">
        <v>-9974.729804992676</v>
      </c>
      <c r="M480" t="n">
        <v>9999.147296905518</v>
      </c>
      <c r="N480">
        <f>-I480*K480/252</f>
        <v/>
      </c>
      <c r="O480" t="n">
        <v>0</v>
      </c>
      <c r="P480" t="n">
        <v>-98.51563603802333</v>
      </c>
      <c r="Q480" t="n">
        <v>0.0432</v>
      </c>
      <c r="R480" t="n">
        <v>0</v>
      </c>
      <c r="S480" t="n">
        <v>19.03913000765301</v>
      </c>
    </row>
    <row r="481">
      <c r="A481" s="1" t="n">
        <v>44956</v>
      </c>
      <c r="B481" t="inlineStr">
        <is>
          <t>GDXU</t>
        </is>
      </c>
      <c r="C481" t="inlineStr">
        <is>
          <t>GDX</t>
        </is>
      </c>
      <c r="D481" t="n">
        <v>30.72922515869141</v>
      </c>
      <c r="E481" t="n">
        <v>54.65000152587892</v>
      </c>
      <c r="F481" t="n">
        <v>56004</v>
      </c>
      <c r="G481" t="n">
        <v>-9980</v>
      </c>
      <c r="H481">
        <f>D481*F481</f>
        <v/>
      </c>
      <c r="I481">
        <f>E481*G481</f>
        <v/>
      </c>
      <c r="J481">
        <f>H481-I481</f>
        <v/>
      </c>
      <c r="K481" t="n">
        <v>-0.005</v>
      </c>
      <c r="L481" t="n">
        <v>-25952.35409545898</v>
      </c>
      <c r="M481" t="n">
        <v>28642.58934020996</v>
      </c>
      <c r="N481">
        <f>-I481*K481/252</f>
        <v/>
      </c>
      <c r="O481" t="n">
        <v>0</v>
      </c>
      <c r="P481" t="n">
        <v>-201.7793644823347</v>
      </c>
      <c r="Q481" t="n">
        <v>0.0432</v>
      </c>
      <c r="R481" t="n">
        <v>0</v>
      </c>
      <c r="S481" t="n">
        <v>2679.413676988514</v>
      </c>
    </row>
    <row r="482">
      <c r="A482" s="1" t="n">
        <v>44956</v>
      </c>
      <c r="B482" t="inlineStr">
        <is>
          <t>NUGT</t>
        </is>
      </c>
      <c r="C482" t="inlineStr">
        <is>
          <t>GDX</t>
        </is>
      </c>
      <c r="D482" t="n">
        <v>30.72922515869141</v>
      </c>
      <c r="E482" t="n">
        <v>40.25995635986328</v>
      </c>
      <c r="F482" t="n">
        <v>16656</v>
      </c>
      <c r="G482" t="n">
        <v>-6322</v>
      </c>
      <c r="H482">
        <f>D482*F482</f>
        <v/>
      </c>
      <c r="I482">
        <f>E482*G482</f>
        <v/>
      </c>
      <c r="J482">
        <f>H482-I482</f>
        <v/>
      </c>
      <c r="K482" t="n">
        <v>-0.0175</v>
      </c>
      <c r="L482" t="n">
        <v>-7718.420288085938</v>
      </c>
      <c r="M482" t="n">
        <v>8257.446884155273</v>
      </c>
      <c r="N482">
        <f>-I482*K482/252</f>
        <v/>
      </c>
      <c r="O482" t="n">
        <v>0</v>
      </c>
      <c r="P482" t="n">
        <v>-323.715264003012</v>
      </c>
      <c r="Q482" t="n">
        <v>0.0432</v>
      </c>
      <c r="R482" t="n">
        <v>0</v>
      </c>
      <c r="S482" t="n">
        <v>521.3513568952339</v>
      </c>
    </row>
    <row r="483">
      <c r="A483" s="1" t="n">
        <v>44956</v>
      </c>
      <c r="B483" t="inlineStr">
        <is>
          <t>GGLL</t>
        </is>
      </c>
      <c r="C483" t="inlineStr">
        <is>
          <t>GOOGL</t>
        </is>
      </c>
      <c r="D483" t="n">
        <v>96.14536285400391</v>
      </c>
      <c r="E483" t="n">
        <v>18.30964279174805</v>
      </c>
      <c r="F483" t="n">
        <v>20673</v>
      </c>
      <c r="G483" t="n">
        <v>-53835</v>
      </c>
      <c r="H483">
        <f>D483*F483</f>
        <v/>
      </c>
      <c r="I483">
        <f>E483*G483</f>
        <v/>
      </c>
      <c r="J483">
        <f>H483-I483</f>
        <v/>
      </c>
      <c r="K483" t="n">
        <v>0</v>
      </c>
      <c r="L483" t="n">
        <v>-49823.42520904541</v>
      </c>
      <c r="M483" t="n">
        <v>35590.85277557373</v>
      </c>
      <c r="N483">
        <f>-I483*K483/252</f>
        <v/>
      </c>
      <c r="O483" t="n">
        <v>0</v>
      </c>
      <c r="P483" t="n">
        <v>0</v>
      </c>
      <c r="Q483" t="n">
        <v>0.0432</v>
      </c>
      <c r="R483" t="n">
        <v>0</v>
      </c>
      <c r="S483" t="n">
        <v>-14232.57243347168</v>
      </c>
    </row>
    <row r="484">
      <c r="A484" s="1" t="n">
        <v>44956</v>
      </c>
      <c r="B484" t="inlineStr">
        <is>
          <t>CWEB</t>
        </is>
      </c>
      <c r="C484" t="inlineStr">
        <is>
          <t>KWEB</t>
        </is>
      </c>
      <c r="D484" t="n">
        <v>30.55830192565918</v>
      </c>
      <c r="E484" t="n">
        <v>57.18400573730469</v>
      </c>
      <c r="F484" t="n">
        <v>14867</v>
      </c>
      <c r="G484" t="n">
        <v>-3791</v>
      </c>
      <c r="H484">
        <f>D484*F484</f>
        <v/>
      </c>
      <c r="I484">
        <f>E484*G484</f>
        <v/>
      </c>
      <c r="J484">
        <f>H484-I484</f>
        <v/>
      </c>
      <c r="K484" t="n">
        <v>-0.02</v>
      </c>
      <c r="L484" t="n">
        <v>-22908.66297340393</v>
      </c>
      <c r="M484" t="n">
        <v>23245.24050140381</v>
      </c>
      <c r="N484">
        <f>-I484*K484/252</f>
        <v/>
      </c>
      <c r="O484" t="n">
        <v>0</v>
      </c>
      <c r="P484" t="n">
        <v>-341.004539318993</v>
      </c>
      <c r="Q484" t="n">
        <v>0.0432</v>
      </c>
      <c r="R484" t="n">
        <v>0</v>
      </c>
      <c r="S484" t="n">
        <v>319.3724037339952</v>
      </c>
    </row>
    <row r="485">
      <c r="A485" s="1" t="n">
        <v>44956</v>
      </c>
      <c r="B485" t="inlineStr">
        <is>
          <t>FBL</t>
        </is>
      </c>
      <c r="C485" t="inlineStr">
        <is>
          <t>META</t>
        </is>
      </c>
      <c r="D485" t="n">
        <v>145.9149322509766</v>
      </c>
      <c r="E485" t="n">
        <v>4.622833728790283</v>
      </c>
      <c r="F485" t="n">
        <v>24480</v>
      </c>
      <c r="G485" t="n">
        <v>-380714</v>
      </c>
      <c r="H485">
        <f>D485*F485</f>
        <v/>
      </c>
      <c r="I485">
        <f>E485*G485</f>
        <v/>
      </c>
      <c r="J485">
        <f>H485-I485</f>
        <v/>
      </c>
      <c r="K485" t="n">
        <v>-0.01</v>
      </c>
      <c r="L485" t="n">
        <v>-113674.5922851562</v>
      </c>
      <c r="M485" t="n">
        <v>85639.3736782074</v>
      </c>
      <c r="N485">
        <f>-I485*K485/252</f>
        <v/>
      </c>
      <c r="O485" t="n">
        <v>0</v>
      </c>
      <c r="P485" t="n">
        <v>-1335.672724889592</v>
      </c>
      <c r="Q485" t="n">
        <v>0.0432</v>
      </c>
      <c r="R485" t="n">
        <v>0</v>
      </c>
      <c r="S485" t="n">
        <v>-28105.05898473542</v>
      </c>
    </row>
    <row r="486">
      <c r="A486" s="1" t="n">
        <v>44956</v>
      </c>
      <c r="B486" t="inlineStr">
        <is>
          <t>MSFU</t>
        </is>
      </c>
      <c r="C486" t="inlineStr">
        <is>
          <t>MSFT</t>
        </is>
      </c>
      <c r="D486" t="n">
        <v>236.5027618408203</v>
      </c>
      <c r="E486" t="n">
        <v>19.01132011413574</v>
      </c>
      <c r="F486" t="n">
        <v>9205</v>
      </c>
      <c r="G486" t="n">
        <v>-56905</v>
      </c>
      <c r="H486">
        <f>D486*F486</f>
        <v/>
      </c>
      <c r="I486">
        <f>E486*G486</f>
        <v/>
      </c>
      <c r="J486">
        <f>H486-I486</f>
        <v/>
      </c>
      <c r="K486" t="n">
        <v>-0.005</v>
      </c>
      <c r="L486" t="n">
        <v>-48884.14581298828</v>
      </c>
      <c r="M486" t="n">
        <v>35611.64497375488</v>
      </c>
      <c r="N486">
        <f>-I486*K486/252</f>
        <v/>
      </c>
      <c r="O486" t="n">
        <v>0</v>
      </c>
      <c r="P486" t="n">
        <v>-379.783332061427</v>
      </c>
      <c r="Q486" t="n">
        <v>0.0432</v>
      </c>
      <c r="R486" t="n">
        <v>0</v>
      </c>
      <c r="S486" t="n">
        <v>-13293.96590215195</v>
      </c>
    </row>
    <row r="487">
      <c r="A487" s="1" t="n">
        <v>44956</v>
      </c>
      <c r="B487" t="inlineStr">
        <is>
          <t>NVDL</t>
        </is>
      </c>
      <c r="C487" t="inlineStr">
        <is>
          <t>NVDA</t>
        </is>
      </c>
      <c r="D487" t="n">
        <v>19.14180183410645</v>
      </c>
      <c r="E487" t="n">
        <v>4.194976806640625</v>
      </c>
      <c r="F487" t="n">
        <v>248132</v>
      </c>
      <c r="G487" t="n">
        <v>-555379</v>
      </c>
      <c r="H487">
        <f>D487*F487</f>
        <v/>
      </c>
      <c r="I487">
        <f>E487*G487</f>
        <v/>
      </c>
      <c r="J487">
        <f>H487-I487</f>
        <v/>
      </c>
      <c r="K487" t="n">
        <v>0</v>
      </c>
      <c r="L487" t="n">
        <v>-298187.3757629395</v>
      </c>
      <c r="M487" t="n">
        <v>209374.3597636223</v>
      </c>
      <c r="N487">
        <f>-I487*K487/252</f>
        <v/>
      </c>
      <c r="O487" t="n">
        <v>0</v>
      </c>
      <c r="P487" t="n">
        <v>0</v>
      </c>
      <c r="Q487" t="n">
        <v>0.0432</v>
      </c>
      <c r="R487" t="n">
        <v>0</v>
      </c>
      <c r="S487" t="n">
        <v>-88813.0159993172</v>
      </c>
    </row>
    <row r="488">
      <c r="A488" s="1" t="n">
        <v>44956</v>
      </c>
      <c r="B488" t="inlineStr">
        <is>
          <t>SOXL</t>
        </is>
      </c>
      <c r="C488" t="inlineStr">
        <is>
          <t>SOXX</t>
        </is>
      </c>
      <c r="D488" t="n">
        <v>129.0490417480469</v>
      </c>
      <c r="E488" t="n">
        <v>13.50351047515869</v>
      </c>
      <c r="F488" t="n">
        <v>8680</v>
      </c>
      <c r="G488" t="n">
        <v>-26485</v>
      </c>
      <c r="H488">
        <f>D488*F488</f>
        <v/>
      </c>
      <c r="I488">
        <f>E488*G488</f>
        <v/>
      </c>
      <c r="J488">
        <f>H488-I488</f>
        <v/>
      </c>
      <c r="K488" t="n">
        <v>-0.0175</v>
      </c>
      <c r="L488" t="n">
        <v>-30555.62377929688</v>
      </c>
      <c r="M488" t="n">
        <v>30580.84770202637</v>
      </c>
      <c r="N488">
        <f>-I488*K488/252</f>
        <v/>
      </c>
      <c r="O488" t="n">
        <v>0</v>
      </c>
      <c r="P488" t="n">
        <v>-509.7216393182013</v>
      </c>
      <c r="Q488" t="n">
        <v>0.0432</v>
      </c>
      <c r="R488" t="n">
        <v>0</v>
      </c>
      <c r="S488" t="n">
        <v>0.3877786368131666</v>
      </c>
    </row>
    <row r="489">
      <c r="A489" s="1" t="n">
        <v>44956</v>
      </c>
      <c r="B489" t="inlineStr">
        <is>
          <t>SOXS</t>
        </is>
      </c>
      <c r="C489" t="inlineStr">
        <is>
          <t>SOXX</t>
        </is>
      </c>
      <c r="D489" t="n">
        <v>-0</v>
      </c>
      <c r="E489" t="n">
        <v>-0</v>
      </c>
      <c r="F489" t="n">
        <v>-6792</v>
      </c>
      <c r="G489" t="n">
        <v>-73</v>
      </c>
      <c r="H489">
        <f>D489*F489</f>
        <v/>
      </c>
      <c r="I489">
        <f>E489*G489</f>
        <v/>
      </c>
      <c r="J489">
        <f>H489-I489</f>
        <v/>
      </c>
      <c r="K489" t="n">
        <v>0.07000000000000001</v>
      </c>
      <c r="L489" t="n">
        <v>23909.42358398438</v>
      </c>
      <c r="M489" t="n">
        <v>-22610.35986328125</v>
      </c>
      <c r="N489">
        <f>-I489*K489/252</f>
        <v/>
      </c>
      <c r="O489" t="n">
        <v>0</v>
      </c>
      <c r="P489" t="n">
        <v>0</v>
      </c>
      <c r="Q489" t="n">
        <v>0.0432</v>
      </c>
      <c r="R489" t="n">
        <v>0</v>
      </c>
      <c r="S489" t="n">
        <v>1299.063720703129</v>
      </c>
    </row>
    <row r="490">
      <c r="A490" s="1" t="n">
        <v>44956</v>
      </c>
      <c r="B490" t="inlineStr">
        <is>
          <t>HIBL</t>
        </is>
      </c>
      <c r="C490" t="inlineStr">
        <is>
          <t>SPHB</t>
        </is>
      </c>
      <c r="D490" t="n">
        <v>68.99092864990234</v>
      </c>
      <c r="E490" t="n">
        <v>32.3740348815918</v>
      </c>
      <c r="F490" t="n">
        <v>6429</v>
      </c>
      <c r="G490" t="n">
        <v>-4351</v>
      </c>
      <c r="H490">
        <f>D490*F490</f>
        <v/>
      </c>
      <c r="I490">
        <f>E490*G490</f>
        <v/>
      </c>
      <c r="J490">
        <f>H490-I490</f>
        <v/>
      </c>
      <c r="K490" t="n">
        <v>0.12</v>
      </c>
      <c r="L490" t="n">
        <v>-9651.838394165039</v>
      </c>
      <c r="M490" t="n">
        <v>9802.165115356445</v>
      </c>
      <c r="N490">
        <f>-I490*K490/252</f>
        <v/>
      </c>
      <c r="O490" t="n">
        <v>0</v>
      </c>
      <c r="P490" t="n">
        <v>1340.446932657333</v>
      </c>
      <c r="Q490" t="n">
        <v>0.0432</v>
      </c>
      <c r="R490" t="n">
        <v>0</v>
      </c>
      <c r="S490" t="n">
        <v>217.4026382246471</v>
      </c>
    </row>
    <row r="491">
      <c r="A491" s="1" t="n">
        <v>44956</v>
      </c>
      <c r="B491" t="inlineStr">
        <is>
          <t>TSLL</t>
        </is>
      </c>
      <c r="C491" t="inlineStr">
        <is>
          <t>TSLA</t>
        </is>
      </c>
      <c r="D491" t="n">
        <v>166.6600036621094</v>
      </c>
      <c r="E491" t="n">
        <v>8.268409729003906</v>
      </c>
      <c r="F491" t="n">
        <v>11773</v>
      </c>
      <c r="G491" t="n">
        <v>-114993</v>
      </c>
      <c r="H491">
        <f>D491*F491</f>
        <v/>
      </c>
      <c r="I491">
        <f>E491*G491</f>
        <v/>
      </c>
      <c r="J491">
        <f>H491-I491</f>
        <v/>
      </c>
      <c r="K491" t="n">
        <v>0.01</v>
      </c>
      <c r="L491" t="n">
        <v>-132328.4050292969</v>
      </c>
      <c r="M491" t="n">
        <v>99561.25734329224</v>
      </c>
      <c r="N491">
        <f>-I491*K491/252</f>
        <v/>
      </c>
      <c r="O491" t="n">
        <v>0</v>
      </c>
      <c r="P491" t="n">
        <v>842.5730949278484</v>
      </c>
      <c r="Q491" t="n">
        <v>0.0432</v>
      </c>
      <c r="R491" t="n">
        <v>0</v>
      </c>
      <c r="S491" t="n">
        <v>-32729.41716060914</v>
      </c>
    </row>
    <row r="492">
      <c r="A492" s="1" t="n">
        <v>44956</v>
      </c>
      <c r="B492" t="inlineStr">
        <is>
          <t>TSLQ</t>
        </is>
      </c>
      <c r="C492" t="inlineStr">
        <is>
          <t>TSLA</t>
        </is>
      </c>
      <c r="D492" t="n">
        <v>-0</v>
      </c>
      <c r="E492" t="n">
        <v>-0</v>
      </c>
      <c r="F492" t="n">
        <v>-4374</v>
      </c>
      <c r="G492" t="n">
        <v>-594</v>
      </c>
      <c r="H492">
        <f>D492*F492</f>
        <v/>
      </c>
      <c r="I492">
        <f>E492*G492</f>
        <v/>
      </c>
      <c r="J492">
        <f>H492-I492</f>
        <v/>
      </c>
      <c r="K492" t="n">
        <v>-0.02</v>
      </c>
      <c r="L492" t="n">
        <v>49163.71728515625</v>
      </c>
      <c r="M492" t="n">
        <v>-25398.46691894531</v>
      </c>
      <c r="N492">
        <f>-I492*K492/252</f>
        <v/>
      </c>
      <c r="O492" t="n">
        <v>0</v>
      </c>
      <c r="P492" t="n">
        <v>0</v>
      </c>
      <c r="Q492" t="n">
        <v>0.0432</v>
      </c>
      <c r="R492" t="n">
        <v>0</v>
      </c>
      <c r="S492" t="n">
        <v>23765.25036621094</v>
      </c>
    </row>
    <row r="493">
      <c r="A493" s="1" t="n">
        <v>44956</v>
      </c>
      <c r="B493" t="inlineStr">
        <is>
          <t>LABU</t>
        </is>
      </c>
      <c r="C493" t="inlineStr">
        <is>
          <t>XBI</t>
        </is>
      </c>
      <c r="D493" t="n">
        <v>86.63513946533203</v>
      </c>
      <c r="E493" t="n">
        <v>154.584716796875</v>
      </c>
      <c r="F493" t="n">
        <v>3537</v>
      </c>
      <c r="G493" t="n">
        <v>-630</v>
      </c>
      <c r="H493">
        <f>D493*F493</f>
        <v/>
      </c>
      <c r="I493">
        <f>E493*G493</f>
        <v/>
      </c>
      <c r="J493">
        <f>H493-I493</f>
        <v/>
      </c>
      <c r="K493" t="n">
        <v>0.1</v>
      </c>
      <c r="L493" t="n">
        <v>-8056.502998352051</v>
      </c>
      <c r="M493" t="n">
        <v>7919.75830078125</v>
      </c>
      <c r="N493">
        <f>-I493*K493/252</f>
        <v/>
      </c>
      <c r="O493" t="n">
        <v>0</v>
      </c>
      <c r="P493" t="n">
        <v>742.6146638900516</v>
      </c>
      <c r="Q493" t="n">
        <v>0.0432</v>
      </c>
      <c r="R493" t="n">
        <v>0</v>
      </c>
      <c r="S493" t="n">
        <v>-98.09851837158203</v>
      </c>
    </row>
    <row r="494">
      <c r="A494" s="1" t="n">
        <v>44956</v>
      </c>
      <c r="B494" t="inlineStr">
        <is>
          <t>ERX</t>
        </is>
      </c>
      <c r="C494" t="inlineStr">
        <is>
          <t>XLE</t>
        </is>
      </c>
      <c r="D494" t="n">
        <v>40.00492477416992</v>
      </c>
      <c r="E494" t="n">
        <v>62.72493362426758</v>
      </c>
      <c r="F494" t="n">
        <v>1969</v>
      </c>
      <c r="G494" t="n">
        <v>-617</v>
      </c>
      <c r="H494">
        <f>D494*F494</f>
        <v/>
      </c>
      <c r="I494">
        <f>E494*G494</f>
        <v/>
      </c>
      <c r="J494">
        <f>H494-I494</f>
        <v/>
      </c>
      <c r="K494" t="n">
        <v>0.12</v>
      </c>
      <c r="L494" t="n">
        <v>-1846.86137008667</v>
      </c>
      <c r="M494" t="n">
        <v>1830.275951385498</v>
      </c>
      <c r="N494">
        <f>-I494*K494/252</f>
        <v/>
      </c>
      <c r="O494" t="n">
        <v>0</v>
      </c>
      <c r="P494" t="n">
        <v>342.4573998714629</v>
      </c>
      <c r="Q494" t="n">
        <v>0.0432</v>
      </c>
      <c r="R494" t="n">
        <v>0</v>
      </c>
      <c r="S494" t="n">
        <v>1.843764177958167</v>
      </c>
    </row>
    <row r="495">
      <c r="A495" s="1" t="n">
        <v>44956</v>
      </c>
      <c r="B495" t="inlineStr">
        <is>
          <t>GUSH</t>
        </is>
      </c>
      <c r="C495" t="inlineStr">
        <is>
          <t>XOP</t>
        </is>
      </c>
      <c r="D495" t="n">
        <v>128.0811767578125</v>
      </c>
      <c r="E495" t="n">
        <v>34.48883056640625</v>
      </c>
      <c r="F495" t="n">
        <v>3135</v>
      </c>
      <c r="G495" t="n">
        <v>-5607</v>
      </c>
      <c r="H495">
        <f>D495*F495</f>
        <v/>
      </c>
      <c r="I495">
        <f>E495*G495</f>
        <v/>
      </c>
      <c r="J495">
        <f>H495-I495</f>
        <v/>
      </c>
      <c r="K495" t="n">
        <v>-0.01</v>
      </c>
      <c r="L495" t="n">
        <v>-13420.09231567383</v>
      </c>
      <c r="M495" t="n">
        <v>13081.81647491455</v>
      </c>
      <c r="N495">
        <f>-I495*K495/252</f>
        <v/>
      </c>
      <c r="O495" t="n">
        <v>0</v>
      </c>
      <c r="P495" t="n">
        <v>-148.458642558446</v>
      </c>
      <c r="Q495" t="n">
        <v>0.0432</v>
      </c>
      <c r="R495" t="n">
        <v>0</v>
      </c>
      <c r="S495" t="n">
        <v>-345.9496055603046</v>
      </c>
    </row>
    <row r="496">
      <c r="A496" s="1" t="n">
        <v>44957</v>
      </c>
      <c r="B496" t="inlineStr">
        <is>
          <t>AAPB</t>
        </is>
      </c>
      <c r="C496" t="inlineStr">
        <is>
          <t>AAPL</t>
        </is>
      </c>
      <c r="D496" t="n">
        <v>142.0126495361328</v>
      </c>
      <c r="E496" t="n">
        <v>14.78181934356689</v>
      </c>
      <c r="F496" t="n">
        <v>8874</v>
      </c>
      <c r="G496" t="n">
        <v>-42412</v>
      </c>
      <c r="H496">
        <f>D496*F496</f>
        <v/>
      </c>
      <c r="I496">
        <f>E496*G496</f>
        <v/>
      </c>
      <c r="J496">
        <f>H496-I496</f>
        <v/>
      </c>
      <c r="K496" t="n">
        <v>-0.005</v>
      </c>
      <c r="L496" t="n">
        <v>11266.4973449707</v>
      </c>
      <c r="M496" t="n">
        <v>-7879.364082336426</v>
      </c>
      <c r="N496">
        <f>-I496*K496/252</f>
        <v/>
      </c>
      <c r="O496" t="n">
        <v>0</v>
      </c>
      <c r="P496" t="n">
        <v>-245.7009983136162</v>
      </c>
      <c r="Q496" t="n">
        <v>0.0432</v>
      </c>
      <c r="R496" t="n">
        <v>0</v>
      </c>
      <c r="S496" t="n">
        <v>3374.694244340636</v>
      </c>
    </row>
    <row r="497">
      <c r="A497" s="1" t="n">
        <v>44957</v>
      </c>
      <c r="B497" t="inlineStr">
        <is>
          <t>AAPU</t>
        </is>
      </c>
      <c r="C497" t="inlineStr">
        <is>
          <t>AAPL</t>
        </is>
      </c>
      <c r="D497" t="n">
        <v>142.0126495361328</v>
      </c>
      <c r="E497" t="n">
        <v>14.96344661712646</v>
      </c>
      <c r="F497" t="n">
        <v>7503</v>
      </c>
      <c r="G497" t="n">
        <v>-35693</v>
      </c>
      <c r="H497">
        <f>D497*F497</f>
        <v/>
      </c>
      <c r="I497">
        <f>E497*G497</f>
        <v/>
      </c>
      <c r="J497">
        <f>H497-I497</f>
        <v/>
      </c>
      <c r="K497" t="n">
        <v>0.02</v>
      </c>
      <c r="L497" t="n">
        <v>9525.86540222168</v>
      </c>
      <c r="M497" t="n">
        <v>-7444.676352500916</v>
      </c>
      <c r="N497">
        <f>-I497*K497/252</f>
        <v/>
      </c>
      <c r="O497" t="n">
        <v>0</v>
      </c>
      <c r="P497" t="n">
        <v>827.8573314295875</v>
      </c>
      <c r="Q497" t="n">
        <v>0.0432</v>
      </c>
      <c r="R497" t="n">
        <v>0</v>
      </c>
      <c r="S497" t="n">
        <v>2123.577168776723</v>
      </c>
    </row>
    <row r="498">
      <c r="A498" s="1" t="n">
        <v>44957</v>
      </c>
      <c r="B498" t="inlineStr">
        <is>
          <t>AMZU</t>
        </is>
      </c>
      <c r="C498" t="inlineStr">
        <is>
          <t>AMZN</t>
        </is>
      </c>
      <c r="D498" t="n">
        <v>103.129997253418</v>
      </c>
      <c r="E498" t="n">
        <v>15.03527736663818</v>
      </c>
      <c r="F498" t="n">
        <v>26570</v>
      </c>
      <c r="G498" t="n">
        <v>-92003</v>
      </c>
      <c r="H498">
        <f>D498*F498</f>
        <v/>
      </c>
      <c r="I498">
        <f>E498*G498</f>
        <v/>
      </c>
      <c r="J498">
        <f>H498-I498</f>
        <v/>
      </c>
      <c r="K498" t="n">
        <v>-0.0025</v>
      </c>
      <c r="L498" t="n">
        <v>68550.44593811035</v>
      </c>
      <c r="M498" t="n">
        <v>-50142.08072376251</v>
      </c>
      <c r="N498">
        <f>-I498*K498/252</f>
        <v/>
      </c>
      <c r="O498" t="n">
        <v>0</v>
      </c>
      <c r="P498" t="n">
        <v>-253.1771415605432</v>
      </c>
      <c r="Q498" t="n">
        <v>0.0432</v>
      </c>
      <c r="R498" t="n">
        <v>0</v>
      </c>
      <c r="S498" t="n">
        <v>18394.64209308234</v>
      </c>
    </row>
    <row r="499">
      <c r="A499" s="1" t="n">
        <v>44957</v>
      </c>
      <c r="B499" t="inlineStr">
        <is>
          <t>TARK</t>
        </is>
      </c>
      <c r="C499" t="inlineStr">
        <is>
          <t>ARKK</t>
        </is>
      </c>
      <c r="D499" t="n">
        <v>39.59974670410156</v>
      </c>
      <c r="E499" t="n">
        <v>26.04844284057617</v>
      </c>
      <c r="F499" t="n">
        <v>17763</v>
      </c>
      <c r="G499" t="n">
        <v>-13435</v>
      </c>
      <c r="H499">
        <f>D499*F499</f>
        <v/>
      </c>
      <c r="I499">
        <f>E499*G499</f>
        <v/>
      </c>
      <c r="J499">
        <f>H499-I499</f>
        <v/>
      </c>
      <c r="K499" t="n">
        <v>-0.02</v>
      </c>
      <c r="L499" t="n">
        <v>25014.92851638794</v>
      </c>
      <c r="M499" t="n">
        <v>-24985.93067169189</v>
      </c>
      <c r="N499">
        <f>-I499*K499/252</f>
        <v/>
      </c>
      <c r="O499" t="n">
        <v>0</v>
      </c>
      <c r="P499" t="n">
        <v>-574.8120206150933</v>
      </c>
      <c r="Q499" t="n">
        <v>0.0432</v>
      </c>
      <c r="R499" t="n">
        <v>0</v>
      </c>
      <c r="S499" t="n">
        <v>1.223175683100877</v>
      </c>
    </row>
    <row r="500">
      <c r="A500" s="1" t="n">
        <v>44957</v>
      </c>
      <c r="B500" t="inlineStr">
        <is>
          <t>CHAU</t>
        </is>
      </c>
      <c r="C500" t="inlineStr">
        <is>
          <t>ASHR</t>
        </is>
      </c>
      <c r="D500" t="n">
        <v>29.41194343566895</v>
      </c>
      <c r="E500" t="n">
        <v>22.92814445495605</v>
      </c>
      <c r="F500" t="n">
        <v>5793</v>
      </c>
      <c r="G500" t="n">
        <v>-3678</v>
      </c>
      <c r="H500">
        <f>D500*F500</f>
        <v/>
      </c>
      <c r="I500">
        <f>E500*G500</f>
        <v/>
      </c>
      <c r="J500">
        <f>H500-I500</f>
        <v/>
      </c>
      <c r="K500" t="n">
        <v>-0.01</v>
      </c>
      <c r="L500" t="n">
        <v>-928.072437286377</v>
      </c>
      <c r="M500" t="n">
        <v>1028.004535675049</v>
      </c>
      <c r="N500">
        <f>-I500*K500/252</f>
        <v/>
      </c>
      <c r="O500" t="n">
        <v>0</v>
      </c>
      <c r="P500" t="n">
        <v>-67.50192046672579</v>
      </c>
      <c r="Q500" t="n">
        <v>0.0432</v>
      </c>
      <c r="R500" t="n">
        <v>0</v>
      </c>
      <c r="S500" t="n">
        <v>96.58568111465114</v>
      </c>
    </row>
    <row r="501">
      <c r="A501" s="1" t="n">
        <v>44957</v>
      </c>
      <c r="B501" t="inlineStr">
        <is>
          <t>BABX</t>
        </is>
      </c>
      <c r="C501" t="inlineStr">
        <is>
          <t>BABA</t>
        </is>
      </c>
      <c r="D501" t="n">
        <v>104.6563873291016</v>
      </c>
      <c r="E501" t="n">
        <v>34.77999877929688</v>
      </c>
      <c r="F501" t="n">
        <v>4750</v>
      </c>
      <c r="G501" t="n">
        <v>-6734</v>
      </c>
      <c r="H501">
        <f>D501*F501</f>
        <v/>
      </c>
      <c r="I501">
        <f>E501*G501</f>
        <v/>
      </c>
      <c r="J501">
        <f>H501-I501</f>
        <v/>
      </c>
      <c r="K501" t="n">
        <v>-0.0275</v>
      </c>
      <c r="L501" t="n">
        <v>-4511.035919189453</v>
      </c>
      <c r="M501" t="n">
        <v>3939.409523010254</v>
      </c>
      <c r="N501">
        <f>-I501*K501/252</f>
        <v/>
      </c>
      <c r="O501" t="n">
        <v>0</v>
      </c>
      <c r="P501" t="n">
        <v>-585.9037055748606</v>
      </c>
      <c r="Q501" t="n">
        <v>0.0432</v>
      </c>
      <c r="R501" t="n">
        <v>0</v>
      </c>
      <c r="S501" t="n">
        <v>-597.1848647265964</v>
      </c>
    </row>
    <row r="502">
      <c r="A502" s="1" t="n">
        <v>44957</v>
      </c>
      <c r="B502" t="inlineStr">
        <is>
          <t>CONL</t>
        </is>
      </c>
      <c r="C502" t="inlineStr">
        <is>
          <t>COIN</t>
        </is>
      </c>
      <c r="D502" t="n">
        <v>58.47999954223633</v>
      </c>
      <c r="E502" t="n">
        <v>9.167284965515137</v>
      </c>
      <c r="F502" t="n">
        <v>62026</v>
      </c>
      <c r="G502" t="n">
        <v>-193596</v>
      </c>
      <c r="H502">
        <f>D502*F502</f>
        <v/>
      </c>
      <c r="I502">
        <f>E502*G502</f>
        <v/>
      </c>
      <c r="J502">
        <f>H502-I502</f>
        <v/>
      </c>
      <c r="K502" t="n">
        <v>0.03</v>
      </c>
      <c r="L502" t="n">
        <v>143900.301071167</v>
      </c>
      <c r="M502" t="n">
        <v>-98489.74208450317</v>
      </c>
      <c r="N502">
        <f>-I502*K502/252</f>
        <v/>
      </c>
      <c r="O502" t="n">
        <v>0</v>
      </c>
      <c r="P502" t="n">
        <v>4820.217496528682</v>
      </c>
      <c r="Q502" t="n">
        <v>0.0432</v>
      </c>
      <c r="R502" t="n">
        <v>0</v>
      </c>
      <c r="S502" t="n">
        <v>45621.83871287618</v>
      </c>
    </row>
    <row r="503">
      <c r="A503" s="1" t="n">
        <v>44957</v>
      </c>
      <c r="B503" t="inlineStr">
        <is>
          <t>MEXX</t>
        </is>
      </c>
      <c r="C503" t="inlineStr">
        <is>
          <t>EWW</t>
        </is>
      </c>
      <c r="D503" t="n">
        <v>52.22756958007812</v>
      </c>
      <c r="E503" t="n">
        <v>23.8410816192627</v>
      </c>
      <c r="F503" t="n">
        <v>9018</v>
      </c>
      <c r="G503" t="n">
        <v>-6603</v>
      </c>
      <c r="H503">
        <f>D503*F503</f>
        <v/>
      </c>
      <c r="I503">
        <f>E503*G503</f>
        <v/>
      </c>
      <c r="J503">
        <f>H503-I503</f>
        <v/>
      </c>
      <c r="K503" t="n">
        <v>0.0075</v>
      </c>
      <c r="L503" t="n">
        <v>245.1410980224609</v>
      </c>
      <c r="M503" t="n">
        <v>239.9577312469482</v>
      </c>
      <c r="N503">
        <f>-I503*K503/252</f>
        <v/>
      </c>
      <c r="O503" t="n">
        <v>0</v>
      </c>
      <c r="P503" t="n">
        <v>93.67889791494324</v>
      </c>
      <c r="Q503" t="n">
        <v>0.0432</v>
      </c>
      <c r="R503" t="n">
        <v>0</v>
      </c>
      <c r="S503" t="n">
        <v>489.7840275411946</v>
      </c>
    </row>
    <row r="504">
      <c r="A504" s="1" t="n">
        <v>44957</v>
      </c>
      <c r="B504" t="inlineStr">
        <is>
          <t>KORU</t>
        </is>
      </c>
      <c r="C504" t="inlineStr">
        <is>
          <t>EWY</t>
        </is>
      </c>
      <c r="D504" t="n">
        <v>59.08401870727539</v>
      </c>
      <c r="E504" t="n">
        <v>96.60773468017578</v>
      </c>
      <c r="F504" t="n">
        <v>12466</v>
      </c>
      <c r="G504" t="n">
        <v>-2427</v>
      </c>
      <c r="H504">
        <f>D504*F504</f>
        <v/>
      </c>
      <c r="I504">
        <f>E504*G504</f>
        <v/>
      </c>
      <c r="J504">
        <f>H504-I504</f>
        <v/>
      </c>
      <c r="K504" t="n">
        <v>0.0225</v>
      </c>
      <c r="L504" t="n">
        <v>-5802.350830078125</v>
      </c>
      <c r="M504" t="n">
        <v>6575.982719421387</v>
      </c>
      <c r="N504">
        <f>-I504*K504/252</f>
        <v/>
      </c>
      <c r="O504" t="n">
        <v>0</v>
      </c>
      <c r="P504" t="n">
        <v>455.3580707788467</v>
      </c>
      <c r="Q504" t="n">
        <v>0.0432</v>
      </c>
      <c r="R504" t="n">
        <v>0</v>
      </c>
      <c r="S504" t="n">
        <v>794.5664404208319</v>
      </c>
    </row>
    <row r="505">
      <c r="A505" s="1" t="n">
        <v>44957</v>
      </c>
      <c r="B505" t="inlineStr">
        <is>
          <t>YINN</t>
        </is>
      </c>
      <c r="C505" t="inlineStr">
        <is>
          <t>FXI</t>
        </is>
      </c>
      <c r="D505" t="n">
        <v>29.53872108459473</v>
      </c>
      <c r="E505" t="n">
        <v>59.40568161010742</v>
      </c>
      <c r="F505" t="n">
        <v>35468</v>
      </c>
      <c r="G505" t="n">
        <v>-5418</v>
      </c>
      <c r="H505">
        <f>D505*F505</f>
        <v/>
      </c>
      <c r="I505">
        <f>E505*G505</f>
        <v/>
      </c>
      <c r="J505">
        <f>H505-I505</f>
        <v/>
      </c>
      <c r="K505" t="n">
        <v>-0.02</v>
      </c>
      <c r="L505" t="n">
        <v>-6589.229843139648</v>
      </c>
      <c r="M505" t="n">
        <v>5369.388793945312</v>
      </c>
      <c r="N505">
        <f>-I505*K505/252</f>
        <v/>
      </c>
      <c r="O505" t="n">
        <v>0</v>
      </c>
      <c r="P505" t="n">
        <v>-563.7065715187315</v>
      </c>
      <c r="Q505" t="n">
        <v>0.0432</v>
      </c>
      <c r="R505" t="n">
        <v>0</v>
      </c>
      <c r="S505" t="n">
        <v>-1245.385492286683</v>
      </c>
    </row>
    <row r="506">
      <c r="A506" s="1" t="n">
        <v>44957</v>
      </c>
      <c r="B506" t="inlineStr">
        <is>
          <t>JNUG</t>
        </is>
      </c>
      <c r="C506" t="inlineStr">
        <is>
          <t>GDXJ</t>
        </is>
      </c>
      <c r="D506" t="n">
        <v>36.84612274169922</v>
      </c>
      <c r="E506" t="n">
        <v>39.78610610961914</v>
      </c>
      <c r="F506" t="n">
        <v>14851</v>
      </c>
      <c r="G506" t="n">
        <v>-6847</v>
      </c>
      <c r="H506">
        <f>D506*F506</f>
        <v/>
      </c>
      <c r="I506">
        <f>E506*G506</f>
        <v/>
      </c>
      <c r="J506">
        <f>H506-I506</f>
        <v/>
      </c>
      <c r="K506" t="n">
        <v>-0.005</v>
      </c>
      <c r="L506" t="n">
        <v>2388.394580841064</v>
      </c>
      <c r="M506" t="n">
        <v>-1346.028511047363</v>
      </c>
      <c r="N506">
        <f>-I506*K506/252</f>
        <v/>
      </c>
      <c r="O506" t="n">
        <v>0</v>
      </c>
      <c r="P506" t="n">
        <v>-103.9207048581139</v>
      </c>
      <c r="Q506" t="n">
        <v>0.0432</v>
      </c>
      <c r="R506" t="n">
        <v>0</v>
      </c>
      <c r="S506" t="n">
        <v>1036.96100097361</v>
      </c>
    </row>
    <row r="507">
      <c r="A507" s="1" t="n">
        <v>44957</v>
      </c>
      <c r="B507" t="inlineStr">
        <is>
          <t>GDXU</t>
        </is>
      </c>
      <c r="C507" t="inlineStr">
        <is>
          <t>GDX</t>
        </is>
      </c>
      <c r="D507" t="n">
        <v>30.91265487670898</v>
      </c>
      <c r="E507" t="n">
        <v>55.43999862670897</v>
      </c>
      <c r="F507" t="n">
        <v>56004</v>
      </c>
      <c r="G507" t="n">
        <v>-9980</v>
      </c>
      <c r="H507">
        <f>D507*F507</f>
        <v/>
      </c>
      <c r="I507">
        <f>E507*G507</f>
        <v/>
      </c>
      <c r="J507">
        <f>H507-I507</f>
        <v/>
      </c>
      <c r="K507" t="n">
        <v>-0.005</v>
      </c>
      <c r="L507" t="n">
        <v>10272.79792785645</v>
      </c>
      <c r="M507" t="n">
        <v>-7884.17106628418</v>
      </c>
      <c r="N507">
        <f>-I507*K507/252</f>
        <v/>
      </c>
      <c r="O507" t="n">
        <v>0</v>
      </c>
      <c r="P507" t="n">
        <v>-212.7573642104013</v>
      </c>
      <c r="Q507" t="n">
        <v>0.0432</v>
      </c>
      <c r="R507" t="n">
        <v>0</v>
      </c>
      <c r="S507" t="n">
        <v>2377.648861844204</v>
      </c>
    </row>
    <row r="508">
      <c r="A508" s="1" t="n">
        <v>44957</v>
      </c>
      <c r="B508" t="inlineStr">
        <is>
          <t>NUGT</t>
        </is>
      </c>
      <c r="C508" t="inlineStr">
        <is>
          <t>GDX</t>
        </is>
      </c>
      <c r="D508" t="n">
        <v>30.91265487670898</v>
      </c>
      <c r="E508" t="n">
        <v>40.70174789428711</v>
      </c>
      <c r="F508" t="n">
        <v>16656</v>
      </c>
      <c r="G508" t="n">
        <v>-6322</v>
      </c>
      <c r="H508">
        <f>D508*F508</f>
        <v/>
      </c>
      <c r="I508">
        <f>E508*G508</f>
        <v/>
      </c>
      <c r="J508">
        <f>H508-I508</f>
        <v/>
      </c>
      <c r="K508" t="n">
        <v>-0.0175</v>
      </c>
      <c r="L508" t="n">
        <v>3055.205383300781</v>
      </c>
      <c r="M508" t="n">
        <v>-2793.006080627441</v>
      </c>
      <c r="N508">
        <f>-I508*K508/252</f>
        <v/>
      </c>
      <c r="O508" t="n">
        <v>0</v>
      </c>
      <c r="P508" t="n">
        <v>-341.5844619327122</v>
      </c>
      <c r="Q508" t="n">
        <v>0.0432</v>
      </c>
      <c r="R508" t="n">
        <v>0</v>
      </c>
      <c r="S508" t="n">
        <v>244.3301047436396</v>
      </c>
    </row>
    <row r="509">
      <c r="A509" s="1" t="n">
        <v>44957</v>
      </c>
      <c r="B509" t="inlineStr">
        <is>
          <t>GGLL</t>
        </is>
      </c>
      <c r="C509" t="inlineStr">
        <is>
          <t>GOOGL</t>
        </is>
      </c>
      <c r="D509" t="n">
        <v>98.02977752685547</v>
      </c>
      <c r="E509" t="n">
        <v>18.79611968994141</v>
      </c>
      <c r="F509" t="n">
        <v>20673</v>
      </c>
      <c r="G509" t="n">
        <v>-53835</v>
      </c>
      <c r="H509">
        <f>D509*F509</f>
        <v/>
      </c>
      <c r="I509">
        <f>E509*G509</f>
        <v/>
      </c>
      <c r="J509">
        <f>H509-I509</f>
        <v/>
      </c>
      <c r="K509" t="n">
        <v>0</v>
      </c>
      <c r="L509" t="n">
        <v>38956.50453186035</v>
      </c>
      <c r="M509" t="n">
        <v>-26189.4838142395</v>
      </c>
      <c r="N509">
        <f>-I509*K509/252</f>
        <v/>
      </c>
      <c r="O509" t="n">
        <v>0</v>
      </c>
      <c r="P509" t="n">
        <v>0</v>
      </c>
      <c r="Q509" t="n">
        <v>0.0432</v>
      </c>
      <c r="R509" t="n">
        <v>0</v>
      </c>
      <c r="S509" t="n">
        <v>12767.02071762085</v>
      </c>
    </row>
    <row r="510">
      <c r="A510" s="1" t="n">
        <v>44957</v>
      </c>
      <c r="B510" t="inlineStr">
        <is>
          <t>CWEB</t>
        </is>
      </c>
      <c r="C510" t="inlineStr">
        <is>
          <t>KWEB</t>
        </is>
      </c>
      <c r="D510" t="n">
        <v>30.34329032897949</v>
      </c>
      <c r="E510" t="n">
        <v>56.42767333984375</v>
      </c>
      <c r="F510" t="n">
        <v>14867</v>
      </c>
      <c r="G510" t="n">
        <v>-3791</v>
      </c>
      <c r="H510">
        <f>D510*F510</f>
        <v/>
      </c>
      <c r="I510">
        <f>E510*G510</f>
        <v/>
      </c>
      <c r="J510">
        <f>H510-I510</f>
        <v/>
      </c>
      <c r="K510" t="n">
        <v>-0.02</v>
      </c>
      <c r="L510" t="n">
        <v>-3196.577407836914</v>
      </c>
      <c r="M510" t="n">
        <v>2867.256118774414</v>
      </c>
      <c r="N510">
        <f>-I510*K510/252</f>
        <v/>
      </c>
      <c r="O510" t="n">
        <v>0</v>
      </c>
      <c r="P510" t="n">
        <v>-357.9821035754492</v>
      </c>
      <c r="Q510" t="n">
        <v>0.0432</v>
      </c>
      <c r="R510" t="n">
        <v>0</v>
      </c>
      <c r="S510" t="n">
        <v>-346.2988533189562</v>
      </c>
    </row>
    <row r="511">
      <c r="A511" s="1" t="n">
        <v>44957</v>
      </c>
      <c r="B511" t="inlineStr">
        <is>
          <t>FBL</t>
        </is>
      </c>
      <c r="C511" t="inlineStr">
        <is>
          <t>META</t>
        </is>
      </c>
      <c r="D511" t="n">
        <v>147.8100433349609</v>
      </c>
      <c r="E511" t="n">
        <v>4.703568935394287</v>
      </c>
      <c r="F511" t="n">
        <v>24480</v>
      </c>
      <c r="G511" t="n">
        <v>-380714</v>
      </c>
      <c r="H511">
        <f>D511*F511</f>
        <v/>
      </c>
      <c r="I511">
        <f>E511*G511</f>
        <v/>
      </c>
      <c r="J511">
        <f>H511-I511</f>
        <v/>
      </c>
      <c r="K511" t="n">
        <v>-0.01</v>
      </c>
      <c r="L511" t="n">
        <v>46392.3193359375</v>
      </c>
      <c r="M511" t="n">
        <v>-30737.02344703674</v>
      </c>
      <c r="N511">
        <f>-I511*K511/252</f>
        <v/>
      </c>
      <c r="O511" t="n">
        <v>0</v>
      </c>
      <c r="P511" t="n">
        <v>-1406.732825828866</v>
      </c>
      <c r="Q511" t="n">
        <v>0.0432</v>
      </c>
      <c r="R511" t="n">
        <v>0</v>
      </c>
      <c r="S511" t="n">
        <v>15584.23578796149</v>
      </c>
    </row>
    <row r="512">
      <c r="A512" s="1" t="n">
        <v>44957</v>
      </c>
      <c r="B512" t="inlineStr">
        <is>
          <t>MSFU</t>
        </is>
      </c>
      <c r="C512" t="inlineStr">
        <is>
          <t>MSFT</t>
        </is>
      </c>
      <c r="D512" t="n">
        <v>241.4722747802734</v>
      </c>
      <c r="E512" t="n">
        <v>19.60409927368164</v>
      </c>
      <c r="F512" t="n">
        <v>9205</v>
      </c>
      <c r="G512" t="n">
        <v>-56905</v>
      </c>
      <c r="H512">
        <f>D512*F512</f>
        <v/>
      </c>
      <c r="I512">
        <f>E512*G512</f>
        <v/>
      </c>
      <c r="J512">
        <f>H512-I512</f>
        <v/>
      </c>
      <c r="K512" t="n">
        <v>-0.005</v>
      </c>
      <c r="L512" t="n">
        <v>45744.36660766602</v>
      </c>
      <c r="M512" t="n">
        <v>-33732.09807395935</v>
      </c>
      <c r="N512">
        <f>-I512*K512/252</f>
        <v/>
      </c>
      <c r="O512" t="n">
        <v>0</v>
      </c>
      <c r="P512" t="n">
        <v>-401.9176826401741</v>
      </c>
      <c r="Q512" t="n">
        <v>0.0432</v>
      </c>
      <c r="R512" t="n">
        <v>0</v>
      </c>
      <c r="S512" t="n">
        <v>11990.13418312793</v>
      </c>
    </row>
    <row r="513">
      <c r="A513" s="1" t="n">
        <v>44957</v>
      </c>
      <c r="B513" t="inlineStr">
        <is>
          <t>NVDL</t>
        </is>
      </c>
      <c r="C513" t="inlineStr">
        <is>
          <t>NVDA</t>
        </is>
      </c>
      <c r="D513" t="n">
        <v>19.51640701293945</v>
      </c>
      <c r="E513" t="n">
        <v>4.271303653717041</v>
      </c>
      <c r="F513" t="n">
        <v>248132</v>
      </c>
      <c r="G513" t="n">
        <v>-555379</v>
      </c>
      <c r="H513">
        <f>D513*F513</f>
        <v/>
      </c>
      <c r="I513">
        <f>E513*G513</f>
        <v/>
      </c>
      <c r="J513">
        <f>H513-I513</f>
        <v/>
      </c>
      <c r="K513" t="n">
        <v>0</v>
      </c>
      <c r="L513" t="n">
        <v>92951.53223419189</v>
      </c>
      <c r="M513" t="n">
        <v>-42390.32800245285</v>
      </c>
      <c r="N513">
        <f>-I513*K513/252</f>
        <v/>
      </c>
      <c r="O513" t="n">
        <v>0</v>
      </c>
      <c r="P513" t="n">
        <v>0</v>
      </c>
      <c r="Q513" t="n">
        <v>0.0432</v>
      </c>
      <c r="R513" t="n">
        <v>0</v>
      </c>
      <c r="S513" t="n">
        <v>50561.20423173904</v>
      </c>
    </row>
    <row r="514">
      <c r="A514" s="1" t="n">
        <v>44957</v>
      </c>
      <c r="B514" t="inlineStr">
        <is>
          <t>SOXL</t>
        </is>
      </c>
      <c r="C514" t="inlineStr">
        <is>
          <t>SOXX</t>
        </is>
      </c>
      <c r="D514" t="n">
        <v>131.4555053710938</v>
      </c>
      <c r="E514" t="n">
        <v>14.20804214477539</v>
      </c>
      <c r="F514" t="n">
        <v>8680</v>
      </c>
      <c r="G514" t="n">
        <v>-26485</v>
      </c>
      <c r="H514">
        <f>D514*F514</f>
        <v/>
      </c>
      <c r="I514">
        <f>E514*G514</f>
        <v/>
      </c>
      <c r="J514">
        <f>H514-I514</f>
        <v/>
      </c>
      <c r="K514" t="n">
        <v>-0.0175</v>
      </c>
      <c r="L514" t="n">
        <v>20888.10424804688</v>
      </c>
      <c r="M514" t="n">
        <v>-18659.52126979828</v>
      </c>
      <c r="N514">
        <f>-I514*K514/252</f>
        <v/>
      </c>
      <c r="O514" t="n">
        <v>0</v>
      </c>
      <c r="P514" t="n">
        <v>-535.8535834990608</v>
      </c>
      <c r="Q514" t="n">
        <v>0.0432</v>
      </c>
      <c r="R514" t="n">
        <v>0</v>
      </c>
      <c r="S514" t="n">
        <v>2202.45103406774</v>
      </c>
    </row>
    <row r="515">
      <c r="A515" s="1" t="n">
        <v>44957</v>
      </c>
      <c r="B515" t="inlineStr">
        <is>
          <t>SOXS</t>
        </is>
      </c>
      <c r="C515" t="inlineStr">
        <is>
          <t>SOXX</t>
        </is>
      </c>
      <c r="D515" t="n">
        <v>-0</v>
      </c>
      <c r="E515" t="n">
        <v>-0</v>
      </c>
      <c r="F515" t="n">
        <v>-6792</v>
      </c>
      <c r="G515" t="n">
        <v>-73</v>
      </c>
      <c r="H515">
        <f>D515*F515</f>
        <v/>
      </c>
      <c r="I515">
        <f>E515*G515</f>
        <v/>
      </c>
      <c r="J515">
        <f>H515-I515</f>
        <v/>
      </c>
      <c r="K515" t="n">
        <v>0.07000000000000001</v>
      </c>
      <c r="L515" t="n">
        <v>-16344.70092773438</v>
      </c>
      <c r="M515" t="n">
        <v>16894.224609375</v>
      </c>
      <c r="N515">
        <f>-I515*K515/252</f>
        <v/>
      </c>
      <c r="O515" t="n">
        <v>0</v>
      </c>
      <c r="P515" t="n">
        <v>0</v>
      </c>
      <c r="Q515" t="n">
        <v>0.0432</v>
      </c>
      <c r="R515" t="n">
        <v>0</v>
      </c>
      <c r="S515" t="n">
        <v>549.5236816406195</v>
      </c>
    </row>
    <row r="516">
      <c r="A516" s="1" t="n">
        <v>44957</v>
      </c>
      <c r="B516" t="inlineStr">
        <is>
          <t>HIBL</t>
        </is>
      </c>
      <c r="C516" t="inlineStr">
        <is>
          <t>SPHB</t>
        </is>
      </c>
      <c r="D516" t="n">
        <v>70.5799560546875</v>
      </c>
      <c r="E516" t="n">
        <v>34.60771942138672</v>
      </c>
      <c r="F516" t="n">
        <v>6429</v>
      </c>
      <c r="G516" t="n">
        <v>-4351</v>
      </c>
      <c r="H516">
        <f>D516*F516</f>
        <v/>
      </c>
      <c r="I516">
        <f>E516*G516</f>
        <v/>
      </c>
      <c r="J516">
        <f>H516-I516</f>
        <v/>
      </c>
      <c r="K516" t="n">
        <v>0.12</v>
      </c>
      <c r="L516" t="n">
        <v>10215.85718536377</v>
      </c>
      <c r="M516" t="n">
        <v>-9718.761432647705</v>
      </c>
      <c r="N516">
        <f>-I516*K516/252</f>
        <v/>
      </c>
      <c r="O516" t="n">
        <v>0</v>
      </c>
      <c r="P516" t="n">
        <v>1412.150831325168</v>
      </c>
      <c r="Q516" t="n">
        <v>0.0432</v>
      </c>
      <c r="R516" t="n">
        <v>0</v>
      </c>
      <c r="S516" t="n">
        <v>568.7996513838996</v>
      </c>
    </row>
    <row r="517">
      <c r="A517" s="1" t="n">
        <v>44957</v>
      </c>
      <c r="B517" t="inlineStr">
        <is>
          <t>TSLL</t>
        </is>
      </c>
      <c r="C517" t="inlineStr">
        <is>
          <t>TSLA</t>
        </is>
      </c>
      <c r="D517" t="n">
        <v>173.2200012207031</v>
      </c>
      <c r="E517" t="n">
        <v>8.744603157043457</v>
      </c>
      <c r="F517" t="n">
        <v>11773</v>
      </c>
      <c r="G517" t="n">
        <v>-114993</v>
      </c>
      <c r="H517">
        <f>D517*F517</f>
        <v/>
      </c>
      <c r="I517">
        <f>E517*G517</f>
        <v/>
      </c>
      <c r="J517">
        <f>H517-I517</f>
        <v/>
      </c>
      <c r="K517" t="n">
        <v>0.01</v>
      </c>
      <c r="L517" t="n">
        <v>77230.85125732422</v>
      </c>
      <c r="M517" t="n">
        <v>-54758.91087055206</v>
      </c>
      <c r="N517">
        <f>-I517*K517/252</f>
        <v/>
      </c>
      <c r="O517" t="n">
        <v>0</v>
      </c>
      <c r="P517" t="n">
        <v>882.4765929769713</v>
      </c>
      <c r="Q517" t="n">
        <v>0.0432</v>
      </c>
      <c r="R517" t="n">
        <v>0</v>
      </c>
      <c r="S517" t="n">
        <v>22511.84388482128</v>
      </c>
    </row>
    <row r="518">
      <c r="A518" s="1" t="n">
        <v>44957</v>
      </c>
      <c r="B518" t="inlineStr">
        <is>
          <t>TSLQ</t>
        </is>
      </c>
      <c r="C518" t="inlineStr">
        <is>
          <t>TSLA</t>
        </is>
      </c>
      <c r="D518" t="n">
        <v>-0</v>
      </c>
      <c r="E518" t="n">
        <v>-0</v>
      </c>
      <c r="F518" t="n">
        <v>-4374</v>
      </c>
      <c r="G518" t="n">
        <v>-594</v>
      </c>
      <c r="H518">
        <f>D518*F518</f>
        <v/>
      </c>
      <c r="I518">
        <f>E518*G518</f>
        <v/>
      </c>
      <c r="J518">
        <f>H518-I518</f>
        <v/>
      </c>
      <c r="K518" t="n">
        <v>-0.02</v>
      </c>
      <c r="L518" t="n">
        <v>-28693.42932128906</v>
      </c>
      <c r="M518" t="n">
        <v>16612.857421875</v>
      </c>
      <c r="N518">
        <f>-I518*K518/252</f>
        <v/>
      </c>
      <c r="O518" t="n">
        <v>0</v>
      </c>
      <c r="P518" t="n">
        <v>0</v>
      </c>
      <c r="Q518" t="n">
        <v>0.0432</v>
      </c>
      <c r="R518" t="n">
        <v>0</v>
      </c>
      <c r="S518" t="n">
        <v>-12080.57189941406</v>
      </c>
    </row>
    <row r="519">
      <c r="A519" s="1" t="n">
        <v>44957</v>
      </c>
      <c r="B519" t="inlineStr">
        <is>
          <t>LABU</t>
        </is>
      </c>
      <c r="C519" t="inlineStr">
        <is>
          <t>XBI</t>
        </is>
      </c>
      <c r="D519" t="n">
        <v>88.42552947998047</v>
      </c>
      <c r="E519" t="n">
        <v>164.0130157470703</v>
      </c>
      <c r="F519" t="n">
        <v>3537</v>
      </c>
      <c r="G519" t="n">
        <v>-630</v>
      </c>
      <c r="H519">
        <f>D519*F519</f>
        <v/>
      </c>
      <c r="I519">
        <f>E519*G519</f>
        <v/>
      </c>
      <c r="J519">
        <f>H519-I519</f>
        <v/>
      </c>
      <c r="K519" t="n">
        <v>0.1</v>
      </c>
      <c r="L519" t="n">
        <v>6332.609481811523</v>
      </c>
      <c r="M519" t="n">
        <v>-5939.828338623047</v>
      </c>
      <c r="N519">
        <f>-I519*K519/252</f>
        <v/>
      </c>
      <c r="O519" t="n">
        <v>0</v>
      </c>
      <c r="P519" t="n">
        <v>783.6179178268192</v>
      </c>
      <c r="Q519" t="n">
        <v>0.0432</v>
      </c>
      <c r="R519" t="n">
        <v>0</v>
      </c>
      <c r="S519" t="n">
        <v>433.7843971252441</v>
      </c>
    </row>
    <row r="520">
      <c r="A520" s="1" t="n">
        <v>44957</v>
      </c>
      <c r="B520" t="inlineStr">
        <is>
          <t>ERX</t>
        </is>
      </c>
      <c r="C520" t="inlineStr">
        <is>
          <t>XLE</t>
        </is>
      </c>
      <c r="D520" t="n">
        <v>40.35947036743164</v>
      </c>
      <c r="E520" t="n">
        <v>63.6496467590332</v>
      </c>
      <c r="F520" t="n">
        <v>1969</v>
      </c>
      <c r="G520" t="n">
        <v>-617</v>
      </c>
      <c r="H520">
        <f>D520*F520</f>
        <v/>
      </c>
      <c r="I520">
        <f>E520*G520</f>
        <v/>
      </c>
      <c r="J520">
        <f>H520-I520</f>
        <v/>
      </c>
      <c r="K520" t="n">
        <v>0.12</v>
      </c>
      <c r="L520" t="n">
        <v>698.1002731323242</v>
      </c>
      <c r="M520" t="n">
        <v>-570.5480041503906</v>
      </c>
      <c r="N520">
        <f>-I520*K520/252</f>
        <v/>
      </c>
      <c r="O520" t="n">
        <v>0</v>
      </c>
      <c r="P520" t="n">
        <v>361.1582722763788</v>
      </c>
      <c r="Q520" t="n">
        <v>0.0432</v>
      </c>
      <c r="R520" t="n">
        <v>0</v>
      </c>
      <c r="S520" t="n">
        <v>146.2531413868495</v>
      </c>
    </row>
    <row r="521">
      <c r="A521" s="1" t="n">
        <v>44957</v>
      </c>
      <c r="B521" t="inlineStr">
        <is>
          <t>GUSH</t>
        </is>
      </c>
      <c r="C521" t="inlineStr">
        <is>
          <t>XOP</t>
        </is>
      </c>
      <c r="D521" t="n">
        <v>130.0554809570312</v>
      </c>
      <c r="E521" t="n">
        <v>35.57609558105469</v>
      </c>
      <c r="F521" t="n">
        <v>3135</v>
      </c>
      <c r="G521" t="n">
        <v>-5607</v>
      </c>
      <c r="H521">
        <f>D521*F521</f>
        <v/>
      </c>
      <c r="I521">
        <f>E521*G521</f>
        <v/>
      </c>
      <c r="J521">
        <f>H521-I521</f>
        <v/>
      </c>
      <c r="K521" t="n">
        <v>-0.01</v>
      </c>
      <c r="L521" t="n">
        <v>6189.443664550781</v>
      </c>
      <c r="M521" t="n">
        <v>-6096.294937133789</v>
      </c>
      <c r="N521">
        <f>-I521*K521/252</f>
        <v/>
      </c>
      <c r="O521" t="n">
        <v>0</v>
      </c>
      <c r="P521" t="n">
        <v>-156.3743238252307</v>
      </c>
      <c r="Q521" t="n">
        <v>0.0432</v>
      </c>
      <c r="R521" t="n">
        <v>0</v>
      </c>
      <c r="S521" t="n">
        <v>85.23304615020751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AAPL Price</t>
        </is>
      </c>
      <c r="E1" t="inlineStr">
        <is>
          <t>AAPB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AAPB</t>
        </is>
      </c>
      <c r="C2" t="inlineStr">
        <is>
          <t>AAPL</t>
        </is>
      </c>
      <c r="D2" t="n">
        <v>123.0960159301758</v>
      </c>
      <c r="E2" t="n">
        <v>11.66390609741211</v>
      </c>
      <c r="F2" t="n">
        <v>9028</v>
      </c>
      <c r="G2" t="n">
        <v>-47878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AAPB</t>
        </is>
      </c>
      <c r="C3" t="inlineStr">
        <is>
          <t>AAPL</t>
        </is>
      </c>
      <c r="D3" t="n">
        <v>124.3656616210938</v>
      </c>
      <c r="E3" t="n">
        <v>11.82626438140869</v>
      </c>
      <c r="F3" t="n">
        <v>9028</v>
      </c>
      <c r="G3" t="n">
        <v>-47878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AAPB</t>
        </is>
      </c>
      <c r="C4" t="inlineStr">
        <is>
          <t>AAPL</t>
        </is>
      </c>
      <c r="D4" t="n">
        <v>123.0468139648438</v>
      </c>
      <c r="E4" t="n">
        <v>11.64209747314453</v>
      </c>
      <c r="F4" t="n">
        <v>9028</v>
      </c>
      <c r="G4" t="n">
        <v>-47878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-11906.556640625</v>
      </c>
      <c r="M4" t="n">
        <v>8817.54323387146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AAPB</t>
        </is>
      </c>
      <c r="C5" t="inlineStr">
        <is>
          <t>AAPL</t>
        </is>
      </c>
      <c r="D5" t="n">
        <v>127.5741882324219</v>
      </c>
      <c r="E5" t="n">
        <v>12.35453319549561</v>
      </c>
      <c r="F5" t="n">
        <v>9028</v>
      </c>
      <c r="G5" t="n">
        <v>-47878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40873.13488769531</v>
      </c>
      <c r="M5" t="n">
        <v>-34109.99751472473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AAPB</t>
        </is>
      </c>
      <c r="C6" t="inlineStr">
        <is>
          <t>AAPL</t>
        </is>
      </c>
      <c r="D6" t="n">
        <v>128.0958404541016</v>
      </c>
      <c r="E6" t="n">
        <v>12.46357917785645</v>
      </c>
      <c r="F6" t="n">
        <v>9028</v>
      </c>
      <c r="G6" t="n">
        <v>-47878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4709.476257324219</v>
      </c>
      <c r="M6" t="n">
        <v>-5220.90354347229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AAPB</t>
        </is>
      </c>
      <c r="C7" t="inlineStr">
        <is>
          <t>AAPL</t>
        </is>
      </c>
      <c r="D7" t="n">
        <v>128.6667175292969</v>
      </c>
      <c r="E7" t="n">
        <v>12.5685863494873</v>
      </c>
      <c r="F7" t="n">
        <v>9028</v>
      </c>
      <c r="G7" t="n">
        <v>-47878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5153.878234863281</v>
      </c>
      <c r="M7" t="n">
        <v>-5027.533363342285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AAPB</t>
        </is>
      </c>
      <c r="C8" t="inlineStr">
        <is>
          <t>AAPL</t>
        </is>
      </c>
      <c r="D8" t="n">
        <v>131.3831634521484</v>
      </c>
      <c r="E8" t="n">
        <v>12.97246074676514</v>
      </c>
      <c r="F8" t="n">
        <v>9028</v>
      </c>
      <c r="G8" t="n">
        <v>-47878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24524.07379150391</v>
      </c>
      <c r="M8" t="n">
        <v>-19336.69839286804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AAPB</t>
        </is>
      </c>
      <c r="C9" t="inlineStr">
        <is>
          <t>AAPL</t>
        </is>
      </c>
      <c r="D9" t="n">
        <v>131.3044128417969</v>
      </c>
      <c r="E9" t="n">
        <v>12.98376941680908</v>
      </c>
      <c r="F9" t="n">
        <v>9028</v>
      </c>
      <c r="G9" t="n">
        <v>-47878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-710.9605102539062</v>
      </c>
      <c r="M9" t="n">
        <v>-541.4365043640137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AAPB</t>
        </is>
      </c>
      <c r="C10" t="inlineStr">
        <is>
          <t>AAPL</t>
        </is>
      </c>
      <c r="D10" t="n">
        <v>132.6330718994141</v>
      </c>
      <c r="E10" t="n">
        <v>13.19863128662109</v>
      </c>
      <c r="F10" t="n">
        <v>9028</v>
      </c>
      <c r="G10" t="n">
        <v>-47878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11995.13397216797</v>
      </c>
      <c r="M10" t="n">
        <v>-10287.1566028595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AAPB</t>
        </is>
      </c>
      <c r="C11" t="inlineStr">
        <is>
          <t>AAPL</t>
        </is>
      </c>
      <c r="D11" t="n">
        <v>133.7944488525391</v>
      </c>
      <c r="E11" t="n">
        <v>13.38441371917725</v>
      </c>
      <c r="F11" t="n">
        <v>9057</v>
      </c>
      <c r="G11" t="n">
        <v>-45734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10518.59106445312</v>
      </c>
      <c r="M11" t="n">
        <v>-8496.573770523071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AAPB</t>
        </is>
      </c>
      <c r="C12" t="inlineStr">
        <is>
          <t>AAPL</t>
        </is>
      </c>
      <c r="D12" t="n">
        <v>133.0759735107422</v>
      </c>
      <c r="E12" t="n">
        <v>13.27940654754639</v>
      </c>
      <c r="F12" t="n">
        <v>9057</v>
      </c>
      <c r="G12" t="n">
        <v>-45734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-6507.231170654297</v>
      </c>
      <c r="M12" t="n">
        <v>4802.397987365723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AAPB</t>
        </is>
      </c>
      <c r="C13" t="inlineStr">
        <is>
          <t>AAPL</t>
        </is>
      </c>
      <c r="D13" t="n">
        <v>133.1350402832031</v>
      </c>
      <c r="E13" t="n">
        <v>13.26728916168213</v>
      </c>
      <c r="F13" t="n">
        <v>9057</v>
      </c>
      <c r="G13" t="n">
        <v>-45734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534.9677581787109</v>
      </c>
      <c r="M13" t="n">
        <v>554.1765251159668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AAPB</t>
        </is>
      </c>
      <c r="C14" t="inlineStr">
        <is>
          <t>AAPL</t>
        </is>
      </c>
      <c r="D14" t="n">
        <v>135.6940155029297</v>
      </c>
      <c r="E14" t="n">
        <v>13.68328094482422</v>
      </c>
      <c r="F14" t="n">
        <v>9057</v>
      </c>
      <c r="G14" t="n">
        <v>-45734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23176.63856506348</v>
      </c>
      <c r="M14" t="n">
        <v>-19024.96821022034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AAPB</t>
        </is>
      </c>
      <c r="C15" t="inlineStr">
        <is>
          <t>AAPL</t>
        </is>
      </c>
      <c r="D15" t="n">
        <v>138.8828887939453</v>
      </c>
      <c r="E15" t="n">
        <v>14.24062824249268</v>
      </c>
      <c r="F15" t="n">
        <v>9057</v>
      </c>
      <c r="G15" t="n">
        <v>-45734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28881.62539672852</v>
      </c>
      <c r="M15" t="n">
        <v>-25489.72131156921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AAPB</t>
        </is>
      </c>
      <c r="C16" t="inlineStr">
        <is>
          <t>AAPL</t>
        </is>
      </c>
      <c r="D16" t="n">
        <v>140.2804565429688</v>
      </c>
      <c r="E16" t="n">
        <v>14.52334117889404</v>
      </c>
      <c r="F16" t="n">
        <v>9057</v>
      </c>
      <c r="G16" t="n">
        <v>-45734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12657.77110290527</v>
      </c>
      <c r="M16" t="n">
        <v>-12929.59343338013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AAPB</t>
        </is>
      </c>
      <c r="C17" t="inlineStr">
        <is>
          <t>AAPL</t>
        </is>
      </c>
      <c r="D17" t="n">
        <v>139.6210174560547</v>
      </c>
      <c r="E17" t="n">
        <v>14.38036918640137</v>
      </c>
      <c r="F17" t="n">
        <v>9057</v>
      </c>
      <c r="G17" t="n">
        <v>-45734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-5972.539810180664</v>
      </c>
      <c r="M17" t="n">
        <v>6538.681104660034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AAPB</t>
        </is>
      </c>
      <c r="C18" t="inlineStr">
        <is>
          <t>AAPL</t>
        </is>
      </c>
      <c r="D18" t="n">
        <v>141.6878662109375</v>
      </c>
      <c r="E18" t="n">
        <v>14.75516510009766</v>
      </c>
      <c r="F18" t="n">
        <v>9057</v>
      </c>
      <c r="G18" t="n">
        <v>-45734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18719.44917297363</v>
      </c>
      <c r="M18" t="n">
        <v>-17140.91631698608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AAPB</t>
        </is>
      </c>
      <c r="C19" t="inlineStr">
        <is>
          <t>AAPL</t>
        </is>
      </c>
      <c r="D19" t="n">
        <v>143.6267700195312</v>
      </c>
      <c r="E19" t="n">
        <v>15.10168933868408</v>
      </c>
      <c r="F19" t="n">
        <v>9057</v>
      </c>
      <c r="G19" t="n">
        <v>-45734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17560.65179443359</v>
      </c>
      <c r="M19" t="n">
        <v>-15847.9395275116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AAPB</t>
        </is>
      </c>
      <c r="C20" t="inlineStr">
        <is>
          <t>AAPL</t>
        </is>
      </c>
      <c r="D20" t="n">
        <v>140.7430419921875</v>
      </c>
      <c r="E20" t="n">
        <v>14.59603786468506</v>
      </c>
      <c r="F20" t="n">
        <v>8874</v>
      </c>
      <c r="G20" t="n">
        <v>-42412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-25590.20251464844</v>
      </c>
      <c r="M20" t="n">
        <v>21445.69031524658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AAPB</t>
        </is>
      </c>
      <c r="C21" t="inlineStr">
        <is>
          <t>AAPL</t>
        </is>
      </c>
      <c r="D21" t="n">
        <v>142.0126495361328</v>
      </c>
      <c r="E21" t="n">
        <v>14.78181934356689</v>
      </c>
      <c r="F21" t="n">
        <v>8874</v>
      </c>
      <c r="G21" t="n">
        <v>-42412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11266.4973449707</v>
      </c>
      <c r="M21" t="n">
        <v>-7879.364082336426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AAPL Price</t>
        </is>
      </c>
      <c r="E1" t="inlineStr">
        <is>
          <t>AAPU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AAPU</t>
        </is>
      </c>
      <c r="C2" t="inlineStr">
        <is>
          <t>AAPL</t>
        </is>
      </c>
      <c r="D2" t="n">
        <v>123.0960159301758</v>
      </c>
      <c r="E2" t="n">
        <v>12.15152454376221</v>
      </c>
      <c r="F2" t="n">
        <v>7633</v>
      </c>
      <c r="G2" t="n">
        <v>-38936</v>
      </c>
      <c r="H2">
        <f>D2*F2</f>
        <v/>
      </c>
      <c r="I2">
        <f>E2*G2</f>
        <v/>
      </c>
      <c r="J2">
        <f>H2-I2</f>
        <v/>
      </c>
      <c r="K2" t="n">
        <v>0.02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AAPU</t>
        </is>
      </c>
      <c r="C3" t="inlineStr">
        <is>
          <t>AAPL</t>
        </is>
      </c>
      <c r="D3" t="n">
        <v>124.3656616210938</v>
      </c>
      <c r="E3" t="n">
        <v>12.34465026855469</v>
      </c>
      <c r="F3" t="n">
        <v>7633</v>
      </c>
      <c r="G3" t="n">
        <v>-38936</v>
      </c>
      <c r="H3">
        <f>D3*F3</f>
        <v/>
      </c>
      <c r="I3">
        <f>E3*G3</f>
        <v/>
      </c>
      <c r="J3">
        <f>H3-I3</f>
        <v/>
      </c>
      <c r="K3" t="n">
        <v>0.02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AAPU</t>
        </is>
      </c>
      <c r="C4" t="inlineStr">
        <is>
          <t>AAPL</t>
        </is>
      </c>
      <c r="D4" t="n">
        <v>123.0468139648438</v>
      </c>
      <c r="E4" t="n">
        <v>12.14379787445068</v>
      </c>
      <c r="F4" t="n">
        <v>7633</v>
      </c>
      <c r="G4" t="n">
        <v>-38936</v>
      </c>
      <c r="H4">
        <f>D4*F4</f>
        <v/>
      </c>
      <c r="I4">
        <f>E4*G4</f>
        <v/>
      </c>
      <c r="J4">
        <f>H4-I4</f>
        <v/>
      </c>
      <c r="K4" t="n">
        <v>0.02</v>
      </c>
      <c r="L4" t="n">
        <v>-10066.76416015625</v>
      </c>
      <c r="M4" t="n">
        <v>7820.388816833496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AAPU</t>
        </is>
      </c>
      <c r="C5" t="inlineStr">
        <is>
          <t>AAPL</t>
        </is>
      </c>
      <c r="D5" t="n">
        <v>127.5741882324219</v>
      </c>
      <c r="E5" t="n">
        <v>12.78497886657715</v>
      </c>
      <c r="F5" t="n">
        <v>7633</v>
      </c>
      <c r="G5" t="n">
        <v>-38936</v>
      </c>
      <c r="H5">
        <f>D5*F5</f>
        <v/>
      </c>
      <c r="I5">
        <f>E5*G5</f>
        <v/>
      </c>
      <c r="J5">
        <f>H5-I5</f>
        <v/>
      </c>
      <c r="K5" t="n">
        <v>0.02</v>
      </c>
      <c r="L5" t="n">
        <v>34557.44778442383</v>
      </c>
      <c r="M5" t="n">
        <v>-24965.02310943604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AAPU</t>
        </is>
      </c>
      <c r="C6" t="inlineStr">
        <is>
          <t>AAPL</t>
        </is>
      </c>
      <c r="D6" t="n">
        <v>128.0958404541016</v>
      </c>
      <c r="E6" t="n">
        <v>12.87767791748047</v>
      </c>
      <c r="F6" t="n">
        <v>7633</v>
      </c>
      <c r="G6" t="n">
        <v>-38936</v>
      </c>
      <c r="H6">
        <f>D6*F6</f>
        <v/>
      </c>
      <c r="I6">
        <f>E6*G6</f>
        <v/>
      </c>
      <c r="J6">
        <f>H6-I6</f>
        <v/>
      </c>
      <c r="K6" t="n">
        <v>0.02</v>
      </c>
      <c r="L6" t="n">
        <v>3981.771408081055</v>
      </c>
      <c r="M6" t="n">
        <v>-3609.33024597168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AAPU</t>
        </is>
      </c>
      <c r="C7" t="inlineStr">
        <is>
          <t>AAPL</t>
        </is>
      </c>
      <c r="D7" t="n">
        <v>128.6667175292969</v>
      </c>
      <c r="E7" t="n">
        <v>12.97037982940674</v>
      </c>
      <c r="F7" t="n">
        <v>7633</v>
      </c>
      <c r="G7" t="n">
        <v>-38936</v>
      </c>
      <c r="H7">
        <f>D7*F7</f>
        <v/>
      </c>
      <c r="I7">
        <f>E7*G7</f>
        <v/>
      </c>
      <c r="J7">
        <f>H7-I7</f>
        <v/>
      </c>
      <c r="K7" t="n">
        <v>0.02</v>
      </c>
      <c r="L7" t="n">
        <v>4357.50471496582</v>
      </c>
      <c r="M7" t="n">
        <v>-3609.44164276123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AAPU</t>
        </is>
      </c>
      <c r="C8" t="inlineStr">
        <is>
          <t>AAPL</t>
        </is>
      </c>
      <c r="D8" t="n">
        <v>131.3831634521484</v>
      </c>
      <c r="E8" t="n">
        <v>13.35663414001465</v>
      </c>
      <c r="F8" t="n">
        <v>7633</v>
      </c>
      <c r="G8" t="n">
        <v>-38936</v>
      </c>
      <c r="H8">
        <f>D8*F8</f>
        <v/>
      </c>
      <c r="I8">
        <f>E8*G8</f>
        <v/>
      </c>
      <c r="J8">
        <f>H8-I8</f>
        <v/>
      </c>
      <c r="K8" t="n">
        <v>0.02</v>
      </c>
      <c r="L8" t="n">
        <v>20734.63172912598</v>
      </c>
      <c r="M8" t="n">
        <v>-15039.19783782959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AAPU</t>
        </is>
      </c>
      <c r="C9" t="inlineStr">
        <is>
          <t>AAPL</t>
        </is>
      </c>
      <c r="D9" t="n">
        <v>131.3044128417969</v>
      </c>
      <c r="E9" t="n">
        <v>13.35663414001465</v>
      </c>
      <c r="F9" t="n">
        <v>7633</v>
      </c>
      <c r="G9" t="n">
        <v>-38936</v>
      </c>
      <c r="H9">
        <f>D9*F9</f>
        <v/>
      </c>
      <c r="I9">
        <f>E9*G9</f>
        <v/>
      </c>
      <c r="J9">
        <f>H9-I9</f>
        <v/>
      </c>
      <c r="K9" t="n">
        <v>0.02</v>
      </c>
      <c r="L9" t="n">
        <v>-601.1034088134766</v>
      </c>
      <c r="M9" t="n">
        <v>0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AAPU</t>
        </is>
      </c>
      <c r="C10" t="inlineStr">
        <is>
          <t>AAPL</t>
        </is>
      </c>
      <c r="D10" t="n">
        <v>132.6330718994141</v>
      </c>
      <c r="E10" t="n">
        <v>13.51885986328125</v>
      </c>
      <c r="F10" t="n">
        <v>7633</v>
      </c>
      <c r="G10" t="n">
        <v>-38936</v>
      </c>
      <c r="H10">
        <f>D10*F10</f>
        <v/>
      </c>
      <c r="I10">
        <f>E10*G10</f>
        <v/>
      </c>
      <c r="J10">
        <f>H10-I10</f>
        <v/>
      </c>
      <c r="K10" t="n">
        <v>0.02</v>
      </c>
      <c r="L10" t="n">
        <v>10141.65458679199</v>
      </c>
      <c r="M10" t="n">
        <v>-6316.420761108398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AAPU</t>
        </is>
      </c>
      <c r="C11" t="inlineStr">
        <is>
          <t>AAPL</t>
        </is>
      </c>
      <c r="D11" t="n">
        <v>133.7944488525391</v>
      </c>
      <c r="E11" t="n">
        <v>13.71971225738525</v>
      </c>
      <c r="F11" t="n">
        <v>7658</v>
      </c>
      <c r="G11" t="n">
        <v>-37829</v>
      </c>
      <c r="H11">
        <f>D11*F11</f>
        <v/>
      </c>
      <c r="I11">
        <f>E11*G11</f>
        <v/>
      </c>
      <c r="J11">
        <f>H11-I11</f>
        <v/>
      </c>
      <c r="K11" t="n">
        <v>0.02</v>
      </c>
      <c r="L11" t="n">
        <v>8893.82470703125</v>
      </c>
      <c r="M11" t="n">
        <v>-7598.045216560364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AAPU</t>
        </is>
      </c>
      <c r="C12" t="inlineStr">
        <is>
          <t>AAPL</t>
        </is>
      </c>
      <c r="D12" t="n">
        <v>133.0759735107422</v>
      </c>
      <c r="E12" t="n">
        <v>13.59611034393311</v>
      </c>
      <c r="F12" t="n">
        <v>7658</v>
      </c>
      <c r="G12" t="n">
        <v>-37829</v>
      </c>
      <c r="H12">
        <f>D12*F12</f>
        <v/>
      </c>
      <c r="I12">
        <f>E12*G12</f>
        <v/>
      </c>
      <c r="J12">
        <f>H12-I12</f>
        <v/>
      </c>
      <c r="K12" t="n">
        <v>0.02</v>
      </c>
      <c r="L12" t="n">
        <v>-5502.084167480469</v>
      </c>
      <c r="M12" t="n">
        <v>4675.736783981323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AAPU</t>
        </is>
      </c>
      <c r="C13" t="inlineStr">
        <is>
          <t>AAPL</t>
        </is>
      </c>
      <c r="D13" t="n">
        <v>133.1350402832031</v>
      </c>
      <c r="E13" t="n">
        <v>13.61928558349609</v>
      </c>
      <c r="F13" t="n">
        <v>7658</v>
      </c>
      <c r="G13" t="n">
        <v>-37829</v>
      </c>
      <c r="H13">
        <f>D13*F13</f>
        <v/>
      </c>
      <c r="I13">
        <f>E13*G13</f>
        <v/>
      </c>
      <c r="J13">
        <f>H13-I13</f>
        <v/>
      </c>
      <c r="K13" t="n">
        <v>0.02</v>
      </c>
      <c r="L13" t="n">
        <v>452.3333435058594</v>
      </c>
      <c r="M13" t="n">
        <v>-876.6961374282837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AAPU</t>
        </is>
      </c>
      <c r="C14" t="inlineStr">
        <is>
          <t>AAPL</t>
        </is>
      </c>
      <c r="D14" t="n">
        <v>135.6940155029297</v>
      </c>
      <c r="E14" t="n">
        <v>14.01326274871826</v>
      </c>
      <c r="F14" t="n">
        <v>7658</v>
      </c>
      <c r="G14" t="n">
        <v>-37829</v>
      </c>
      <c r="H14">
        <f>D14*F14</f>
        <v/>
      </c>
      <c r="I14">
        <f>E14*G14</f>
        <v/>
      </c>
      <c r="J14">
        <f>H14-I14</f>
        <v/>
      </c>
      <c r="K14" t="n">
        <v>0.02</v>
      </c>
      <c r="L14" t="n">
        <v>19596.63223266602</v>
      </c>
      <c r="M14" t="n">
        <v>-14903.76218318939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AAPU</t>
        </is>
      </c>
      <c r="C15" t="inlineStr">
        <is>
          <t>AAPL</t>
        </is>
      </c>
      <c r="D15" t="n">
        <v>138.8828887939453</v>
      </c>
      <c r="E15" t="n">
        <v>14.46903991699219</v>
      </c>
      <c r="F15" t="n">
        <v>7658</v>
      </c>
      <c r="G15" t="n">
        <v>-37829</v>
      </c>
      <c r="H15">
        <f>D15*F15</f>
        <v/>
      </c>
      <c r="I15">
        <f>E15*G15</f>
        <v/>
      </c>
      <c r="J15">
        <f>H15-I15</f>
        <v/>
      </c>
      <c r="K15" t="n">
        <v>0.02</v>
      </c>
      <c r="L15" t="n">
        <v>24420.39166259766</v>
      </c>
      <c r="M15" t="n">
        <v>-17241.59449863434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AAPU</t>
        </is>
      </c>
      <c r="C16" t="inlineStr">
        <is>
          <t>AAPL</t>
        </is>
      </c>
      <c r="D16" t="n">
        <v>140.2804565429688</v>
      </c>
      <c r="E16" t="n">
        <v>14.72396850585938</v>
      </c>
      <c r="F16" t="n">
        <v>7658</v>
      </c>
      <c r="G16" t="n">
        <v>-37829</v>
      </c>
      <c r="H16">
        <f>D16*F16</f>
        <v/>
      </c>
      <c r="I16">
        <f>E16*G16</f>
        <v/>
      </c>
      <c r="J16">
        <f>H16-I16</f>
        <v/>
      </c>
      <c r="K16" t="n">
        <v>0.02</v>
      </c>
      <c r="L16" t="n">
        <v>10702.57382202148</v>
      </c>
      <c r="M16" t="n">
        <v>-9643.693588256836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AAPU</t>
        </is>
      </c>
      <c r="C17" t="inlineStr">
        <is>
          <t>AAPL</t>
        </is>
      </c>
      <c r="D17" t="n">
        <v>139.6210174560547</v>
      </c>
      <c r="E17" t="n">
        <v>14.5694694519043</v>
      </c>
      <c r="F17" t="n">
        <v>7658</v>
      </c>
      <c r="G17" t="n">
        <v>-37829</v>
      </c>
      <c r="H17">
        <f>D17*F17</f>
        <v/>
      </c>
      <c r="I17">
        <f>E17*G17</f>
        <v/>
      </c>
      <c r="J17">
        <f>H17-I17</f>
        <v/>
      </c>
      <c r="K17" t="n">
        <v>0.02</v>
      </c>
      <c r="L17" t="n">
        <v>-5049.984527587891</v>
      </c>
      <c r="M17" t="n">
        <v>5844.54471206665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AAPU</t>
        </is>
      </c>
      <c r="C18" t="inlineStr">
        <is>
          <t>AAPL</t>
        </is>
      </c>
      <c r="D18" t="n">
        <v>141.6878662109375</v>
      </c>
      <c r="E18" t="n">
        <v>14.90164566040039</v>
      </c>
      <c r="F18" t="n">
        <v>7658</v>
      </c>
      <c r="G18" t="n">
        <v>-37829</v>
      </c>
      <c r="H18">
        <f>D18*F18</f>
        <v/>
      </c>
      <c r="I18">
        <f>E18*G18</f>
        <v/>
      </c>
      <c r="J18">
        <f>H18-I18</f>
        <v/>
      </c>
      <c r="K18" t="n">
        <v>0.02</v>
      </c>
      <c r="L18" t="n">
        <v>15827.92776489258</v>
      </c>
      <c r="M18" t="n">
        <v>-12565.89379119873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AAPU</t>
        </is>
      </c>
      <c r="C19" t="inlineStr">
        <is>
          <t>AAPL</t>
        </is>
      </c>
      <c r="D19" t="n">
        <v>143.6267700195312</v>
      </c>
      <c r="E19" t="n">
        <v>15.20292282104492</v>
      </c>
      <c r="F19" t="n">
        <v>7658</v>
      </c>
      <c r="G19" t="n">
        <v>-37829</v>
      </c>
      <c r="H19">
        <f>D19*F19</f>
        <v/>
      </c>
      <c r="I19">
        <f>E19*G19</f>
        <v/>
      </c>
      <c r="J19">
        <f>H19-I19</f>
        <v/>
      </c>
      <c r="K19" t="n">
        <v>0.02</v>
      </c>
      <c r="L19" t="n">
        <v>14848.12536621094</v>
      </c>
      <c r="M19" t="n">
        <v>-11397.01371002197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AAPU</t>
        </is>
      </c>
      <c r="C20" t="inlineStr">
        <is>
          <t>AAPL</t>
        </is>
      </c>
      <c r="D20" t="n">
        <v>140.7430419921875</v>
      </c>
      <c r="E20" t="n">
        <v>14.7548713684082</v>
      </c>
      <c r="F20" t="n">
        <v>7503</v>
      </c>
      <c r="G20" t="n">
        <v>-35693</v>
      </c>
      <c r="H20">
        <f>D20*F20</f>
        <v/>
      </c>
      <c r="I20">
        <f>E20*G20</f>
        <v/>
      </c>
      <c r="J20">
        <f>H20-I20</f>
        <v/>
      </c>
      <c r="K20" t="n">
        <v>0.02</v>
      </c>
      <c r="L20" t="n">
        <v>-21636.61138916016</v>
      </c>
      <c r="M20" t="n">
        <v>15992.3004989624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AAPU</t>
        </is>
      </c>
      <c r="C21" t="inlineStr">
        <is>
          <t>AAPL</t>
        </is>
      </c>
      <c r="D21" t="n">
        <v>142.0126495361328</v>
      </c>
      <c r="E21" t="n">
        <v>14.96344661712646</v>
      </c>
      <c r="F21" t="n">
        <v>7503</v>
      </c>
      <c r="G21" t="n">
        <v>-35693</v>
      </c>
      <c r="H21">
        <f>D21*F21</f>
        <v/>
      </c>
      <c r="I21">
        <f>E21*G21</f>
        <v/>
      </c>
      <c r="J21">
        <f>H21-I21</f>
        <v/>
      </c>
      <c r="K21" t="n">
        <v>0.02</v>
      </c>
      <c r="L21" t="n">
        <v>9525.86540222168</v>
      </c>
      <c r="M21" t="n">
        <v>-7444.676352500916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AMZN Price</t>
        </is>
      </c>
      <c r="E1" t="inlineStr">
        <is>
          <t>AMZU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AMZU</t>
        </is>
      </c>
      <c r="C2" t="inlineStr">
        <is>
          <t>AMZN</t>
        </is>
      </c>
      <c r="D2" t="n">
        <v>85.81999969482422</v>
      </c>
      <c r="E2" t="n">
        <v>11.52647018432617</v>
      </c>
      <c r="F2" t="n">
        <v>27599</v>
      </c>
      <c r="G2" t="n">
        <v>-103312</v>
      </c>
      <c r="H2">
        <f>D2*F2</f>
        <v/>
      </c>
      <c r="I2">
        <f>E2*G2</f>
        <v/>
      </c>
      <c r="J2">
        <f>H2-I2</f>
        <v/>
      </c>
      <c r="K2" t="n">
        <v>-0.0025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AMZU</t>
        </is>
      </c>
      <c r="C3" t="inlineStr">
        <is>
          <t>AMZN</t>
        </is>
      </c>
      <c r="D3" t="n">
        <v>85.13999938964844</v>
      </c>
      <c r="E3" t="n">
        <v>11.3672924041748</v>
      </c>
      <c r="F3" t="n">
        <v>27599</v>
      </c>
      <c r="G3" t="n">
        <v>-103312</v>
      </c>
      <c r="H3">
        <f>D3*F3</f>
        <v/>
      </c>
      <c r="I3">
        <f>E3*G3</f>
        <v/>
      </c>
      <c r="J3">
        <f>H3-I3</f>
        <v/>
      </c>
      <c r="K3" t="n">
        <v>-0.0025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AMZU</t>
        </is>
      </c>
      <c r="C4" t="inlineStr">
        <is>
          <t>AMZN</t>
        </is>
      </c>
      <c r="D4" t="n">
        <v>83.12000274658203</v>
      </c>
      <c r="E4" t="n">
        <v>10.96935272216797</v>
      </c>
      <c r="F4" t="n">
        <v>27599</v>
      </c>
      <c r="G4" t="n">
        <v>-103312</v>
      </c>
      <c r="H4">
        <f>D4*F4</f>
        <v/>
      </c>
      <c r="I4">
        <f>E4*G4</f>
        <v/>
      </c>
      <c r="J4">
        <f>H4-I4</f>
        <v/>
      </c>
      <c r="K4" t="n">
        <v>-0.0025</v>
      </c>
      <c r="L4" t="n">
        <v>-55749.88735198975</v>
      </c>
      <c r="M4" t="n">
        <v>41111.94442749023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AMZU</t>
        </is>
      </c>
      <c r="C5" t="inlineStr">
        <is>
          <t>AMZN</t>
        </is>
      </c>
      <c r="D5" t="n">
        <v>86.08000183105469</v>
      </c>
      <c r="E5" t="n">
        <v>11.53771781921387</v>
      </c>
      <c r="F5" t="n">
        <v>27599</v>
      </c>
      <c r="G5" t="n">
        <v>-103312</v>
      </c>
      <c r="H5">
        <f>D5*F5</f>
        <v/>
      </c>
      <c r="I5">
        <f>E5*G5</f>
        <v/>
      </c>
      <c r="J5">
        <f>H5-I5</f>
        <v/>
      </c>
      <c r="K5" t="n">
        <v>-0.0025</v>
      </c>
      <c r="L5" t="n">
        <v>81693.01473236084</v>
      </c>
      <c r="M5" t="n">
        <v>-58718.93490600586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AMZU</t>
        </is>
      </c>
      <c r="C6" t="inlineStr">
        <is>
          <t>AMZN</t>
        </is>
      </c>
      <c r="D6" t="n">
        <v>87.36000061035156</v>
      </c>
      <c r="E6" t="n">
        <v>11.81714344024658</v>
      </c>
      <c r="F6" t="n">
        <v>27599</v>
      </c>
      <c r="G6" t="n">
        <v>-103312</v>
      </c>
      <c r="H6">
        <f>D6*F6</f>
        <v/>
      </c>
      <c r="I6">
        <f>E6*G6</f>
        <v/>
      </c>
      <c r="J6">
        <f>H6-I6</f>
        <v/>
      </c>
      <c r="K6" t="n">
        <v>-0.0025</v>
      </c>
      <c r="L6" t="n">
        <v>35326.68630981445</v>
      </c>
      <c r="M6" t="n">
        <v>-28868.01976013184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AMZU</t>
        </is>
      </c>
      <c r="C7" t="inlineStr">
        <is>
          <t>AMZN</t>
        </is>
      </c>
      <c r="D7" t="n">
        <v>89.87000274658203</v>
      </c>
      <c r="E7" t="n">
        <v>12.32754611968994</v>
      </c>
      <c r="F7" t="n">
        <v>27599</v>
      </c>
      <c r="G7" t="n">
        <v>-103312</v>
      </c>
      <c r="H7">
        <f>D7*F7</f>
        <v/>
      </c>
      <c r="I7">
        <f>E7*G7</f>
        <v/>
      </c>
      <c r="J7">
        <f>H7-I7</f>
        <v/>
      </c>
      <c r="K7" t="n">
        <v>-0.0025</v>
      </c>
      <c r="L7" t="n">
        <v>69273.54895782471</v>
      </c>
      <c r="M7" t="n">
        <v>-52730.72161865234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AMZU</t>
        </is>
      </c>
      <c r="C8" t="inlineStr">
        <is>
          <t>AMZN</t>
        </is>
      </c>
      <c r="D8" t="n">
        <v>95.08999633789062</v>
      </c>
      <c r="E8" t="n">
        <v>13.40025615692139</v>
      </c>
      <c r="F8" t="n">
        <v>27599</v>
      </c>
      <c r="G8" t="n">
        <v>-103312</v>
      </c>
      <c r="H8">
        <f>D8*F8</f>
        <v/>
      </c>
      <c r="I8">
        <f>E8*G8</f>
        <v/>
      </c>
      <c r="J8">
        <f>H8-I8</f>
        <v/>
      </c>
      <c r="K8" t="n">
        <v>-0.0025</v>
      </c>
      <c r="L8" t="n">
        <v>144066.6031265259</v>
      </c>
      <c r="M8" t="n">
        <v>-110823.8193664551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AMZU</t>
        </is>
      </c>
      <c r="C9" t="inlineStr">
        <is>
          <t>AMZN</t>
        </is>
      </c>
      <c r="D9" t="n">
        <v>95.26999664306641</v>
      </c>
      <c r="E9" t="n">
        <v>13.40977478027344</v>
      </c>
      <c r="F9" t="n">
        <v>27599</v>
      </c>
      <c r="G9" t="n">
        <v>-103312</v>
      </c>
      <c r="H9">
        <f>D9*F9</f>
        <v/>
      </c>
      <c r="I9">
        <f>E9*G9</f>
        <v/>
      </c>
      <c r="J9">
        <f>H9-I9</f>
        <v/>
      </c>
      <c r="K9" t="n">
        <v>-0.0025</v>
      </c>
      <c r="L9" t="n">
        <v>4967.828422546387</v>
      </c>
      <c r="M9" t="n">
        <v>-983.3880157470703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AMZU</t>
        </is>
      </c>
      <c r="C10" t="inlineStr">
        <is>
          <t>AMZN</t>
        </is>
      </c>
      <c r="D10" t="n">
        <v>98.12000274658203</v>
      </c>
      <c r="E10" t="n">
        <v>14.02312183380127</v>
      </c>
      <c r="F10" t="n">
        <v>27599</v>
      </c>
      <c r="G10" t="n">
        <v>-103312</v>
      </c>
      <c r="H10">
        <f>D10*F10</f>
        <v/>
      </c>
      <c r="I10">
        <f>E10*G10</f>
        <v/>
      </c>
      <c r="J10">
        <f>H10-I10</f>
        <v/>
      </c>
      <c r="K10" t="n">
        <v>-0.0025</v>
      </c>
      <c r="L10" t="n">
        <v>78657.31845092773</v>
      </c>
      <c r="M10" t="n">
        <v>-63366.11079406738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AMZU</t>
        </is>
      </c>
      <c r="C11" t="inlineStr">
        <is>
          <t>AMZN</t>
        </is>
      </c>
      <c r="D11" t="n">
        <v>96.05000305175781</v>
      </c>
      <c r="E11" t="n">
        <v>13.59057903289795</v>
      </c>
      <c r="F11" t="n">
        <v>26092</v>
      </c>
      <c r="G11" t="n">
        <v>-91789</v>
      </c>
      <c r="H11">
        <f>D11*F11</f>
        <v/>
      </c>
      <c r="I11">
        <f>E11*G11</f>
        <v/>
      </c>
      <c r="J11">
        <f>H11-I11</f>
        <v/>
      </c>
      <c r="K11" t="n">
        <v>-0.0025</v>
      </c>
      <c r="L11" t="n">
        <v>-54010.43203735352</v>
      </c>
      <c r="M11" t="n">
        <v>39702.67115211487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AMZU</t>
        </is>
      </c>
      <c r="C12" t="inlineStr">
        <is>
          <t>AMZN</t>
        </is>
      </c>
      <c r="D12" t="n">
        <v>95.45999908447266</v>
      </c>
      <c r="E12" t="n">
        <v>13.45216369628906</v>
      </c>
      <c r="F12" t="n">
        <v>26092</v>
      </c>
      <c r="G12" t="n">
        <v>-91789</v>
      </c>
      <c r="H12">
        <f>D12*F12</f>
        <v/>
      </c>
      <c r="I12">
        <f>E12*G12</f>
        <v/>
      </c>
      <c r="J12">
        <f>H12-I12</f>
        <v/>
      </c>
      <c r="K12" t="n">
        <v>-0.0025</v>
      </c>
      <c r="L12" t="n">
        <v>-15394.3835144043</v>
      </c>
      <c r="M12" t="n">
        <v>12705.0053319931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AMZU</t>
        </is>
      </c>
      <c r="C13" t="inlineStr">
        <is>
          <t>AMZN</t>
        </is>
      </c>
      <c r="D13" t="n">
        <v>93.68000030517578</v>
      </c>
      <c r="E13" t="n">
        <v>13.06633472442627</v>
      </c>
      <c r="F13" t="n">
        <v>26092</v>
      </c>
      <c r="G13" t="n">
        <v>-91789</v>
      </c>
      <c r="H13">
        <f>D13*F13</f>
        <v/>
      </c>
      <c r="I13">
        <f>E13*G13</f>
        <v/>
      </c>
      <c r="J13">
        <f>H13-I13</f>
        <v/>
      </c>
      <c r="K13" t="n">
        <v>-0.0025</v>
      </c>
      <c r="L13" t="n">
        <v>-46443.72814941406</v>
      </c>
      <c r="M13" t="n">
        <v>35414.8554983139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AMZU</t>
        </is>
      </c>
      <c r="C14" t="inlineStr">
        <is>
          <t>AMZN</t>
        </is>
      </c>
      <c r="D14" t="n">
        <v>97.25</v>
      </c>
      <c r="E14" t="n">
        <v>13.80685234069824</v>
      </c>
      <c r="F14" t="n">
        <v>26092</v>
      </c>
      <c r="G14" t="n">
        <v>-91789</v>
      </c>
      <c r="H14">
        <f>D14*F14</f>
        <v/>
      </c>
      <c r="I14">
        <f>E14*G14</f>
        <v/>
      </c>
      <c r="J14">
        <f>H14-I14</f>
        <v/>
      </c>
      <c r="K14" t="n">
        <v>-0.0025</v>
      </c>
      <c r="L14" t="n">
        <v>93148.43203735352</v>
      </c>
      <c r="M14" t="n">
        <v>-67971.3714799881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AMZU</t>
        </is>
      </c>
      <c r="C15" t="inlineStr">
        <is>
          <t>AMZN</t>
        </is>
      </c>
      <c r="D15" t="n">
        <v>97.51999664306641</v>
      </c>
      <c r="E15" t="n">
        <v>13.85269927978516</v>
      </c>
      <c r="F15" t="n">
        <v>26092</v>
      </c>
      <c r="G15" t="n">
        <v>-91789</v>
      </c>
      <c r="H15">
        <f>D15*F15</f>
        <v/>
      </c>
      <c r="I15">
        <f>E15*G15</f>
        <v/>
      </c>
      <c r="J15">
        <f>H15-I15</f>
        <v/>
      </c>
      <c r="K15" t="n">
        <v>-0.0025</v>
      </c>
      <c r="L15" t="n">
        <v>7044.752410888672</v>
      </c>
      <c r="M15" t="n">
        <v>-4208.244691848755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AMZU</t>
        </is>
      </c>
      <c r="C16" t="inlineStr">
        <is>
          <t>AMZN</t>
        </is>
      </c>
      <c r="D16" t="n">
        <v>96.31999969482422</v>
      </c>
      <c r="E16" t="n">
        <v>13.62518405914307</v>
      </c>
      <c r="F16" t="n">
        <v>26092</v>
      </c>
      <c r="G16" t="n">
        <v>-91789</v>
      </c>
      <c r="H16">
        <f>D16*F16</f>
        <v/>
      </c>
      <c r="I16">
        <f>E16*G16</f>
        <v/>
      </c>
      <c r="J16">
        <f>H16-I16</f>
        <v/>
      </c>
      <c r="K16" t="n">
        <v>-0.0025</v>
      </c>
      <c r="L16" t="n">
        <v>-31310.32037353516</v>
      </c>
      <c r="M16" t="n">
        <v>20883.39458751678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AMZU</t>
        </is>
      </c>
      <c r="C17" t="inlineStr">
        <is>
          <t>AMZN</t>
        </is>
      </c>
      <c r="D17" t="n">
        <v>97.18000030517578</v>
      </c>
      <c r="E17" t="n">
        <v>13.75840759277344</v>
      </c>
      <c r="F17" t="n">
        <v>26092</v>
      </c>
      <c r="G17" t="n">
        <v>-91789</v>
      </c>
      <c r="H17">
        <f>D17*F17</f>
        <v/>
      </c>
      <c r="I17">
        <f>E17*G17</f>
        <v/>
      </c>
      <c r="J17">
        <f>H17-I17</f>
        <v/>
      </c>
      <c r="K17" t="n">
        <v>-0.0025</v>
      </c>
      <c r="L17" t="n">
        <v>22439.13592529297</v>
      </c>
      <c r="M17" t="n">
        <v>-12228.45492839813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AMZU</t>
        </is>
      </c>
      <c r="C18" t="inlineStr">
        <is>
          <t>AMZN</t>
        </is>
      </c>
      <c r="D18" t="n">
        <v>99.22000122070312</v>
      </c>
      <c r="E18" t="n">
        <v>14.20479297637939</v>
      </c>
      <c r="F18" t="n">
        <v>26092</v>
      </c>
      <c r="G18" t="n">
        <v>-91789</v>
      </c>
      <c r="H18">
        <f>D18*F18</f>
        <v/>
      </c>
      <c r="I18">
        <f>E18*G18</f>
        <v/>
      </c>
      <c r="J18">
        <f>H18-I18</f>
        <v/>
      </c>
      <c r="K18" t="n">
        <v>-0.0025</v>
      </c>
      <c r="L18" t="n">
        <v>53227.70388793945</v>
      </c>
      <c r="M18" t="n">
        <v>-40973.26797580719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AMZU</t>
        </is>
      </c>
      <c r="C19" t="inlineStr">
        <is>
          <t>AMZN</t>
        </is>
      </c>
      <c r="D19" t="n">
        <v>102.2399978637695</v>
      </c>
      <c r="E19" t="n">
        <v>14.84496021270752</v>
      </c>
      <c r="F19" t="n">
        <v>26092</v>
      </c>
      <c r="G19" t="n">
        <v>-91789</v>
      </c>
      <c r="H19">
        <f>D19*F19</f>
        <v/>
      </c>
      <c r="I19">
        <f>E19*G19</f>
        <v/>
      </c>
      <c r="J19">
        <f>H19-I19</f>
        <v/>
      </c>
      <c r="K19" t="n">
        <v>-0.0025</v>
      </c>
      <c r="L19" t="n">
        <v>78797.75241088867</v>
      </c>
      <c r="M19" t="n">
        <v>-58760.31045532227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AMZU</t>
        </is>
      </c>
      <c r="C20" t="inlineStr">
        <is>
          <t>AMZN</t>
        </is>
      </c>
      <c r="D20" t="n">
        <v>100.5500030517578</v>
      </c>
      <c r="E20" t="n">
        <v>14.49027252197266</v>
      </c>
      <c r="F20" t="n">
        <v>26570</v>
      </c>
      <c r="G20" t="n">
        <v>-92003</v>
      </c>
      <c r="H20">
        <f>D20*F20</f>
        <v/>
      </c>
      <c r="I20">
        <f>E20*G20</f>
        <v/>
      </c>
      <c r="J20">
        <f>H20-I20</f>
        <v/>
      </c>
      <c r="K20" t="n">
        <v>-0.0025</v>
      </c>
      <c r="L20" t="n">
        <v>-44903.16215515137</v>
      </c>
      <c r="M20" t="n">
        <v>32632.33161067963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AMZU</t>
        </is>
      </c>
      <c r="C21" t="inlineStr">
        <is>
          <t>AMZN</t>
        </is>
      </c>
      <c r="D21" t="n">
        <v>103.129997253418</v>
      </c>
      <c r="E21" t="n">
        <v>15.03527736663818</v>
      </c>
      <c r="F21" t="n">
        <v>26570</v>
      </c>
      <c r="G21" t="n">
        <v>-92003</v>
      </c>
      <c r="H21">
        <f>D21*F21</f>
        <v/>
      </c>
      <c r="I21">
        <f>E21*G21</f>
        <v/>
      </c>
      <c r="J21">
        <f>H21-I21</f>
        <v/>
      </c>
      <c r="K21" t="n">
        <v>-0.0025</v>
      </c>
      <c r="L21" t="n">
        <v>68550.44593811035</v>
      </c>
      <c r="M21" t="n">
        <v>-50142.08072376251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ARKK Price</t>
        </is>
      </c>
      <c r="E1" t="inlineStr">
        <is>
          <t>TARK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TARK</t>
        </is>
      </c>
      <c r="C2" t="inlineStr">
        <is>
          <t>ARKK</t>
        </is>
      </c>
      <c r="D2" t="n">
        <v>30.20806884765625</v>
      </c>
      <c r="E2" t="n">
        <v>15.6141881942749</v>
      </c>
      <c r="F2" t="n">
        <v>20537</v>
      </c>
      <c r="G2" t="n">
        <v>-20077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TARK</t>
        </is>
      </c>
      <c r="C3" t="inlineStr">
        <is>
          <t>ARKK</t>
        </is>
      </c>
      <c r="D3" t="n">
        <v>31.51715278625488</v>
      </c>
      <c r="E3" t="n">
        <v>16.97279357910156</v>
      </c>
      <c r="F3" t="n">
        <v>20537</v>
      </c>
      <c r="G3" t="n">
        <v>-20077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TARK</t>
        </is>
      </c>
      <c r="C4" t="inlineStr">
        <is>
          <t>ARKK</t>
        </is>
      </c>
      <c r="D4" t="n">
        <v>30.7634391784668</v>
      </c>
      <c r="E4" t="n">
        <v>16.05270004272461</v>
      </c>
      <c r="F4" t="n">
        <v>20537</v>
      </c>
      <c r="G4" t="n">
        <v>-20077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-15479.01636314392</v>
      </c>
      <c r="M4" t="n">
        <v>18472.71792984009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TARK</t>
        </is>
      </c>
      <c r="C5" t="inlineStr">
        <is>
          <t>ARKK</t>
        </is>
      </c>
      <c r="D5" t="n">
        <v>31.11054420471191</v>
      </c>
      <c r="E5" t="n">
        <v>16.42073822021484</v>
      </c>
      <c r="F5" t="n">
        <v>20537</v>
      </c>
      <c r="G5" t="n">
        <v>-20077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7128.495923995972</v>
      </c>
      <c r="M5" t="n">
        <v>-7389.102489471436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TARK</t>
        </is>
      </c>
      <c r="C6" t="inlineStr">
        <is>
          <t>ARKK</t>
        </is>
      </c>
      <c r="D6" t="n">
        <v>32.53863525390625</v>
      </c>
      <c r="E6" t="n">
        <v>17.93987083435059</v>
      </c>
      <c r="F6" t="n">
        <v>20537</v>
      </c>
      <c r="G6" t="n">
        <v>-20077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29328.70587730408</v>
      </c>
      <c r="M6" t="n">
        <v>-30499.6254940033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TARK</t>
        </is>
      </c>
      <c r="C7" t="inlineStr">
        <is>
          <t>ARKK</t>
        </is>
      </c>
      <c r="D7" t="n">
        <v>33.34193420410156</v>
      </c>
      <c r="E7" t="n">
        <v>18.72293090820312</v>
      </c>
      <c r="F7" t="n">
        <v>20537</v>
      </c>
      <c r="G7" t="n">
        <v>-20077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16497.35054016113</v>
      </c>
      <c r="M7" t="n">
        <v>-15721.49710273743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TARK</t>
        </is>
      </c>
      <c r="C8" t="inlineStr">
        <is>
          <t>ARKK</t>
        </is>
      </c>
      <c r="D8" t="n">
        <v>34.47250366210938</v>
      </c>
      <c r="E8" t="n">
        <v>20.12460517883301</v>
      </c>
      <c r="F8" t="n">
        <v>20537</v>
      </c>
      <c r="G8" t="n">
        <v>-20077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23218.50495910645</v>
      </c>
      <c r="M8" t="n">
        <v>-28141.41433143616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TARK</t>
        </is>
      </c>
      <c r="C9" t="inlineStr">
        <is>
          <t>ARKK</t>
        </is>
      </c>
      <c r="D9" t="n">
        <v>35.19646835327148</v>
      </c>
      <c r="E9" t="n">
        <v>20.95856285095215</v>
      </c>
      <c r="F9" t="n">
        <v>20537</v>
      </c>
      <c r="G9" t="n">
        <v>-20077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14868.06286239624</v>
      </c>
      <c r="M9" t="n">
        <v>-16743.36818313599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TARK</t>
        </is>
      </c>
      <c r="C10" t="inlineStr">
        <is>
          <t>ARKK</t>
        </is>
      </c>
      <c r="D10" t="n">
        <v>35.69233322143555</v>
      </c>
      <c r="E10" t="n">
        <v>21.46755027770996</v>
      </c>
      <c r="F10" t="n">
        <v>20537</v>
      </c>
      <c r="G10" t="n">
        <v>-20077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10183.57679748535</v>
      </c>
      <c r="M10" t="n">
        <v>-10218.9405670166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TARK</t>
        </is>
      </c>
      <c r="C11" t="inlineStr">
        <is>
          <t>ARKK</t>
        </is>
      </c>
      <c r="D11" t="n">
        <v>36.73364639282227</v>
      </c>
      <c r="E11" t="n">
        <v>22.7870044708252</v>
      </c>
      <c r="F11" t="n">
        <v>18788</v>
      </c>
      <c r="G11" t="n">
        <v>-15784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19564.19186401367</v>
      </c>
      <c r="M11" t="n">
        <v>-20826.26498413086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TARK</t>
        </is>
      </c>
      <c r="C12" t="inlineStr">
        <is>
          <t>ARKK</t>
        </is>
      </c>
      <c r="D12" t="n">
        <v>35.65266418457031</v>
      </c>
      <c r="E12" t="n">
        <v>21.48321151733398</v>
      </c>
      <c r="F12" t="n">
        <v>18788</v>
      </c>
      <c r="G12" t="n">
        <v>-15784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-20309.4937286377</v>
      </c>
      <c r="M12" t="n">
        <v>20579.06797790527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TARK</t>
        </is>
      </c>
      <c r="C13" t="inlineStr">
        <is>
          <t>ARKK</t>
        </is>
      </c>
      <c r="D13" t="n">
        <v>34.50225830078125</v>
      </c>
      <c r="E13" t="n">
        <v>20.0267219543457</v>
      </c>
      <c r="F13" t="n">
        <v>18788</v>
      </c>
      <c r="G13" t="n">
        <v>-15784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-21613.82574462891</v>
      </c>
      <c r="M13" t="n">
        <v>22989.23126220703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TARK</t>
        </is>
      </c>
      <c r="C14" t="inlineStr">
        <is>
          <t>ARKK</t>
        </is>
      </c>
      <c r="D14" t="n">
        <v>36.19811248779297</v>
      </c>
      <c r="E14" t="n">
        <v>21.97653961181641</v>
      </c>
      <c r="F14" t="n">
        <v>18788</v>
      </c>
      <c r="G14" t="n">
        <v>-15784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31861.70846557617</v>
      </c>
      <c r="M14" t="n">
        <v>-30775.92190551758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TARK</t>
        </is>
      </c>
      <c r="C15" t="inlineStr">
        <is>
          <t>ARKK</t>
        </is>
      </c>
      <c r="D15" t="n">
        <v>37.76504898071289</v>
      </c>
      <c r="E15" t="n">
        <v>23.8441333770752</v>
      </c>
      <c r="F15" t="n">
        <v>18788</v>
      </c>
      <c r="G15" t="n">
        <v>-15784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29439.60282897949</v>
      </c>
      <c r="M15" t="n">
        <v>-29478.09999084473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TARK</t>
        </is>
      </c>
      <c r="C16" t="inlineStr">
        <is>
          <t>ARKK</t>
        </is>
      </c>
      <c r="D16" t="n">
        <v>37.17000961303711</v>
      </c>
      <c r="E16" t="n">
        <v>22.95144653320312</v>
      </c>
      <c r="F16" t="n">
        <v>18788</v>
      </c>
      <c r="G16" t="n">
        <v>-15784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-11179.59963989258</v>
      </c>
      <c r="M16" t="n">
        <v>14090.16914367676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TARK</t>
        </is>
      </c>
      <c r="C17" t="inlineStr">
        <is>
          <t>ARKK</t>
        </is>
      </c>
      <c r="D17" t="n">
        <v>37.19975662231445</v>
      </c>
      <c r="E17" t="n">
        <v>23.18832206726074</v>
      </c>
      <c r="F17" t="n">
        <v>18788</v>
      </c>
      <c r="G17" t="n">
        <v>-15784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558.8868103027344</v>
      </c>
      <c r="M17" t="n">
        <v>-3738.84342956543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TARK</t>
        </is>
      </c>
      <c r="C18" t="inlineStr">
        <is>
          <t>ARKK</t>
        </is>
      </c>
      <c r="D18" t="n">
        <v>37.95347595214844</v>
      </c>
      <c r="E18" t="n">
        <v>24.12603378295898</v>
      </c>
      <c r="F18" t="n">
        <v>18788</v>
      </c>
      <c r="G18" t="n">
        <v>-15784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14160.8787689209</v>
      </c>
      <c r="M18" t="n">
        <v>-14800.84172058105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TARK</t>
        </is>
      </c>
      <c r="C19" t="inlineStr">
        <is>
          <t>ARKK</t>
        </is>
      </c>
      <c r="D19" t="n">
        <v>40.05593872070312</v>
      </c>
      <c r="E19" t="n">
        <v>26.76102638244629</v>
      </c>
      <c r="F19" t="n">
        <v>18788</v>
      </c>
      <c r="G19" t="n">
        <v>-15784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39501.07049560547</v>
      </c>
      <c r="M19" t="n">
        <v>-41590.72319030762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TARK</t>
        </is>
      </c>
      <c r="C20" t="inlineStr">
        <is>
          <t>ARKK</t>
        </is>
      </c>
      <c r="D20" t="n">
        <v>38.19148635864258</v>
      </c>
      <c r="E20" t="n">
        <v>24.18867874145508</v>
      </c>
      <c r="F20" t="n">
        <v>17763</v>
      </c>
      <c r="G20" t="n">
        <v>-13435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-33118.26730728149</v>
      </c>
      <c r="M20" t="n">
        <v>34559.49055671692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TARK</t>
        </is>
      </c>
      <c r="C21" t="inlineStr">
        <is>
          <t>ARKK</t>
        </is>
      </c>
      <c r="D21" t="n">
        <v>39.59974670410156</v>
      </c>
      <c r="E21" t="n">
        <v>26.04844284057617</v>
      </c>
      <c r="F21" t="n">
        <v>17763</v>
      </c>
      <c r="G21" t="n">
        <v>-13435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25014.92851638794</v>
      </c>
      <c r="M21" t="n">
        <v>-24985.93067169189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ASHR Price</t>
        </is>
      </c>
      <c r="E1" t="inlineStr">
        <is>
          <t>CHAU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CHAU</t>
        </is>
      </c>
      <c r="C2" t="inlineStr">
        <is>
          <t>ASHR</t>
        </is>
      </c>
      <c r="D2" t="n">
        <v>26.66959190368652</v>
      </c>
      <c r="E2" t="n">
        <v>18.8960132598877</v>
      </c>
      <c r="F2" t="n">
        <v>5713</v>
      </c>
      <c r="G2" t="n">
        <v>-4099</v>
      </c>
      <c r="H2">
        <f>D2*F2</f>
        <v/>
      </c>
      <c r="I2">
        <f>E2*G2</f>
        <v/>
      </c>
      <c r="J2">
        <f>H2-I2</f>
        <v/>
      </c>
      <c r="K2" t="n">
        <v>-0.01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CHAU</t>
        </is>
      </c>
      <c r="C3" t="inlineStr">
        <is>
          <t>ASHR</t>
        </is>
      </c>
      <c r="D3" t="n">
        <v>27.14078712463379</v>
      </c>
      <c r="E3" t="n">
        <v>19.54665565490723</v>
      </c>
      <c r="F3" t="n">
        <v>5713</v>
      </c>
      <c r="G3" t="n">
        <v>-4099</v>
      </c>
      <c r="H3">
        <f>D3*F3</f>
        <v/>
      </c>
      <c r="I3">
        <f>E3*G3</f>
        <v/>
      </c>
      <c r="J3">
        <f>H3-I3</f>
        <v/>
      </c>
      <c r="K3" t="n">
        <v>-0.01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CHAU</t>
        </is>
      </c>
      <c r="C4" t="inlineStr">
        <is>
          <t>ASHR</t>
        </is>
      </c>
      <c r="D4" t="n">
        <v>27.47062301635742</v>
      </c>
      <c r="E4" t="n">
        <v>20.08732795715332</v>
      </c>
      <c r="F4" t="n">
        <v>5713</v>
      </c>
      <c r="G4" t="n">
        <v>-4099</v>
      </c>
      <c r="H4">
        <f>D4*F4</f>
        <v/>
      </c>
      <c r="I4">
        <f>E4*G4</f>
        <v/>
      </c>
      <c r="J4">
        <f>H4-I4</f>
        <v/>
      </c>
      <c r="K4" t="n">
        <v>-0.01</v>
      </c>
      <c r="L4" t="n">
        <v>1884.352449417114</v>
      </c>
      <c r="M4" t="n">
        <v>-2216.215766906738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CHAU</t>
        </is>
      </c>
      <c r="C5" t="inlineStr">
        <is>
          <t>ASHR</t>
        </is>
      </c>
      <c r="D5" t="n">
        <v>28.00778579711914</v>
      </c>
      <c r="E5" t="n">
        <v>20.86626434326172</v>
      </c>
      <c r="F5" t="n">
        <v>5713</v>
      </c>
      <c r="G5" t="n">
        <v>-4099</v>
      </c>
      <c r="H5">
        <f>D5*F5</f>
        <v/>
      </c>
      <c r="I5">
        <f>E5*G5</f>
        <v/>
      </c>
      <c r="J5">
        <f>H5-I5</f>
        <v/>
      </c>
      <c r="K5" t="n">
        <v>-0.01</v>
      </c>
      <c r="L5" t="n">
        <v>3068.810966491699</v>
      </c>
      <c r="M5" t="n">
        <v>-3192.860246658325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CHAU</t>
        </is>
      </c>
      <c r="C6" t="inlineStr">
        <is>
          <t>ASHR</t>
        </is>
      </c>
      <c r="D6" t="n">
        <v>28.21511077880859</v>
      </c>
      <c r="E6" t="n">
        <v>21.12284851074219</v>
      </c>
      <c r="F6" t="n">
        <v>5713</v>
      </c>
      <c r="G6" t="n">
        <v>-3898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1184.447620391846</v>
      </c>
      <c r="M6" t="n">
        <v>-1000.165084838867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CHAU</t>
        </is>
      </c>
      <c r="C7" t="inlineStr">
        <is>
          <t>ASHR</t>
        </is>
      </c>
      <c r="D7" t="n">
        <v>28.29050254821777</v>
      </c>
      <c r="E7" t="n">
        <v>21.27863693237305</v>
      </c>
      <c r="F7" t="n">
        <v>5713</v>
      </c>
      <c r="G7" t="n">
        <v>-3898</v>
      </c>
      <c r="H7">
        <f>D7*F7</f>
        <v/>
      </c>
      <c r="I7">
        <f>E7*G7</f>
        <v/>
      </c>
      <c r="J7">
        <f>H7-I7</f>
        <v/>
      </c>
      <c r="K7" t="n">
        <v>-0.01</v>
      </c>
      <c r="L7" t="n">
        <v>430.7131786346436</v>
      </c>
      <c r="M7" t="n">
        <v>-607.2632675170898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CHAU</t>
        </is>
      </c>
      <c r="C8" t="inlineStr">
        <is>
          <t>ASHR</t>
        </is>
      </c>
      <c r="D8" t="n">
        <v>28.36589431762695</v>
      </c>
      <c r="E8" t="n">
        <v>21.39776802062988</v>
      </c>
      <c r="F8" t="n">
        <v>5713</v>
      </c>
      <c r="G8" t="n">
        <v>-3898</v>
      </c>
      <c r="H8">
        <f>D8*F8</f>
        <v/>
      </c>
      <c r="I8">
        <f>E8*G8</f>
        <v/>
      </c>
      <c r="J8">
        <f>H8-I8</f>
        <v/>
      </c>
      <c r="K8" t="n">
        <v>-0.01</v>
      </c>
      <c r="L8" t="n">
        <v>430.7131786346436</v>
      </c>
      <c r="M8" t="n">
        <v>-464.3729820251465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CHAU</t>
        </is>
      </c>
      <c r="C9" t="inlineStr">
        <is>
          <t>ASHR</t>
        </is>
      </c>
      <c r="D9" t="n">
        <v>28.63918685913086</v>
      </c>
      <c r="E9" t="n">
        <v>21.77349281311035</v>
      </c>
      <c r="F9" t="n">
        <v>5713</v>
      </c>
      <c r="G9" t="n">
        <v>-3898</v>
      </c>
      <c r="H9">
        <f>D9*F9</f>
        <v/>
      </c>
      <c r="I9">
        <f>E9*G9</f>
        <v/>
      </c>
      <c r="J9">
        <f>H9-I9</f>
        <v/>
      </c>
      <c r="K9" t="n">
        <v>-0.01</v>
      </c>
      <c r="L9" t="n">
        <v>1561.320289611816</v>
      </c>
      <c r="M9" t="n">
        <v>-1464.575241088867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CHAU</t>
        </is>
      </c>
      <c r="C10" t="inlineStr">
        <is>
          <t>ASHR</t>
        </is>
      </c>
      <c r="D10" t="n">
        <v>29.07268524169922</v>
      </c>
      <c r="E10" t="n">
        <v>22.38747215270996</v>
      </c>
      <c r="F10" t="n">
        <v>5713</v>
      </c>
      <c r="G10" t="n">
        <v>-3898</v>
      </c>
      <c r="H10">
        <f>D10*F10</f>
        <v/>
      </c>
      <c r="I10">
        <f>E10*G10</f>
        <v/>
      </c>
      <c r="J10">
        <f>H10-I10</f>
        <v/>
      </c>
      <c r="K10" t="n">
        <v>-0.01</v>
      </c>
      <c r="L10" t="n">
        <v>2476.576259613037</v>
      </c>
      <c r="M10" t="n">
        <v>-2393.291465759277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CHAU</t>
        </is>
      </c>
      <c r="C11" t="inlineStr">
        <is>
          <t>ASHR</t>
        </is>
      </c>
      <c r="D11" t="n">
        <v>29.19519424438477</v>
      </c>
      <c r="E11" t="n">
        <v>22.65322303771973</v>
      </c>
      <c r="F11" t="n">
        <v>5665</v>
      </c>
      <c r="G11" t="n">
        <v>-3740</v>
      </c>
      <c r="H11">
        <f>D11*F11</f>
        <v/>
      </c>
      <c r="I11">
        <f>E11*G11</f>
        <v/>
      </c>
      <c r="J11">
        <f>H11-I11</f>
        <v/>
      </c>
      <c r="K11" t="n">
        <v>-0.01</v>
      </c>
      <c r="L11" t="n">
        <v>694.013500213623</v>
      </c>
      <c r="M11" t="n">
        <v>-993.9083099365234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CHAU</t>
        </is>
      </c>
      <c r="C12" t="inlineStr">
        <is>
          <t>ASHR</t>
        </is>
      </c>
      <c r="D12" t="n">
        <v>28.99729537963867</v>
      </c>
      <c r="E12" t="n">
        <v>22.38564300537109</v>
      </c>
      <c r="F12" t="n">
        <v>5665</v>
      </c>
      <c r="G12" t="n">
        <v>-3740</v>
      </c>
      <c r="H12">
        <f>D12*F12</f>
        <v/>
      </c>
      <c r="I12">
        <f>E12*G12</f>
        <v/>
      </c>
      <c r="J12">
        <f>H12-I12</f>
        <v/>
      </c>
      <c r="K12" t="n">
        <v>-0.01</v>
      </c>
      <c r="L12" t="n">
        <v>-1121.097068786621</v>
      </c>
      <c r="M12" t="n">
        <v>1000.749320983887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CHAU</t>
        </is>
      </c>
      <c r="C13" t="inlineStr">
        <is>
          <t>ASHR</t>
        </is>
      </c>
      <c r="D13" t="n">
        <v>29.30828094482422</v>
      </c>
      <c r="E13" t="n">
        <v>22.75403213500977</v>
      </c>
      <c r="F13" t="n">
        <v>5665</v>
      </c>
      <c r="G13" t="n">
        <v>-3740</v>
      </c>
      <c r="H13">
        <f>D13*F13</f>
        <v/>
      </c>
      <c r="I13">
        <f>E13*G13</f>
        <v/>
      </c>
      <c r="J13">
        <f>H13-I13</f>
        <v/>
      </c>
      <c r="K13" t="n">
        <v>-0.01</v>
      </c>
      <c r="L13" t="n">
        <v>1761.733226776123</v>
      </c>
      <c r="M13" t="n">
        <v>-1377.775344848633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CHAU</t>
        </is>
      </c>
      <c r="C14" t="inlineStr">
        <is>
          <t>ASHR</t>
        </is>
      </c>
      <c r="D14" t="n">
        <v>29.59099769592285</v>
      </c>
      <c r="E14" t="n">
        <v>23.21222305297852</v>
      </c>
      <c r="F14" t="n">
        <v>5665</v>
      </c>
      <c r="G14" t="n">
        <v>-3740</v>
      </c>
      <c r="H14">
        <f>D14*F14</f>
        <v/>
      </c>
      <c r="I14">
        <f>E14*G14</f>
        <v/>
      </c>
      <c r="J14">
        <f>H14-I14</f>
        <v/>
      </c>
      <c r="K14" t="n">
        <v>-0.01</v>
      </c>
      <c r="L14" t="n">
        <v>1601.590394973755</v>
      </c>
      <c r="M14" t="n">
        <v>-1713.634033203125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CHAU</t>
        </is>
      </c>
      <c r="C15" t="inlineStr">
        <is>
          <t>ASHR</t>
        </is>
      </c>
      <c r="D15" t="n">
        <v>29.74178123474121</v>
      </c>
      <c r="E15" t="n">
        <v>23.45965766906738</v>
      </c>
      <c r="F15" t="n">
        <v>5665</v>
      </c>
      <c r="G15" t="n">
        <v>-3740</v>
      </c>
      <c r="H15">
        <f>D15*F15</f>
        <v/>
      </c>
      <c r="I15">
        <f>E15*G15</f>
        <v/>
      </c>
      <c r="J15">
        <f>H15-I15</f>
        <v/>
      </c>
      <c r="K15" t="n">
        <v>-0.01</v>
      </c>
      <c r="L15" t="n">
        <v>854.1887474060059</v>
      </c>
      <c r="M15" t="n">
        <v>-925.4054641723633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CHAU</t>
        </is>
      </c>
      <c r="C16" t="inlineStr">
        <is>
          <t>ASHR</t>
        </is>
      </c>
      <c r="D16" t="n">
        <v>29.7040843963623</v>
      </c>
      <c r="E16" t="n">
        <v>23.37717819213867</v>
      </c>
      <c r="F16" t="n">
        <v>5665</v>
      </c>
      <c r="G16" t="n">
        <v>-3740</v>
      </c>
      <c r="H16">
        <f>D16*F16</f>
        <v/>
      </c>
      <c r="I16">
        <f>E16*G16</f>
        <v/>
      </c>
      <c r="J16">
        <f>H16-I16</f>
        <v/>
      </c>
      <c r="K16" t="n">
        <v>-0.01</v>
      </c>
      <c r="L16" t="n">
        <v>-213.5525894165039</v>
      </c>
      <c r="M16" t="n">
        <v>308.4732437133789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CHAU</t>
        </is>
      </c>
      <c r="C17" t="inlineStr">
        <is>
          <t>ASHR</t>
        </is>
      </c>
      <c r="D17" t="n">
        <v>29.89256286621094</v>
      </c>
      <c r="E17" t="n">
        <v>23.67958641052246</v>
      </c>
      <c r="F17" t="n">
        <v>5665</v>
      </c>
      <c r="G17" t="n">
        <v>-3740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1067.730531692505</v>
      </c>
      <c r="M17" t="n">
        <v>-1131.006736755371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CHAU</t>
        </is>
      </c>
      <c r="C18" t="inlineStr">
        <is>
          <t>ASHR</t>
        </is>
      </c>
      <c r="D18" t="n">
        <v>30.24124717712402</v>
      </c>
      <c r="E18" t="n">
        <v>24.23859024047852</v>
      </c>
      <c r="F18" t="n">
        <v>5665</v>
      </c>
      <c r="G18" t="n">
        <v>-3740</v>
      </c>
      <c r="H18">
        <f>D18*F18</f>
        <v/>
      </c>
      <c r="I18">
        <f>E18*G18</f>
        <v/>
      </c>
      <c r="J18">
        <f>H18-I18</f>
        <v/>
      </c>
      <c r="K18" t="n">
        <v>-0.01</v>
      </c>
      <c r="L18" t="n">
        <v>1975.296621322632</v>
      </c>
      <c r="M18" t="n">
        <v>-2090.674324035645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CHAU</t>
        </is>
      </c>
      <c r="C19" t="inlineStr">
        <is>
          <t>ASHR</t>
        </is>
      </c>
      <c r="D19" t="n">
        <v>30.16585350036621</v>
      </c>
      <c r="E19" t="n">
        <v>24.1561107635498</v>
      </c>
      <c r="F19" t="n">
        <v>5665</v>
      </c>
      <c r="G19" t="n">
        <v>-3740</v>
      </c>
      <c r="H19">
        <f>D19*F19</f>
        <v/>
      </c>
      <c r="I19">
        <f>E19*G19</f>
        <v/>
      </c>
      <c r="J19">
        <f>H19-I19</f>
        <v/>
      </c>
      <c r="K19" t="n">
        <v>-0.01</v>
      </c>
      <c r="L19" t="n">
        <v>-427.1051788330078</v>
      </c>
      <c r="M19" t="n">
        <v>308.4732437133789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CHAU</t>
        </is>
      </c>
      <c r="C20" t="inlineStr">
        <is>
          <t>ASHR</t>
        </is>
      </c>
      <c r="D20" t="n">
        <v>29.5721492767334</v>
      </c>
      <c r="E20" t="n">
        <v>23.20764541625977</v>
      </c>
      <c r="F20" t="n">
        <v>5793</v>
      </c>
      <c r="G20" t="n">
        <v>-3678</v>
      </c>
      <c r="H20">
        <f>D20*F20</f>
        <v/>
      </c>
      <c r="I20">
        <f>E20*G20</f>
        <v/>
      </c>
      <c r="J20">
        <f>H20-I20</f>
        <v/>
      </c>
      <c r="K20" t="n">
        <v>-0.01</v>
      </c>
      <c r="L20" t="n">
        <v>-3439.328567504883</v>
      </c>
      <c r="M20" t="n">
        <v>3488.455547332764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CHAU</t>
        </is>
      </c>
      <c r="C21" t="inlineStr">
        <is>
          <t>ASHR</t>
        </is>
      </c>
      <c r="D21" t="n">
        <v>29.41194343566895</v>
      </c>
      <c r="E21" t="n">
        <v>22.92814445495605</v>
      </c>
      <c r="F21" t="n">
        <v>5793</v>
      </c>
      <c r="G21" t="n">
        <v>-3678</v>
      </c>
      <c r="H21">
        <f>D21*F21</f>
        <v/>
      </c>
      <c r="I21">
        <f>E21*G21</f>
        <v/>
      </c>
      <c r="J21">
        <f>H21-I21</f>
        <v/>
      </c>
      <c r="K21" t="n">
        <v>-0.01</v>
      </c>
      <c r="L21" t="n">
        <v>-928.072437286377</v>
      </c>
      <c r="M21" t="n">
        <v>1028.004535675049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BABA Price</t>
        </is>
      </c>
      <c r="E1" t="inlineStr">
        <is>
          <t>BABX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BABX</t>
        </is>
      </c>
      <c r="C2" t="inlineStr">
        <is>
          <t>BABA</t>
        </is>
      </c>
      <c r="D2" t="n">
        <v>87.35295104980469</v>
      </c>
      <c r="E2" t="n">
        <v>26.02000045776367</v>
      </c>
      <c r="F2" t="n">
        <v>5330</v>
      </c>
      <c r="G2" t="n">
        <v>-8920</v>
      </c>
      <c r="H2">
        <f>D2*F2</f>
        <v/>
      </c>
      <c r="I2">
        <f>E2*G2</f>
        <v/>
      </c>
      <c r="J2">
        <f>H2-I2</f>
        <v/>
      </c>
      <c r="K2" t="n">
        <v>-0.0275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BABX</t>
        </is>
      </c>
      <c r="C3" t="inlineStr">
        <is>
          <t>BABA</t>
        </is>
      </c>
      <c r="D3" t="n">
        <v>98.69229888916016</v>
      </c>
      <c r="E3" t="n">
        <v>31.91799926757812</v>
      </c>
      <c r="F3" t="n">
        <v>5330</v>
      </c>
      <c r="G3" t="n">
        <v>-8920</v>
      </c>
      <c r="H3">
        <f>D3*F3</f>
        <v/>
      </c>
      <c r="I3">
        <f>E3*G3</f>
        <v/>
      </c>
      <c r="J3">
        <f>H3-I3</f>
        <v/>
      </c>
      <c r="K3" t="n">
        <v>-0.0275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BABX</t>
        </is>
      </c>
      <c r="C4" t="inlineStr">
        <is>
          <t>BABA</t>
        </is>
      </c>
      <c r="D4" t="n">
        <v>99.31910705566406</v>
      </c>
      <c r="E4" t="n">
        <v>32.3489990234375</v>
      </c>
      <c r="F4" t="n">
        <v>5330</v>
      </c>
      <c r="G4" t="n">
        <v>-8920</v>
      </c>
      <c r="H4">
        <f>D4*F4</f>
        <v/>
      </c>
      <c r="I4">
        <f>E4*G4</f>
        <v/>
      </c>
      <c r="J4">
        <f>H4-I4</f>
        <v/>
      </c>
      <c r="K4" t="n">
        <v>-0.0275</v>
      </c>
      <c r="L4" t="n">
        <v>3340.88752746582</v>
      </c>
      <c r="M4" t="n">
        <v>-3844.517822265625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BABX</t>
        </is>
      </c>
      <c r="C5" t="inlineStr">
        <is>
          <t>BABA</t>
        </is>
      </c>
      <c r="D5" t="n">
        <v>101.9972457885742</v>
      </c>
      <c r="E5" t="n">
        <v>33.72999954223633</v>
      </c>
      <c r="F5" t="n">
        <v>5330</v>
      </c>
      <c r="G5" t="n">
        <v>-8920</v>
      </c>
      <c r="H5">
        <f>D5*F5</f>
        <v/>
      </c>
      <c r="I5">
        <f>E5*G5</f>
        <v/>
      </c>
      <c r="J5">
        <f>H5-I5</f>
        <v/>
      </c>
      <c r="K5" t="n">
        <v>-0.0275</v>
      </c>
      <c r="L5" t="n">
        <v>14274.47944641113</v>
      </c>
      <c r="M5" t="n">
        <v>-12318.52462768555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BABX</t>
        </is>
      </c>
      <c r="C6" t="inlineStr">
        <is>
          <t>BABA</t>
        </is>
      </c>
      <c r="D6" t="n">
        <v>105.2546997070312</v>
      </c>
      <c r="E6" t="n">
        <v>35.60800170898438</v>
      </c>
      <c r="F6" t="n">
        <v>5330</v>
      </c>
      <c r="G6" t="n">
        <v>-8035</v>
      </c>
      <c r="H6">
        <f>D6*F6</f>
        <v/>
      </c>
      <c r="I6">
        <f>E6*G6</f>
        <v/>
      </c>
      <c r="J6">
        <f>H6-I6</f>
        <v/>
      </c>
      <c r="K6" t="n">
        <v>-0.0275</v>
      </c>
      <c r="L6" t="n">
        <v>17362.22938537598</v>
      </c>
      <c r="M6" t="n">
        <v>-15089.74740982056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BABX</t>
        </is>
      </c>
      <c r="C7" t="inlineStr">
        <is>
          <t>BABA</t>
        </is>
      </c>
      <c r="D7" t="n">
        <v>109.100959777832</v>
      </c>
      <c r="E7" t="n">
        <v>37.84999847412109</v>
      </c>
      <c r="F7" t="n">
        <v>5330</v>
      </c>
      <c r="G7" t="n">
        <v>-8035</v>
      </c>
      <c r="H7">
        <f>D7*F7</f>
        <v/>
      </c>
      <c r="I7">
        <f>E7*G7</f>
        <v/>
      </c>
      <c r="J7">
        <f>H7-I7</f>
        <v/>
      </c>
      <c r="K7" t="n">
        <v>-0.0275</v>
      </c>
      <c r="L7" t="n">
        <v>20500.56617736816</v>
      </c>
      <c r="M7" t="n">
        <v>-18014.44400787354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BABX</t>
        </is>
      </c>
      <c r="C8" t="inlineStr">
        <is>
          <t>BABA</t>
        </is>
      </c>
      <c r="D8" t="n">
        <v>109.2339172363281</v>
      </c>
      <c r="E8" t="n">
        <v>37.94800186157227</v>
      </c>
      <c r="F8" t="n">
        <v>5330</v>
      </c>
      <c r="G8" t="n">
        <v>-8035</v>
      </c>
      <c r="H8">
        <f>D8*F8</f>
        <v/>
      </c>
      <c r="I8">
        <f>E8*G8</f>
        <v/>
      </c>
      <c r="J8">
        <f>H8-I8</f>
        <v/>
      </c>
      <c r="K8" t="n">
        <v>-0.0275</v>
      </c>
      <c r="L8" t="n">
        <v>708.6632537841797</v>
      </c>
      <c r="M8" t="n">
        <v>-787.457218170166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BABX</t>
        </is>
      </c>
      <c r="C9" t="inlineStr">
        <is>
          <t>BABA</t>
        </is>
      </c>
      <c r="D9" t="n">
        <v>107.4580001831055</v>
      </c>
      <c r="E9" t="n">
        <v>36.86000061035156</v>
      </c>
      <c r="F9" t="n">
        <v>5330</v>
      </c>
      <c r="G9" t="n">
        <v>-8035</v>
      </c>
      <c r="H9">
        <f>D9*F9</f>
        <v/>
      </c>
      <c r="I9">
        <f>E9*G9</f>
        <v/>
      </c>
      <c r="J9">
        <f>H9-I9</f>
        <v/>
      </c>
      <c r="K9" t="n">
        <v>-0.0275</v>
      </c>
      <c r="L9" t="n">
        <v>-9465.637893676758</v>
      </c>
      <c r="M9" t="n">
        <v>8742.09005355835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BABX</t>
        </is>
      </c>
      <c r="C10" t="inlineStr">
        <is>
          <t>BABA</t>
        </is>
      </c>
      <c r="D10" t="n">
        <v>111.1238174438477</v>
      </c>
      <c r="E10" t="n">
        <v>39.01200103759766</v>
      </c>
      <c r="F10" t="n">
        <v>5330</v>
      </c>
      <c r="G10" t="n">
        <v>-8035</v>
      </c>
      <c r="H10">
        <f>D10*F10</f>
        <v/>
      </c>
      <c r="I10">
        <f>E10*G10</f>
        <v/>
      </c>
      <c r="J10">
        <f>H10-I10</f>
        <v/>
      </c>
      <c r="K10" t="n">
        <v>-0.0275</v>
      </c>
      <c r="L10" t="n">
        <v>19538.80599975586</v>
      </c>
      <c r="M10" t="n">
        <v>-17291.32343292236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BABX</t>
        </is>
      </c>
      <c r="C11" t="inlineStr">
        <is>
          <t>BABA</t>
        </is>
      </c>
      <c r="D11" t="n">
        <v>109.3953704833984</v>
      </c>
      <c r="E11" t="n">
        <v>37.95800018310547</v>
      </c>
      <c r="F11" t="n">
        <v>4529</v>
      </c>
      <c r="G11" t="n">
        <v>-6431</v>
      </c>
      <c r="H11">
        <f>D11*F11</f>
        <v/>
      </c>
      <c r="I11">
        <f>E11*G11</f>
        <v/>
      </c>
      <c r="J11">
        <f>H11-I11</f>
        <v/>
      </c>
      <c r="K11" t="n">
        <v>-0.0275</v>
      </c>
      <c r="L11" t="n">
        <v>-7828.136283874512</v>
      </c>
      <c r="M11" t="n">
        <v>6778.279495239258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BABX</t>
        </is>
      </c>
      <c r="C12" t="inlineStr">
        <is>
          <t>BABA</t>
        </is>
      </c>
      <c r="D12" t="n">
        <v>107.5244674682617</v>
      </c>
      <c r="E12" t="n">
        <v>36.70999908447266</v>
      </c>
      <c r="F12" t="n">
        <v>4529</v>
      </c>
      <c r="G12" t="n">
        <v>-6431</v>
      </c>
      <c r="H12">
        <f>D12*F12</f>
        <v/>
      </c>
      <c r="I12">
        <f>E12*G12</f>
        <v/>
      </c>
      <c r="J12">
        <f>H12-I12</f>
        <v/>
      </c>
      <c r="K12" t="n">
        <v>-0.0275</v>
      </c>
      <c r="L12" t="n">
        <v>-8473.319755554199</v>
      </c>
      <c r="M12" t="n">
        <v>8025.895065307617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BABX</t>
        </is>
      </c>
      <c r="C13" t="inlineStr">
        <is>
          <t>BABA</t>
        </is>
      </c>
      <c r="D13" t="n">
        <v>110.715446472168</v>
      </c>
      <c r="E13" t="n">
        <v>38.7599983215332</v>
      </c>
      <c r="F13" t="n">
        <v>4529</v>
      </c>
      <c r="G13" t="n">
        <v>-6431</v>
      </c>
      <c r="H13">
        <f>D13*F13</f>
        <v/>
      </c>
      <c r="I13">
        <f>E13*G13</f>
        <v/>
      </c>
      <c r="J13">
        <f>H13-I13</f>
        <v/>
      </c>
      <c r="K13" t="n">
        <v>-0.0275</v>
      </c>
      <c r="L13" t="n">
        <v>14451.94390869141</v>
      </c>
      <c r="M13" t="n">
        <v>-13183.54509353638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BABX</t>
        </is>
      </c>
      <c r="C14" t="inlineStr">
        <is>
          <t>BABA</t>
        </is>
      </c>
      <c r="D14" t="n">
        <v>113.830451965332</v>
      </c>
      <c r="E14" t="n">
        <v>40.39599990844727</v>
      </c>
      <c r="F14" t="n">
        <v>4529</v>
      </c>
      <c r="G14" t="n">
        <v>-6431</v>
      </c>
      <c r="H14">
        <f>D14*F14</f>
        <v/>
      </c>
      <c r="I14">
        <f>E14*G14</f>
        <v/>
      </c>
      <c r="J14">
        <f>H14-I14</f>
        <v/>
      </c>
      <c r="K14" t="n">
        <v>-0.0275</v>
      </c>
      <c r="L14" t="n">
        <v>14107.85987854004</v>
      </c>
      <c r="M14" t="n">
        <v>-10521.12620544434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BABX</t>
        </is>
      </c>
      <c r="C15" t="inlineStr">
        <is>
          <t>BABA</t>
        </is>
      </c>
      <c r="D15" t="n">
        <v>113.5170440673828</v>
      </c>
      <c r="E15" t="n">
        <v>40.33499908447266</v>
      </c>
      <c r="F15" t="n">
        <v>4529</v>
      </c>
      <c r="G15" t="n">
        <v>-6431</v>
      </c>
      <c r="H15">
        <f>D15*F15</f>
        <v/>
      </c>
      <c r="I15">
        <f>E15*G15</f>
        <v/>
      </c>
      <c r="J15">
        <f>H15-I15</f>
        <v/>
      </c>
      <c r="K15" t="n">
        <v>-0.0275</v>
      </c>
      <c r="L15" t="n">
        <v>-1419.424369812012</v>
      </c>
      <c r="M15" t="n">
        <v>392.2962989807129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BABX</t>
        </is>
      </c>
      <c r="C16" t="inlineStr">
        <is>
          <t>BABA</t>
        </is>
      </c>
      <c r="D16" t="n">
        <v>113.4315719604492</v>
      </c>
      <c r="E16" t="n">
        <v>40.18500137329102</v>
      </c>
      <c r="F16" t="n">
        <v>4529</v>
      </c>
      <c r="G16" t="n">
        <v>-6431</v>
      </c>
      <c r="H16">
        <f>D16*F16</f>
        <v/>
      </c>
      <c r="I16">
        <f>E16*G16</f>
        <v/>
      </c>
      <c r="J16">
        <f>H16-I16</f>
        <v/>
      </c>
      <c r="K16" t="n">
        <v>-0.0275</v>
      </c>
      <c r="L16" t="n">
        <v>-387.1031723022461</v>
      </c>
      <c r="M16" t="n">
        <v>964.6352806091309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BABX</t>
        </is>
      </c>
      <c r="C17" t="inlineStr">
        <is>
          <t>BABA</t>
        </is>
      </c>
      <c r="D17" t="n">
        <v>114.2008209228516</v>
      </c>
      <c r="E17" t="n">
        <v>40.59500122070312</v>
      </c>
      <c r="F17" t="n">
        <v>4529</v>
      </c>
      <c r="G17" t="n">
        <v>-6431</v>
      </c>
      <c r="H17">
        <f>D17*F17</f>
        <v/>
      </c>
      <c r="I17">
        <f>E17*G17</f>
        <v/>
      </c>
      <c r="J17">
        <f>H17-I17</f>
        <v/>
      </c>
      <c r="K17" t="n">
        <v>-0.0275</v>
      </c>
      <c r="L17" t="n">
        <v>3483.928550720215</v>
      </c>
      <c r="M17" t="n">
        <v>-2636.709018707275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BABX</t>
        </is>
      </c>
      <c r="C18" t="inlineStr">
        <is>
          <t>BABA</t>
        </is>
      </c>
      <c r="D18" t="n">
        <v>114.5047302246094</v>
      </c>
      <c r="E18" t="n">
        <v>40.93999862670898</v>
      </c>
      <c r="F18" t="n">
        <v>4529</v>
      </c>
      <c r="G18" t="n">
        <v>-6431</v>
      </c>
      <c r="H18">
        <f>D18*F18</f>
        <v/>
      </c>
      <c r="I18">
        <f>E18*G18</f>
        <v/>
      </c>
      <c r="J18">
        <f>H18-I18</f>
        <v/>
      </c>
      <c r="K18" t="n">
        <v>-0.0275</v>
      </c>
      <c r="L18" t="n">
        <v>1376.405227661133</v>
      </c>
      <c r="M18" t="n">
        <v>-2218.678318023682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BABX</t>
        </is>
      </c>
      <c r="C19" t="inlineStr">
        <is>
          <t>BABA</t>
        </is>
      </c>
      <c r="D19" t="n">
        <v>112.4248886108398</v>
      </c>
      <c r="E19" t="n">
        <v>39.53099822998047</v>
      </c>
      <c r="F19" t="n">
        <v>4529</v>
      </c>
      <c r="G19" t="n">
        <v>-6431</v>
      </c>
      <c r="H19">
        <f>D19*F19</f>
        <v/>
      </c>
      <c r="I19">
        <f>E19*G19</f>
        <v/>
      </c>
      <c r="J19">
        <f>H19-I19</f>
        <v/>
      </c>
      <c r="K19" t="n">
        <v>-0.0275</v>
      </c>
      <c r="L19" t="n">
        <v>-9419.602668762207</v>
      </c>
      <c r="M19" t="n">
        <v>9061.281551361084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BABX</t>
        </is>
      </c>
      <c r="C20" t="inlineStr">
        <is>
          <t>BABA</t>
        </is>
      </c>
      <c r="D20" t="n">
        <v>105.6060791015625</v>
      </c>
      <c r="E20" t="n">
        <v>35.3650016784668</v>
      </c>
      <c r="F20" t="n">
        <v>4750</v>
      </c>
      <c r="G20" t="n">
        <v>-6734</v>
      </c>
      <c r="H20">
        <f>D20*F20</f>
        <v/>
      </c>
      <c r="I20">
        <f>E20*G20</f>
        <v/>
      </c>
      <c r="J20">
        <f>H20-I20</f>
        <v/>
      </c>
      <c r="K20" t="n">
        <v>-0.0275</v>
      </c>
      <c r="L20" t="n">
        <v>-32389.34516906738</v>
      </c>
      <c r="M20" t="n">
        <v>28053.82077789307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BABX</t>
        </is>
      </c>
      <c r="C21" t="inlineStr">
        <is>
          <t>BABA</t>
        </is>
      </c>
      <c r="D21" t="n">
        <v>104.6563873291016</v>
      </c>
      <c r="E21" t="n">
        <v>34.77999877929688</v>
      </c>
      <c r="F21" t="n">
        <v>4750</v>
      </c>
      <c r="G21" t="n">
        <v>-6734</v>
      </c>
      <c r="H21">
        <f>D21*F21</f>
        <v/>
      </c>
      <c r="I21">
        <f>E21*G21</f>
        <v/>
      </c>
      <c r="J21">
        <f>H21-I21</f>
        <v/>
      </c>
      <c r="K21" t="n">
        <v>-0.0275</v>
      </c>
      <c r="L21" t="n">
        <v>-4511.035919189453</v>
      </c>
      <c r="M21" t="n">
        <v>3939.409523010254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COIN Price</t>
        </is>
      </c>
      <c r="E1" t="inlineStr">
        <is>
          <t>CONL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CONL</t>
        </is>
      </c>
      <c r="C2" t="inlineStr">
        <is>
          <t>COIN</t>
        </is>
      </c>
      <c r="D2" t="n">
        <v>33.59999847412109</v>
      </c>
      <c r="E2" t="n">
        <v>4.229519844055176</v>
      </c>
      <c r="F2" t="n">
        <v>98778</v>
      </c>
      <c r="G2" t="n">
        <v>-394919</v>
      </c>
      <c r="H2">
        <f>D2*F2</f>
        <v/>
      </c>
      <c r="I2">
        <f>E2*G2</f>
        <v/>
      </c>
      <c r="J2">
        <f>H2-I2</f>
        <v/>
      </c>
      <c r="K2" t="n">
        <v>0.03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CONL</t>
        </is>
      </c>
      <c r="C3" t="inlineStr">
        <is>
          <t>COIN</t>
        </is>
      </c>
      <c r="D3" t="n">
        <v>37.70000076293945</v>
      </c>
      <c r="E3" t="n">
        <v>5.047493457794189</v>
      </c>
      <c r="F3" t="n">
        <v>98778</v>
      </c>
      <c r="G3" t="n">
        <v>-394919</v>
      </c>
      <c r="H3">
        <f>D3*F3</f>
        <v/>
      </c>
      <c r="I3">
        <f>E3*G3</f>
        <v/>
      </c>
      <c r="J3">
        <f>H3-I3</f>
        <v/>
      </c>
      <c r="K3" t="n">
        <v>0.03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CONL</t>
        </is>
      </c>
      <c r="C4" t="inlineStr">
        <is>
          <t>COIN</t>
        </is>
      </c>
      <c r="D4" t="n">
        <v>33.52999877929688</v>
      </c>
      <c r="E4" t="n">
        <v>4.179644107818604</v>
      </c>
      <c r="F4" t="n">
        <v>98778</v>
      </c>
      <c r="G4" t="n">
        <v>-394919</v>
      </c>
      <c r="H4">
        <f>D4*F4</f>
        <v/>
      </c>
      <c r="I4">
        <f>E4*G4</f>
        <v/>
      </c>
      <c r="J4">
        <f>H4-I4</f>
        <v/>
      </c>
      <c r="K4" t="n">
        <v>0.03</v>
      </c>
      <c r="L4" t="n">
        <v>-411904.4559402466</v>
      </c>
      <c r="M4" t="n">
        <v>342730.1974430084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CONL</t>
        </is>
      </c>
      <c r="C5" t="inlineStr">
        <is>
          <t>COIN</t>
        </is>
      </c>
      <c r="D5" t="n">
        <v>33.2599983215332</v>
      </c>
      <c r="E5" t="n">
        <v>4.105826854705811</v>
      </c>
      <c r="F5" t="n">
        <v>98778</v>
      </c>
      <c r="G5" t="n">
        <v>-394919</v>
      </c>
      <c r="H5">
        <f>D5*F5</f>
        <v/>
      </c>
      <c r="I5">
        <f>E5*G5</f>
        <v/>
      </c>
      <c r="J5">
        <f>H5-I5</f>
        <v/>
      </c>
      <c r="K5" t="n">
        <v>0.03</v>
      </c>
      <c r="L5" t="n">
        <v>-26670.10521697998</v>
      </c>
      <c r="M5" t="n">
        <v>29151.83578205109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CONL</t>
        </is>
      </c>
      <c r="C6" t="inlineStr">
        <is>
          <t>COIN</t>
        </is>
      </c>
      <c r="D6" t="n">
        <v>38.27000045776367</v>
      </c>
      <c r="E6" t="n">
        <v>5.057468891143799</v>
      </c>
      <c r="F6" t="n">
        <v>98778</v>
      </c>
      <c r="G6" t="n">
        <v>-394919</v>
      </c>
      <c r="H6">
        <f>D6*F6</f>
        <v/>
      </c>
      <c r="I6">
        <f>E6*G6</f>
        <v/>
      </c>
      <c r="J6">
        <f>H6-I6</f>
        <v/>
      </c>
      <c r="K6" t="n">
        <v>0.03</v>
      </c>
      <c r="L6" t="n">
        <v>494877.9910125732</v>
      </c>
      <c r="M6" t="n">
        <v>-375821.5213880539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CONL</t>
        </is>
      </c>
      <c r="C7" t="inlineStr">
        <is>
          <t>COIN</t>
        </is>
      </c>
      <c r="D7" t="n">
        <v>43.22999954223633</v>
      </c>
      <c r="E7" t="n">
        <v>6.015096187591553</v>
      </c>
      <c r="F7" t="n">
        <v>98778</v>
      </c>
      <c r="G7" t="n">
        <v>-394919</v>
      </c>
      <c r="H7">
        <f>D7*F7</f>
        <v/>
      </c>
      <c r="I7">
        <f>E7*G7</f>
        <v/>
      </c>
      <c r="J7">
        <f>H7-I7</f>
        <v/>
      </c>
      <c r="K7" t="n">
        <v>0.03</v>
      </c>
      <c r="L7" t="n">
        <v>489938.78956604</v>
      </c>
      <c r="M7" t="n">
        <v>-378185.2142858505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CONL</t>
        </is>
      </c>
      <c r="C8" t="inlineStr">
        <is>
          <t>COIN</t>
        </is>
      </c>
      <c r="D8" t="n">
        <v>43.79000091552734</v>
      </c>
      <c r="E8" t="n">
        <v>6.104873657226562</v>
      </c>
      <c r="F8" t="n">
        <v>98778</v>
      </c>
      <c r="G8" t="n">
        <v>-394919</v>
      </c>
      <c r="H8">
        <f>D8*F8</f>
        <v/>
      </c>
      <c r="I8">
        <f>E8*G8</f>
        <v/>
      </c>
      <c r="J8">
        <f>H8-I8</f>
        <v/>
      </c>
      <c r="K8" t="n">
        <v>0.03</v>
      </c>
      <c r="L8" t="n">
        <v>55315.81565093994</v>
      </c>
      <c r="M8" t="n">
        <v>-35454.82853078842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CONL</t>
        </is>
      </c>
      <c r="C9" t="inlineStr">
        <is>
          <t>COIN</t>
        </is>
      </c>
      <c r="D9" t="n">
        <v>47.54999923706055</v>
      </c>
      <c r="E9" t="n">
        <v>6.932822227478027</v>
      </c>
      <c r="F9" t="n">
        <v>98778</v>
      </c>
      <c r="G9" t="n">
        <v>-394919</v>
      </c>
      <c r="H9">
        <f>D9*F9</f>
        <v/>
      </c>
      <c r="I9">
        <f>E9*G9</f>
        <v/>
      </c>
      <c r="J9">
        <f>H9-I9</f>
        <v/>
      </c>
      <c r="K9" t="n">
        <v>0.03</v>
      </c>
      <c r="L9" t="n">
        <v>371405.1142044067</v>
      </c>
      <c r="M9" t="n">
        <v>-326972.6214151382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CONL</t>
        </is>
      </c>
      <c r="C10" t="inlineStr">
        <is>
          <t>COIN</t>
        </is>
      </c>
      <c r="D10" t="n">
        <v>49.97999954223633</v>
      </c>
      <c r="E10" t="n">
        <v>7.431586265563965</v>
      </c>
      <c r="F10" t="n">
        <v>98778</v>
      </c>
      <c r="G10" t="n">
        <v>-394919</v>
      </c>
      <c r="H10">
        <f>D10*F10</f>
        <v/>
      </c>
      <c r="I10">
        <f>E10*G10</f>
        <v/>
      </c>
      <c r="J10">
        <f>H10-I10</f>
        <v/>
      </c>
      <c r="K10" t="n">
        <v>0.03</v>
      </c>
      <c r="L10" t="n">
        <v>240030.5701446533</v>
      </c>
      <c r="M10" t="n">
        <v>-196971.3951568604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CONL</t>
        </is>
      </c>
      <c r="C11" t="inlineStr">
        <is>
          <t>COIN</t>
        </is>
      </c>
      <c r="D11" t="n">
        <v>54.13999938964844</v>
      </c>
      <c r="E11" t="n">
        <v>8.349312782287598</v>
      </c>
      <c r="F11" t="n">
        <v>71778</v>
      </c>
      <c r="G11" t="n">
        <v>-242944</v>
      </c>
      <c r="H11">
        <f>D11*F11</f>
        <v/>
      </c>
      <c r="I11">
        <f>E11*G11</f>
        <v/>
      </c>
      <c r="J11">
        <f>H11-I11</f>
        <v/>
      </c>
      <c r="K11" t="n">
        <v>0.03</v>
      </c>
      <c r="L11" t="n">
        <v>298596.4690475464</v>
      </c>
      <c r="M11" t="n">
        <v>-222956.1508789062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CONL</t>
        </is>
      </c>
      <c r="C12" t="inlineStr">
        <is>
          <t>COIN</t>
        </is>
      </c>
      <c r="D12" t="n">
        <v>50.20999908447266</v>
      </c>
      <c r="E12" t="n">
        <v>7.421611309051514</v>
      </c>
      <c r="F12" t="n">
        <v>71778</v>
      </c>
      <c r="G12" t="n">
        <v>-242944</v>
      </c>
      <c r="H12">
        <f>D12*F12</f>
        <v/>
      </c>
      <c r="I12">
        <f>E12*G12</f>
        <v/>
      </c>
      <c r="J12">
        <f>H12-I12</f>
        <v/>
      </c>
      <c r="K12" t="n">
        <v>0.03</v>
      </c>
      <c r="L12" t="n">
        <v>-282087.5619049072</v>
      </c>
      <c r="M12" t="n">
        <v>225379.5067138672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CONL</t>
        </is>
      </c>
      <c r="C13" t="inlineStr">
        <is>
          <t>COIN</t>
        </is>
      </c>
      <c r="D13" t="n">
        <v>49.41999816894531</v>
      </c>
      <c r="E13" t="n">
        <v>7.281957149505615</v>
      </c>
      <c r="F13" t="n">
        <v>71778</v>
      </c>
      <c r="G13" t="n">
        <v>-242944</v>
      </c>
      <c r="H13">
        <f>D13*F13</f>
        <v/>
      </c>
      <c r="I13">
        <f>E13*G13</f>
        <v/>
      </c>
      <c r="J13">
        <f>H13-I13</f>
        <v/>
      </c>
      <c r="K13" t="n">
        <v>0.03</v>
      </c>
      <c r="L13" t="n">
        <v>-56704.68571472168</v>
      </c>
      <c r="M13" t="n">
        <v>33928.14013671875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CONL</t>
        </is>
      </c>
      <c r="C14" t="inlineStr">
        <is>
          <t>COIN</t>
        </is>
      </c>
      <c r="D14" t="n">
        <v>55.15999984741211</v>
      </c>
      <c r="E14" t="n">
        <v>8.538843154907227</v>
      </c>
      <c r="F14" t="n">
        <v>71778</v>
      </c>
      <c r="G14" t="n">
        <v>-242944</v>
      </c>
      <c r="H14">
        <f>D14*F14</f>
        <v/>
      </c>
      <c r="I14">
        <f>E14*G14</f>
        <v/>
      </c>
      <c r="J14">
        <f>H14-I14</f>
        <v/>
      </c>
      <c r="K14" t="n">
        <v>0.03</v>
      </c>
      <c r="L14" t="n">
        <v>412005.8404769897</v>
      </c>
      <c r="M14" t="n">
        <v>-305352.9136962891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CONL</t>
        </is>
      </c>
      <c r="C15" t="inlineStr">
        <is>
          <t>COIN</t>
        </is>
      </c>
      <c r="D15" t="n">
        <v>55.95999908447266</v>
      </c>
      <c r="E15" t="n">
        <v>8.715405464172363</v>
      </c>
      <c r="F15" t="n">
        <v>71778</v>
      </c>
      <c r="G15" t="n">
        <v>-233356</v>
      </c>
      <c r="H15">
        <f>D15*F15</f>
        <v/>
      </c>
      <c r="I15">
        <f>E15*G15</f>
        <v/>
      </c>
      <c r="J15">
        <f>H15-I15</f>
        <v/>
      </c>
      <c r="K15" t="n">
        <v>0.03</v>
      </c>
      <c r="L15" t="n">
        <v>57422.34523773193</v>
      </c>
      <c r="M15" t="n">
        <v>-41201.87424087524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CONL</t>
        </is>
      </c>
      <c r="C16" t="inlineStr">
        <is>
          <t>COIN</t>
        </is>
      </c>
      <c r="D16" t="n">
        <v>53.56000137329102</v>
      </c>
      <c r="E16" t="n">
        <v>8.13983154296875</v>
      </c>
      <c r="F16" t="n">
        <v>71778</v>
      </c>
      <c r="G16" t="n">
        <v>-233356</v>
      </c>
      <c r="H16">
        <f>D16*F16</f>
        <v/>
      </c>
      <c r="I16">
        <f>E16*G16</f>
        <v/>
      </c>
      <c r="J16">
        <f>H16-I16</f>
        <v/>
      </c>
      <c r="K16" t="n">
        <v>0.03</v>
      </c>
      <c r="L16" t="n">
        <v>-172267.0357131958</v>
      </c>
      <c r="M16" t="n">
        <v>134313.6279563904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CONL</t>
        </is>
      </c>
      <c r="C17" t="inlineStr">
        <is>
          <t>COIN</t>
        </is>
      </c>
      <c r="D17" t="n">
        <v>52.7599983215332</v>
      </c>
      <c r="E17" t="n">
        <v>7.96027660369873</v>
      </c>
      <c r="F17" t="n">
        <v>71778</v>
      </c>
      <c r="G17" t="n">
        <v>-233356</v>
      </c>
      <c r="H17">
        <f>D17*F17</f>
        <v/>
      </c>
      <c r="I17">
        <f>E17*G17</f>
        <v/>
      </c>
      <c r="J17">
        <f>H17-I17</f>
        <v/>
      </c>
      <c r="K17" t="n">
        <v>0.03</v>
      </c>
      <c r="L17" t="n">
        <v>-57422.61904907227</v>
      </c>
      <c r="M17" t="n">
        <v>41900.22240829468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CONL</t>
        </is>
      </c>
      <c r="C18" t="inlineStr">
        <is>
          <t>COIN</t>
        </is>
      </c>
      <c r="D18" t="n">
        <v>53.02000045776367</v>
      </c>
      <c r="E18" t="n">
        <v>8.02012825012207</v>
      </c>
      <c r="F18" t="n">
        <v>71778</v>
      </c>
      <c r="G18" t="n">
        <v>-233356</v>
      </c>
      <c r="H18">
        <f>D18*F18</f>
        <v/>
      </c>
      <c r="I18">
        <f>E18*G18</f>
        <v/>
      </c>
      <c r="J18">
        <f>H18-I18</f>
        <v/>
      </c>
      <c r="K18" t="n">
        <v>0.03</v>
      </c>
      <c r="L18" t="n">
        <v>18662.43333435059</v>
      </c>
      <c r="M18" t="n">
        <v>-13966.74080276489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CONL</t>
        </is>
      </c>
      <c r="C19" t="inlineStr">
        <is>
          <t>COIN</t>
        </is>
      </c>
      <c r="D19" t="n">
        <v>61.36999893188478</v>
      </c>
      <c r="E19" t="n">
        <v>9.895481109619141</v>
      </c>
      <c r="F19" t="n">
        <v>71778</v>
      </c>
      <c r="G19" t="n">
        <v>-233356</v>
      </c>
      <c r="H19">
        <f>D19*F19</f>
        <v/>
      </c>
      <c r="I19">
        <f>E19*G19</f>
        <v/>
      </c>
      <c r="J19">
        <f>H19-I19</f>
        <v/>
      </c>
      <c r="K19" t="n">
        <v>0.03</v>
      </c>
      <c r="L19" t="n">
        <v>599346.1904754639</v>
      </c>
      <c r="M19" t="n">
        <v>-437624.8418807983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CONL</t>
        </is>
      </c>
      <c r="C20" t="inlineStr">
        <is>
          <t>COIN</t>
        </is>
      </c>
      <c r="D20" t="n">
        <v>56.15999984741211</v>
      </c>
      <c r="E20" t="n">
        <v>8.658546447753906</v>
      </c>
      <c r="F20" t="n">
        <v>62026</v>
      </c>
      <c r="G20" t="n">
        <v>-193596</v>
      </c>
      <c r="H20">
        <f>D20*F20</f>
        <v/>
      </c>
      <c r="I20">
        <f>E20*G20</f>
        <v/>
      </c>
      <c r="J20">
        <f>H20-I20</f>
        <v/>
      </c>
      <c r="K20" t="n">
        <v>0.03</v>
      </c>
      <c r="L20" t="n">
        <v>-323155.403213501</v>
      </c>
      <c r="M20" t="n">
        <v>239465.6027984619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CONL</t>
        </is>
      </c>
      <c r="C21" t="inlineStr">
        <is>
          <t>COIN</t>
        </is>
      </c>
      <c r="D21" t="n">
        <v>58.47999954223633</v>
      </c>
      <c r="E21" t="n">
        <v>9.167284965515137</v>
      </c>
      <c r="F21" t="n">
        <v>62026</v>
      </c>
      <c r="G21" t="n">
        <v>-193596</v>
      </c>
      <c r="H21">
        <f>D21*F21</f>
        <v/>
      </c>
      <c r="I21">
        <f>E21*G21</f>
        <v/>
      </c>
      <c r="J21">
        <f>H21-I21</f>
        <v/>
      </c>
      <c r="K21" t="n">
        <v>0.03</v>
      </c>
      <c r="L21" t="n">
        <v>143900.301071167</v>
      </c>
      <c r="M21" t="n">
        <v>-98489.74208450317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EWW Price</t>
        </is>
      </c>
      <c r="E1" t="inlineStr">
        <is>
          <t>MEXX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MEXX</t>
        </is>
      </c>
      <c r="C2" t="inlineStr">
        <is>
          <t>EWW</t>
        </is>
      </c>
      <c r="D2" t="n">
        <v>45.60512542724609</v>
      </c>
      <c r="E2" t="n">
        <v>16.08793640136719</v>
      </c>
      <c r="F2" t="n">
        <v>9067</v>
      </c>
      <c r="G2" t="n">
        <v>-8695</v>
      </c>
      <c r="H2">
        <f>D2*F2</f>
        <v/>
      </c>
      <c r="I2">
        <f>E2*G2</f>
        <v/>
      </c>
      <c r="J2">
        <f>H2-I2</f>
        <v/>
      </c>
      <c r="K2" t="n">
        <v>0.0075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MEXX</t>
        </is>
      </c>
      <c r="C3" t="inlineStr">
        <is>
          <t>EWW</t>
        </is>
      </c>
      <c r="D3" t="n">
        <v>46.71038436889648</v>
      </c>
      <c r="E3" t="n">
        <v>17.26618576049805</v>
      </c>
      <c r="F3" t="n">
        <v>9067</v>
      </c>
      <c r="G3" t="n">
        <v>-8695</v>
      </c>
      <c r="H3">
        <f>D3*F3</f>
        <v/>
      </c>
      <c r="I3">
        <f>E3*G3</f>
        <v/>
      </c>
      <c r="J3">
        <f>H3-I3</f>
        <v/>
      </c>
      <c r="K3" t="n">
        <v>0.0075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MEXX</t>
        </is>
      </c>
      <c r="C4" t="inlineStr">
        <is>
          <t>EWW</t>
        </is>
      </c>
      <c r="D4" t="n">
        <v>47.31735610961914</v>
      </c>
      <c r="E4" t="n">
        <v>17.93195915222168</v>
      </c>
      <c r="F4" t="n">
        <v>9067</v>
      </c>
      <c r="G4" t="n">
        <v>-8695</v>
      </c>
      <c r="H4">
        <f>D4*F4</f>
        <v/>
      </c>
      <c r="I4">
        <f>E4*G4</f>
        <v/>
      </c>
      <c r="J4">
        <f>H4-I4</f>
        <v/>
      </c>
      <c r="K4" t="n">
        <v>0.0075</v>
      </c>
      <c r="L4" t="n">
        <v>5503.412773132324</v>
      </c>
      <c r="M4" t="n">
        <v>-5788.899641036987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MEXX</t>
        </is>
      </c>
      <c r="C5" t="inlineStr">
        <is>
          <t>EWW</t>
        </is>
      </c>
      <c r="D5" t="n">
        <v>48.64909362792969</v>
      </c>
      <c r="E5" t="n">
        <v>19.48874855041504</v>
      </c>
      <c r="F5" t="n">
        <v>9067</v>
      </c>
      <c r="G5" t="n">
        <v>-8695</v>
      </c>
      <c r="H5">
        <f>D5*F5</f>
        <v/>
      </c>
      <c r="I5">
        <f>E5*G5</f>
        <v/>
      </c>
      <c r="J5">
        <f>H5-I5</f>
        <v/>
      </c>
      <c r="K5" t="n">
        <v>0.0075</v>
      </c>
      <c r="L5" t="n">
        <v>12074.86407852173</v>
      </c>
      <c r="M5" t="n">
        <v>-13536.28381729126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MEXX</t>
        </is>
      </c>
      <c r="C6" t="inlineStr">
        <is>
          <t>EWW</t>
        </is>
      </c>
      <c r="D6" t="n">
        <v>49.05677032470703</v>
      </c>
      <c r="E6" t="n">
        <v>19.98885536193848</v>
      </c>
      <c r="F6" t="n">
        <v>9067</v>
      </c>
      <c r="G6" t="n">
        <v>-7657</v>
      </c>
      <c r="H6">
        <f>D6*F6</f>
        <v/>
      </c>
      <c r="I6">
        <f>E6*G6</f>
        <v/>
      </c>
      <c r="J6">
        <f>H6-I6</f>
        <v/>
      </c>
      <c r="K6" t="n">
        <v>0.0075</v>
      </c>
      <c r="L6" t="n">
        <v>3696.404609680176</v>
      </c>
      <c r="M6" t="n">
        <v>-3829.317855834961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MEXX</t>
        </is>
      </c>
      <c r="C7" t="inlineStr">
        <is>
          <t>EWW</t>
        </is>
      </c>
      <c r="D7" t="n">
        <v>49.36478805541992</v>
      </c>
      <c r="E7" t="n">
        <v>20.35855293273926</v>
      </c>
      <c r="F7" t="n">
        <v>9067</v>
      </c>
      <c r="G7" t="n">
        <v>-7657</v>
      </c>
      <c r="H7">
        <f>D7*F7</f>
        <v/>
      </c>
      <c r="I7">
        <f>E7*G7</f>
        <v/>
      </c>
      <c r="J7">
        <f>H7-I7</f>
        <v/>
      </c>
      <c r="K7" t="n">
        <v>0.0075</v>
      </c>
      <c r="L7" t="n">
        <v>2792.796764373779</v>
      </c>
      <c r="M7" t="n">
        <v>-2830.774299621582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MEXX</t>
        </is>
      </c>
      <c r="C8" t="inlineStr">
        <is>
          <t>EWW</t>
        </is>
      </c>
      <c r="D8" t="n">
        <v>50.45191955566406</v>
      </c>
      <c r="E8" t="n">
        <v>21.49141311645508</v>
      </c>
      <c r="F8" t="n">
        <v>9067</v>
      </c>
      <c r="G8" t="n">
        <v>-7657</v>
      </c>
      <c r="H8">
        <f>D8*F8</f>
        <v/>
      </c>
      <c r="I8">
        <f>E8*G8</f>
        <v/>
      </c>
      <c r="J8">
        <f>H8-I8</f>
        <v/>
      </c>
      <c r="K8" t="n">
        <v>0.0075</v>
      </c>
      <c r="L8" t="n">
        <v>9857.021312713623</v>
      </c>
      <c r="M8" t="n">
        <v>-8674.310426712036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MEXX</t>
        </is>
      </c>
      <c r="C9" t="inlineStr">
        <is>
          <t>EWW</t>
        </is>
      </c>
      <c r="D9" t="n">
        <v>51.17667388916016</v>
      </c>
      <c r="E9" t="n">
        <v>22.51949882507324</v>
      </c>
      <c r="F9" t="n">
        <v>9067</v>
      </c>
      <c r="G9" t="n">
        <v>-7657</v>
      </c>
      <c r="H9">
        <f>D9*F9</f>
        <v/>
      </c>
      <c r="I9">
        <f>E9*G9</f>
        <v/>
      </c>
      <c r="J9">
        <f>H9-I9</f>
        <v/>
      </c>
      <c r="K9" t="n">
        <v>0.0075</v>
      </c>
      <c r="L9" t="n">
        <v>6571.347541809082</v>
      </c>
      <c r="M9" t="n">
        <v>-7872.052270889282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MEXX</t>
        </is>
      </c>
      <c r="C10" t="inlineStr">
        <is>
          <t>EWW</t>
        </is>
      </c>
      <c r="D10" t="n">
        <v>51.34880447387695</v>
      </c>
      <c r="E10" t="n">
        <v>22.89287757873535</v>
      </c>
      <c r="F10" t="n">
        <v>9067</v>
      </c>
      <c r="G10" t="n">
        <v>-7657</v>
      </c>
      <c r="H10">
        <f>D10*F10</f>
        <v/>
      </c>
      <c r="I10">
        <f>E10*G10</f>
        <v/>
      </c>
      <c r="J10">
        <f>H10-I10</f>
        <v/>
      </c>
      <c r="K10" t="n">
        <v>0.0075</v>
      </c>
      <c r="L10" t="n">
        <v>1560.708011627197</v>
      </c>
      <c r="M10" t="n">
        <v>-2858.961116790771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MEXX</t>
        </is>
      </c>
      <c r="C11" t="inlineStr">
        <is>
          <t>EWW</t>
        </is>
      </c>
      <c r="D11" t="n">
        <v>51.23102951049805</v>
      </c>
      <c r="E11" t="n">
        <v>22.66154479980469</v>
      </c>
      <c r="F11" t="n">
        <v>8705</v>
      </c>
      <c r="G11" t="n">
        <v>-6605</v>
      </c>
      <c r="H11">
        <f>D11*F11</f>
        <v/>
      </c>
      <c r="I11">
        <f>E11*G11</f>
        <v/>
      </c>
      <c r="J11">
        <f>H11-I11</f>
        <v/>
      </c>
      <c r="K11" t="n">
        <v>0.0075</v>
      </c>
      <c r="L11" t="n">
        <v>-1025.231056213379</v>
      </c>
      <c r="M11" t="n">
        <v>1527.953004837036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MEXX</t>
        </is>
      </c>
      <c r="C12" t="inlineStr">
        <is>
          <t>EWW</t>
        </is>
      </c>
      <c r="D12" t="n">
        <v>50.77806091308594</v>
      </c>
      <c r="E12" t="n">
        <v>22.04853057861328</v>
      </c>
      <c r="F12" t="n">
        <v>8705</v>
      </c>
      <c r="G12" t="n">
        <v>-6605</v>
      </c>
      <c r="H12">
        <f>D12*F12</f>
        <v/>
      </c>
      <c r="I12">
        <f>E12*G12</f>
        <v/>
      </c>
      <c r="J12">
        <f>H12-I12</f>
        <v/>
      </c>
      <c r="K12" t="n">
        <v>0.0075</v>
      </c>
      <c r="L12" t="n">
        <v>-3943.091640472412</v>
      </c>
      <c r="M12" t="n">
        <v>4048.958930969238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MEXX</t>
        </is>
      </c>
      <c r="C13" t="inlineStr">
        <is>
          <t>EWW</t>
        </is>
      </c>
      <c r="D13" t="n">
        <v>50.74181747436523</v>
      </c>
      <c r="E13" t="n">
        <v>21.98525428771973</v>
      </c>
      <c r="F13" t="n">
        <v>8705</v>
      </c>
      <c r="G13" t="n">
        <v>-6605</v>
      </c>
      <c r="H13">
        <f>D13*F13</f>
        <v/>
      </c>
      <c r="I13">
        <f>E13*G13</f>
        <v/>
      </c>
      <c r="J13">
        <f>H13-I13</f>
        <v/>
      </c>
      <c r="K13" t="n">
        <v>0.0075</v>
      </c>
      <c r="L13" t="n">
        <v>-315.4991340637207</v>
      </c>
      <c r="M13" t="n">
        <v>417.9399013519287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MEXX</t>
        </is>
      </c>
      <c r="C14" t="inlineStr">
        <is>
          <t>EWW</t>
        </is>
      </c>
      <c r="D14" t="n">
        <v>51.52092742919922</v>
      </c>
      <c r="E14" t="n">
        <v>22.9609489440918</v>
      </c>
      <c r="F14" t="n">
        <v>8705</v>
      </c>
      <c r="G14" t="n">
        <v>-6605</v>
      </c>
      <c r="H14">
        <f>D14*F14</f>
        <v/>
      </c>
      <c r="I14">
        <f>E14*G14</f>
        <v/>
      </c>
      <c r="J14">
        <f>H14-I14</f>
        <v/>
      </c>
      <c r="K14" t="n">
        <v>0.0075</v>
      </c>
      <c r="L14" t="n">
        <v>6782.152156829834</v>
      </c>
      <c r="M14" t="n">
        <v>-6444.463205337524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MEXX</t>
        </is>
      </c>
      <c r="C15" t="inlineStr">
        <is>
          <t>EWW</t>
        </is>
      </c>
      <c r="D15" t="n">
        <v>52.218505859375</v>
      </c>
      <c r="E15" t="n">
        <v>23.83536338806152</v>
      </c>
      <c r="F15" t="n">
        <v>8705</v>
      </c>
      <c r="G15" t="n">
        <v>-6605</v>
      </c>
      <c r="H15">
        <f>D15*F15</f>
        <v/>
      </c>
      <c r="I15">
        <f>E15*G15</f>
        <v/>
      </c>
      <c r="J15">
        <f>H15-I15</f>
        <v/>
      </c>
      <c r="K15" t="n">
        <v>0.0075</v>
      </c>
      <c r="L15" t="n">
        <v>6072.420234680176</v>
      </c>
      <c r="M15" t="n">
        <v>-5775.507402420044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MEXX</t>
        </is>
      </c>
      <c r="C16" t="inlineStr">
        <is>
          <t>EWW</t>
        </is>
      </c>
      <c r="D16" t="n">
        <v>52.57182312011719</v>
      </c>
      <c r="E16" t="n">
        <v>24.3212718963623</v>
      </c>
      <c r="F16" t="n">
        <v>8705</v>
      </c>
      <c r="G16" t="n">
        <v>-6605</v>
      </c>
      <c r="H16">
        <f>D16*F16</f>
        <v/>
      </c>
      <c r="I16">
        <f>E16*G16</f>
        <v/>
      </c>
      <c r="J16">
        <f>H16-I16</f>
        <v/>
      </c>
      <c r="K16" t="n">
        <v>0.0075</v>
      </c>
      <c r="L16" t="n">
        <v>3075.626754760742</v>
      </c>
      <c r="M16" t="n">
        <v>-3209.42569732666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MEXX</t>
        </is>
      </c>
      <c r="C17" t="inlineStr">
        <is>
          <t>EWW</t>
        </is>
      </c>
      <c r="D17" t="n">
        <v>52.66242218017578</v>
      </c>
      <c r="E17" t="n">
        <v>24.4227352142334</v>
      </c>
      <c r="F17" t="n">
        <v>8705</v>
      </c>
      <c r="G17" t="n">
        <v>-6605</v>
      </c>
      <c r="H17">
        <f>D17*F17</f>
        <v/>
      </c>
      <c r="I17">
        <f>E17*G17</f>
        <v/>
      </c>
      <c r="J17">
        <f>H17-I17</f>
        <v/>
      </c>
      <c r="K17" t="n">
        <v>0.0075</v>
      </c>
      <c r="L17" t="n">
        <v>788.6648178100586</v>
      </c>
      <c r="M17" t="n">
        <v>-670.1652145385742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MEXX</t>
        </is>
      </c>
      <c r="C18" t="inlineStr">
        <is>
          <t>EWW</t>
        </is>
      </c>
      <c r="D18" t="n">
        <v>52.96138000488281</v>
      </c>
      <c r="E18" t="n">
        <v>24.80883979797363</v>
      </c>
      <c r="F18" t="n">
        <v>8705</v>
      </c>
      <c r="G18" t="n">
        <v>-6605</v>
      </c>
      <c r="H18">
        <f>D18*F18</f>
        <v/>
      </c>
      <c r="I18">
        <f>E18*G18</f>
        <v/>
      </c>
      <c r="J18">
        <f>H18-I18</f>
        <v/>
      </c>
      <c r="K18" t="n">
        <v>0.0075</v>
      </c>
      <c r="L18" t="n">
        <v>2602.427864074707</v>
      </c>
      <c r="M18" t="n">
        <v>-2550.220775604248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MEXX</t>
        </is>
      </c>
      <c r="C19" t="inlineStr">
        <is>
          <t>EWW</t>
        </is>
      </c>
      <c r="D19" t="n">
        <v>52.58994293212891</v>
      </c>
      <c r="E19" t="n">
        <v>24.2978458404541</v>
      </c>
      <c r="F19" t="n">
        <v>8705</v>
      </c>
      <c r="G19" t="n">
        <v>-6605</v>
      </c>
      <c r="H19">
        <f>D19*F19</f>
        <v/>
      </c>
      <c r="I19">
        <f>E19*G19</f>
        <v/>
      </c>
      <c r="J19">
        <f>H19-I19</f>
        <v/>
      </c>
      <c r="K19" t="n">
        <v>0.0075</v>
      </c>
      <c r="L19" t="n">
        <v>-3233.359718322754</v>
      </c>
      <c r="M19" t="n">
        <v>3375.115089416504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MEXX</t>
        </is>
      </c>
      <c r="C20" t="inlineStr">
        <is>
          <t>EWW</t>
        </is>
      </c>
      <c r="D20" t="n">
        <v>52.20038604736328</v>
      </c>
      <c r="E20" t="n">
        <v>23.87742233276367</v>
      </c>
      <c r="F20" t="n">
        <v>9018</v>
      </c>
      <c r="G20" t="n">
        <v>-6603</v>
      </c>
      <c r="H20">
        <f>D20*F20</f>
        <v/>
      </c>
      <c r="I20">
        <f>E20*G20</f>
        <v/>
      </c>
      <c r="J20">
        <f>H20-I20</f>
        <v/>
      </c>
      <c r="K20" t="n">
        <v>0.0075</v>
      </c>
      <c r="L20" t="n">
        <v>-3513.023986816406</v>
      </c>
      <c r="M20" t="n">
        <v>2776.056421279907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MEXX</t>
        </is>
      </c>
      <c r="C21" t="inlineStr">
        <is>
          <t>EWW</t>
        </is>
      </c>
      <c r="D21" t="n">
        <v>52.22756958007812</v>
      </c>
      <c r="E21" t="n">
        <v>23.8410816192627</v>
      </c>
      <c r="F21" t="n">
        <v>9018</v>
      </c>
      <c r="G21" t="n">
        <v>-6603</v>
      </c>
      <c r="H21">
        <f>D21*F21</f>
        <v/>
      </c>
      <c r="I21">
        <f>E21*G21</f>
        <v/>
      </c>
      <c r="J21">
        <f>H21-I21</f>
        <v/>
      </c>
      <c r="K21" t="n">
        <v>0.0075</v>
      </c>
      <c r="L21" t="n">
        <v>245.1410980224609</v>
      </c>
      <c r="M21" t="n">
        <v>239.9577312469482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EWY Price</t>
        </is>
      </c>
      <c r="E1" t="inlineStr">
        <is>
          <t>KORU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KORU</t>
        </is>
      </c>
      <c r="C2" t="inlineStr">
        <is>
          <t>EWY</t>
        </is>
      </c>
      <c r="D2" t="n">
        <v>51.599609375</v>
      </c>
      <c r="E2" t="n">
        <v>66.14920043945312</v>
      </c>
      <c r="F2" t="n">
        <v>12826</v>
      </c>
      <c r="G2" t="n">
        <v>-3410</v>
      </c>
      <c r="H2">
        <f>D2*F2</f>
        <v/>
      </c>
      <c r="I2">
        <f>E2*G2</f>
        <v/>
      </c>
      <c r="J2">
        <f>H2-I2</f>
        <v/>
      </c>
      <c r="K2" t="n">
        <v>0.0225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KORU</t>
        </is>
      </c>
      <c r="C3" t="inlineStr">
        <is>
          <t>EWY</t>
        </is>
      </c>
      <c r="D3" t="n">
        <v>53.63827133178711</v>
      </c>
      <c r="E3" t="n">
        <v>73.71712493896484</v>
      </c>
      <c r="F3" t="n">
        <v>12826</v>
      </c>
      <c r="G3" t="n">
        <v>-3410</v>
      </c>
      <c r="H3">
        <f>D3*F3</f>
        <v/>
      </c>
      <c r="I3">
        <f>E3*G3</f>
        <v/>
      </c>
      <c r="J3">
        <f>H3-I3</f>
        <v/>
      </c>
      <c r="K3" t="n">
        <v>0.0225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KORU</t>
        </is>
      </c>
      <c r="C4" t="inlineStr">
        <is>
          <t>EWY</t>
        </is>
      </c>
      <c r="D4" t="n">
        <v>53.0704231262207</v>
      </c>
      <c r="E4" t="n">
        <v>71.47476959228516</v>
      </c>
      <c r="F4" t="n">
        <v>12826</v>
      </c>
      <c r="G4" t="n">
        <v>-3410</v>
      </c>
      <c r="H4">
        <f>D4*F4</f>
        <v/>
      </c>
      <c r="I4">
        <f>E4*G4</f>
        <v/>
      </c>
      <c r="J4">
        <f>H4-I4</f>
        <v/>
      </c>
      <c r="K4" t="n">
        <v>0.0225</v>
      </c>
      <c r="L4" t="n">
        <v>-7283.221084594727</v>
      </c>
      <c r="M4" t="n">
        <v>7646.431732177734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KORU</t>
        </is>
      </c>
      <c r="C5" t="inlineStr">
        <is>
          <t>EWY</t>
        </is>
      </c>
      <c r="D5" t="n">
        <v>55.75141143798828</v>
      </c>
      <c r="E5" t="n">
        <v>82.59306335449219</v>
      </c>
      <c r="F5" t="n">
        <v>12826</v>
      </c>
      <c r="G5" t="n">
        <v>-3410</v>
      </c>
      <c r="H5">
        <f>D5*F5</f>
        <v/>
      </c>
      <c r="I5">
        <f>E5*G5</f>
        <v/>
      </c>
      <c r="J5">
        <f>H5-I5</f>
        <v/>
      </c>
      <c r="K5" t="n">
        <v>0.0225</v>
      </c>
      <c r="L5" t="n">
        <v>34386.35608673096</v>
      </c>
      <c r="M5" t="n">
        <v>-37913.38172912598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KORU</t>
        </is>
      </c>
      <c r="C6" t="inlineStr">
        <is>
          <t>EWY</t>
        </is>
      </c>
      <c r="D6" t="n">
        <v>56.92433929443359</v>
      </c>
      <c r="E6" t="n">
        <v>87.73178863525391</v>
      </c>
      <c r="F6" t="n">
        <v>12826</v>
      </c>
      <c r="G6" t="n">
        <v>-2951</v>
      </c>
      <c r="H6">
        <f>D6*F6</f>
        <v/>
      </c>
      <c r="I6">
        <f>E6*G6</f>
        <v/>
      </c>
      <c r="J6">
        <f>H6-I6</f>
        <v/>
      </c>
      <c r="K6" t="n">
        <v>0.0225</v>
      </c>
      <c r="L6" t="n">
        <v>15043.97268676758</v>
      </c>
      <c r="M6" t="n">
        <v>-15164.37830352783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KORU</t>
        </is>
      </c>
      <c r="C7" t="inlineStr">
        <is>
          <t>EWY</t>
        </is>
      </c>
      <c r="D7" t="n">
        <v>57.11051559448242</v>
      </c>
      <c r="E7" t="n">
        <v>88.57265472412109</v>
      </c>
      <c r="F7" t="n">
        <v>12826</v>
      </c>
      <c r="G7" t="n">
        <v>-2951</v>
      </c>
      <c r="H7">
        <f>D7*F7</f>
        <v/>
      </c>
      <c r="I7">
        <f>E7*G7</f>
        <v/>
      </c>
      <c r="J7">
        <f>H7-I7</f>
        <v/>
      </c>
      <c r="K7" t="n">
        <v>0.0225</v>
      </c>
      <c r="L7" t="n">
        <v>2387.89722442627</v>
      </c>
      <c r="M7" t="n">
        <v>-2481.39582824707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KORU</t>
        </is>
      </c>
      <c r="C8" t="inlineStr">
        <is>
          <t>EWY</t>
        </is>
      </c>
      <c r="D8" t="n">
        <v>57.25946426391602</v>
      </c>
      <c r="E8" t="n">
        <v>89.22666168212891</v>
      </c>
      <c r="F8" t="n">
        <v>12826</v>
      </c>
      <c r="G8" t="n">
        <v>-2951</v>
      </c>
      <c r="H8">
        <f>D8*F8</f>
        <v/>
      </c>
      <c r="I8">
        <f>E8*G8</f>
        <v/>
      </c>
      <c r="J8">
        <f>H8-I8</f>
        <v/>
      </c>
      <c r="K8" t="n">
        <v>0.0225</v>
      </c>
      <c r="L8" t="n">
        <v>1910.415634155273</v>
      </c>
      <c r="M8" t="n">
        <v>-1929.974533081055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KORU</t>
        </is>
      </c>
      <c r="C9" t="inlineStr">
        <is>
          <t>EWY</t>
        </is>
      </c>
      <c r="D9" t="n">
        <v>57.67836380004883</v>
      </c>
      <c r="E9" t="n">
        <v>91.18874359130859</v>
      </c>
      <c r="F9" t="n">
        <v>12826</v>
      </c>
      <c r="G9" t="n">
        <v>-2951</v>
      </c>
      <c r="H9">
        <f>D9*F9</f>
        <v/>
      </c>
      <c r="I9">
        <f>E9*G9</f>
        <v/>
      </c>
      <c r="J9">
        <f>H9-I9</f>
        <v/>
      </c>
      <c r="K9" t="n">
        <v>0.0225</v>
      </c>
      <c r="L9" t="n">
        <v>5372.805450439453</v>
      </c>
      <c r="M9" t="n">
        <v>-5790.103713989258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KORU</t>
        </is>
      </c>
      <c r="C10" t="inlineStr">
        <is>
          <t>EWY</t>
        </is>
      </c>
      <c r="D10" t="n">
        <v>58.10657501220703</v>
      </c>
      <c r="E10" t="n">
        <v>93.15078735351562</v>
      </c>
      <c r="F10" t="n">
        <v>12826</v>
      </c>
      <c r="G10" t="n">
        <v>-2951</v>
      </c>
      <c r="H10">
        <f>D10*F10</f>
        <v/>
      </c>
      <c r="I10">
        <f>E10*G10</f>
        <v/>
      </c>
      <c r="J10">
        <f>H10-I10</f>
        <v/>
      </c>
      <c r="K10" t="n">
        <v>0.0225</v>
      </c>
      <c r="L10" t="n">
        <v>5492.237007141113</v>
      </c>
      <c r="M10" t="n">
        <v>-5789.991142272949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KORU</t>
        </is>
      </c>
      <c r="C11" t="inlineStr">
        <is>
          <t>EWY</t>
        </is>
      </c>
      <c r="D11" t="n">
        <v>57.94832229614258</v>
      </c>
      <c r="E11" t="n">
        <v>92.30992126464844</v>
      </c>
      <c r="F11" t="n">
        <v>12312</v>
      </c>
      <c r="G11" t="n">
        <v>-2618</v>
      </c>
      <c r="H11">
        <f>D11*F11</f>
        <v/>
      </c>
      <c r="I11">
        <f>E11*G11</f>
        <v/>
      </c>
      <c r="J11">
        <f>H11-I11</f>
        <v/>
      </c>
      <c r="K11" t="n">
        <v>0.0225</v>
      </c>
      <c r="L11" t="n">
        <v>-1948.407440185547</v>
      </c>
      <c r="M11" t="n">
        <v>2201.387420654297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KORU</t>
        </is>
      </c>
      <c r="C12" t="inlineStr">
        <is>
          <t>EWY</t>
        </is>
      </c>
      <c r="D12" t="n">
        <v>57.08259201049805</v>
      </c>
      <c r="E12" t="n">
        <v>88.2923583984375</v>
      </c>
      <c r="F12" t="n">
        <v>12312</v>
      </c>
      <c r="G12" t="n">
        <v>-2618</v>
      </c>
      <c r="H12">
        <f>D12*F12</f>
        <v/>
      </c>
      <c r="I12">
        <f>E12*G12</f>
        <v/>
      </c>
      <c r="J12">
        <f>H12-I12</f>
        <v/>
      </c>
      <c r="K12" t="n">
        <v>0.0225</v>
      </c>
      <c r="L12" t="n">
        <v>-10658.87127685547</v>
      </c>
      <c r="M12" t="n">
        <v>10517.97958374023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KORU</t>
        </is>
      </c>
      <c r="C13" t="inlineStr">
        <is>
          <t>EWY</t>
        </is>
      </c>
      <c r="D13" t="n">
        <v>57.87385177612305</v>
      </c>
      <c r="E13" t="n">
        <v>91.56246185302734</v>
      </c>
      <c r="F13" t="n">
        <v>12312</v>
      </c>
      <c r="G13" t="n">
        <v>-2618</v>
      </c>
      <c r="H13">
        <f>D13*F13</f>
        <v/>
      </c>
      <c r="I13">
        <f>E13*G13</f>
        <v/>
      </c>
      <c r="J13">
        <f>H13-I13</f>
        <v/>
      </c>
      <c r="K13" t="n">
        <v>0.0225</v>
      </c>
      <c r="L13" t="n">
        <v>9741.990234375</v>
      </c>
      <c r="M13" t="n">
        <v>-8561.130844116211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KORU</t>
        </is>
      </c>
      <c r="C14" t="inlineStr">
        <is>
          <t>EWY</t>
        </is>
      </c>
      <c r="D14" t="n">
        <v>58.86991500854492</v>
      </c>
      <c r="E14" t="n">
        <v>96.42086791992188</v>
      </c>
      <c r="F14" t="n">
        <v>12312</v>
      </c>
      <c r="G14" t="n">
        <v>-2618</v>
      </c>
      <c r="H14">
        <f>D14*F14</f>
        <v/>
      </c>
      <c r="I14">
        <f>E14*G14</f>
        <v/>
      </c>
      <c r="J14">
        <f>H14-I14</f>
        <v/>
      </c>
      <c r="K14" t="n">
        <v>0.0225</v>
      </c>
      <c r="L14" t="n">
        <v>12263.53051757812</v>
      </c>
      <c r="M14" t="n">
        <v>-12719.30708312988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KORU</t>
        </is>
      </c>
      <c r="C15" t="inlineStr">
        <is>
          <t>EWY</t>
        </is>
      </c>
      <c r="D15" t="n">
        <v>59.48430633544922</v>
      </c>
      <c r="E15" t="n">
        <v>99.31724548339844</v>
      </c>
      <c r="F15" t="n">
        <v>12312</v>
      </c>
      <c r="G15" t="n">
        <v>-2618</v>
      </c>
      <c r="H15">
        <f>D15*F15</f>
        <v/>
      </c>
      <c r="I15">
        <f>E15*G15</f>
        <v/>
      </c>
      <c r="J15">
        <f>H15-I15</f>
        <v/>
      </c>
      <c r="K15" t="n">
        <v>0.0225</v>
      </c>
      <c r="L15" t="n">
        <v>7564.386016845703</v>
      </c>
      <c r="M15" t="n">
        <v>-7582.716461181641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KORU</t>
        </is>
      </c>
      <c r="C16" t="inlineStr">
        <is>
          <t>EWY</t>
        </is>
      </c>
      <c r="D16" t="n">
        <v>59.30743408203125</v>
      </c>
      <c r="E16" t="n">
        <v>98.28949737548828</v>
      </c>
      <c r="F16" t="n">
        <v>12312</v>
      </c>
      <c r="G16" t="n">
        <v>-2618</v>
      </c>
      <c r="H16">
        <f>D16*F16</f>
        <v/>
      </c>
      <c r="I16">
        <f>E16*G16</f>
        <v/>
      </c>
      <c r="J16">
        <f>H16-I16</f>
        <v/>
      </c>
      <c r="K16" t="n">
        <v>0.0225</v>
      </c>
      <c r="L16" t="n">
        <v>-2177.651184082031</v>
      </c>
      <c r="M16" t="n">
        <v>2690.644546508789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KORU</t>
        </is>
      </c>
      <c r="C17" t="inlineStr">
        <is>
          <t>EWY</t>
        </is>
      </c>
      <c r="D17" t="n">
        <v>59.44707107543945</v>
      </c>
      <c r="E17" t="n">
        <v>99.03694915771484</v>
      </c>
      <c r="F17" t="n">
        <v>12312</v>
      </c>
      <c r="G17" t="n">
        <v>-2618</v>
      </c>
      <c r="H17">
        <f>D17*F17</f>
        <v/>
      </c>
      <c r="I17">
        <f>E17*G17</f>
        <v/>
      </c>
      <c r="J17">
        <f>H17-I17</f>
        <v/>
      </c>
      <c r="K17" t="n">
        <v>0.0225</v>
      </c>
      <c r="L17" t="n">
        <v>1719.210662841797</v>
      </c>
      <c r="M17" t="n">
        <v>-1956.828765869141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KORU</t>
        </is>
      </c>
      <c r="C18" t="inlineStr">
        <is>
          <t>EWY</t>
        </is>
      </c>
      <c r="D18" t="n">
        <v>60.59206771850586</v>
      </c>
      <c r="E18" t="n">
        <v>104.642822265625</v>
      </c>
      <c r="F18" t="n">
        <v>12312</v>
      </c>
      <c r="G18" t="n">
        <v>-2618</v>
      </c>
      <c r="H18">
        <f>D18*F18</f>
        <v/>
      </c>
      <c r="I18">
        <f>E18*G18</f>
        <v/>
      </c>
      <c r="J18">
        <f>H18-I18</f>
        <v/>
      </c>
      <c r="K18" t="n">
        <v>0.0225</v>
      </c>
      <c r="L18" t="n">
        <v>14097.19866943359</v>
      </c>
      <c r="M18" t="n">
        <v>-14676.17579650879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KORU</t>
        </is>
      </c>
      <c r="C19" t="inlineStr">
        <is>
          <t>EWY</t>
        </is>
      </c>
      <c r="D19" t="n">
        <v>60.88996124267578</v>
      </c>
      <c r="E19" t="n">
        <v>106.6048583984375</v>
      </c>
      <c r="F19" t="n">
        <v>12312</v>
      </c>
      <c r="G19" t="n">
        <v>-2618</v>
      </c>
      <c r="H19">
        <f>D19*F19</f>
        <v/>
      </c>
      <c r="I19">
        <f>E19*G19</f>
        <v/>
      </c>
      <c r="J19">
        <f>H19-I19</f>
        <v/>
      </c>
      <c r="K19" t="n">
        <v>0.0225</v>
      </c>
      <c r="L19" t="n">
        <v>3667.665069580078</v>
      </c>
      <c r="M19" t="n">
        <v>-5136.610595703125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KORU</t>
        </is>
      </c>
      <c r="C20" t="inlineStr">
        <is>
          <t>EWY</t>
        </is>
      </c>
      <c r="D20" t="n">
        <v>59.54947280883789</v>
      </c>
      <c r="E20" t="n">
        <v>99.31724548339844</v>
      </c>
      <c r="F20" t="n">
        <v>12466</v>
      </c>
      <c r="G20" t="n">
        <v>-2427</v>
      </c>
      <c r="H20">
        <f>D20*F20</f>
        <v/>
      </c>
      <c r="I20">
        <f>E20*G20</f>
        <v/>
      </c>
      <c r="J20">
        <f>H20-I20</f>
        <v/>
      </c>
      <c r="K20" t="n">
        <v>0.0225</v>
      </c>
      <c r="L20" t="n">
        <v>-16710.52881622314</v>
      </c>
      <c r="M20" t="n">
        <v>17687.0365447998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KORU</t>
        </is>
      </c>
      <c r="C21" t="inlineStr">
        <is>
          <t>EWY</t>
        </is>
      </c>
      <c r="D21" t="n">
        <v>59.08401870727539</v>
      </c>
      <c r="E21" t="n">
        <v>96.60773468017578</v>
      </c>
      <c r="F21" t="n">
        <v>12466</v>
      </c>
      <c r="G21" t="n">
        <v>-2427</v>
      </c>
      <c r="H21">
        <f>D21*F21</f>
        <v/>
      </c>
      <c r="I21">
        <f>E21*G21</f>
        <v/>
      </c>
      <c r="J21">
        <f>H21-I21</f>
        <v/>
      </c>
      <c r="K21" t="n">
        <v>0.0225</v>
      </c>
      <c r="L21" t="n">
        <v>-5802.350830078125</v>
      </c>
      <c r="M21" t="n">
        <v>6575.982719421387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FXI Price</t>
        </is>
      </c>
      <c r="E1" t="inlineStr">
        <is>
          <t>YINN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YINN</t>
        </is>
      </c>
      <c r="C2" t="inlineStr">
        <is>
          <t>FXI</t>
        </is>
      </c>
      <c r="D2" t="n">
        <v>27.23507308959961</v>
      </c>
      <c r="E2" t="n">
        <v>47.69096374511719</v>
      </c>
      <c r="F2" t="n">
        <v>35048</v>
      </c>
      <c r="G2" t="n">
        <v>-6728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YINN</t>
        </is>
      </c>
      <c r="C3" t="inlineStr">
        <is>
          <t>FXI</t>
        </is>
      </c>
      <c r="D3" t="n">
        <v>28.97209739685059</v>
      </c>
      <c r="E3" t="n">
        <v>56.7504768371582</v>
      </c>
      <c r="F3" t="n">
        <v>35048</v>
      </c>
      <c r="G3" t="n">
        <v>-6728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YINN</t>
        </is>
      </c>
      <c r="C4" t="inlineStr">
        <is>
          <t>FXI</t>
        </is>
      </c>
      <c r="D4" t="n">
        <v>28.90707588195801</v>
      </c>
      <c r="E4" t="n">
        <v>56.48868560791016</v>
      </c>
      <c r="F4" t="n">
        <v>35048</v>
      </c>
      <c r="G4" t="n">
        <v>-6728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-2278.874053955078</v>
      </c>
      <c r="M4" t="n">
        <v>1761.331390380859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YINN</t>
        </is>
      </c>
      <c r="C5" t="inlineStr">
        <is>
          <t>FXI</t>
        </is>
      </c>
      <c r="D5" t="n">
        <v>28.98138809204102</v>
      </c>
      <c r="E5" t="n">
        <v>56.95615768432617</v>
      </c>
      <c r="F5" t="n">
        <v>35048</v>
      </c>
      <c r="G5" t="n">
        <v>-6728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2604.494338989258</v>
      </c>
      <c r="M5" t="n">
        <v>-3145.152130126953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YINN</t>
        </is>
      </c>
      <c r="C6" t="inlineStr">
        <is>
          <t>FXI</t>
        </is>
      </c>
      <c r="D6" t="n">
        <v>28.98138809204102</v>
      </c>
      <c r="E6" t="n">
        <v>57.05899810791016</v>
      </c>
      <c r="F6" t="n">
        <v>35048</v>
      </c>
      <c r="G6" t="n">
        <v>-5995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0</v>
      </c>
      <c r="M6" t="n">
        <v>-616.5283393859863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YINN</t>
        </is>
      </c>
      <c r="C7" t="inlineStr">
        <is>
          <t>FXI</t>
        </is>
      </c>
      <c r="D7" t="n">
        <v>29.34365463256836</v>
      </c>
      <c r="E7" t="n">
        <v>58.9569091796875</v>
      </c>
      <c r="F7" t="n">
        <v>35048</v>
      </c>
      <c r="G7" t="n">
        <v>-5995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12696.71771240234</v>
      </c>
      <c r="M7" t="n">
        <v>-11377.97687530518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YINN</t>
        </is>
      </c>
      <c r="C8" t="inlineStr">
        <is>
          <t>FXI</t>
        </is>
      </c>
      <c r="D8" t="n">
        <v>29.64089965820312</v>
      </c>
      <c r="E8" t="n">
        <v>60.72393417358398</v>
      </c>
      <c r="F8" t="n">
        <v>35048</v>
      </c>
      <c r="G8" t="n">
        <v>-5995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10417.84365844727</v>
      </c>
      <c r="M8" t="n">
        <v>-10593.31483840942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YINN</t>
        </is>
      </c>
      <c r="C9" t="inlineStr">
        <is>
          <t>FXI</t>
        </is>
      </c>
      <c r="D9" t="n">
        <v>29.39010047912598</v>
      </c>
      <c r="E9" t="n">
        <v>59.12521362304688</v>
      </c>
      <c r="F9" t="n">
        <v>35048</v>
      </c>
      <c r="G9" t="n">
        <v>-5995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-8790.009628295898</v>
      </c>
      <c r="M9" t="n">
        <v>9584.329700469971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YINN</t>
        </is>
      </c>
      <c r="C10" t="inlineStr">
        <is>
          <t>FXI</t>
        </is>
      </c>
      <c r="D10" t="n">
        <v>29.80809783935547</v>
      </c>
      <c r="E10" t="n">
        <v>61.59342575073242</v>
      </c>
      <c r="F10" t="n">
        <v>35048</v>
      </c>
      <c r="G10" t="n">
        <v>-5995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14649.97148132324</v>
      </c>
      <c r="M10" t="n">
        <v>-14796.93170547485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YINN</t>
        </is>
      </c>
      <c r="C11" t="inlineStr">
        <is>
          <t>FXI</t>
        </is>
      </c>
      <c r="D11" t="n">
        <v>29.15787506103516</v>
      </c>
      <c r="E11" t="n">
        <v>57.63865280151367</v>
      </c>
      <c r="F11" t="n">
        <v>34614</v>
      </c>
      <c r="G11" t="n">
        <v>-5631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-22506.8112487793</v>
      </c>
      <c r="M11" t="n">
        <v>22269.32647705078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YINN</t>
        </is>
      </c>
      <c r="C12" t="inlineStr">
        <is>
          <t>FXI</t>
        </is>
      </c>
      <c r="D12" t="n">
        <v>28.86991882324219</v>
      </c>
      <c r="E12" t="n">
        <v>55.84358215332031</v>
      </c>
      <c r="F12" t="n">
        <v>34614</v>
      </c>
      <c r="G12" t="n">
        <v>-5631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-9967.31721496582</v>
      </c>
      <c r="M12" t="n">
        <v>10108.04281997681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YINN</t>
        </is>
      </c>
      <c r="C13" t="inlineStr">
        <is>
          <t>FXI</t>
        </is>
      </c>
      <c r="D13" t="n">
        <v>29.44583320617676</v>
      </c>
      <c r="E13" t="n">
        <v>59.27478790283203</v>
      </c>
      <c r="F13" t="n">
        <v>34614</v>
      </c>
      <c r="G13" t="n">
        <v>-5631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19934.70045089722</v>
      </c>
      <c r="M13" t="n">
        <v>-19321.11957550049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YINN</t>
        </is>
      </c>
      <c r="C14" t="inlineStr">
        <is>
          <t>FXI</t>
        </is>
      </c>
      <c r="D14" t="n">
        <v>30.17965507507324</v>
      </c>
      <c r="E14" t="n">
        <v>63.55678558349609</v>
      </c>
      <c r="F14" t="n">
        <v>34614</v>
      </c>
      <c r="G14" t="n">
        <v>-5631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25400.51016998291</v>
      </c>
      <c r="M14" t="n">
        <v>-24111.92893981934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YINN</t>
        </is>
      </c>
      <c r="C15" t="inlineStr">
        <is>
          <t>FXI</t>
        </is>
      </c>
      <c r="D15" t="n">
        <v>30.51405334472656</v>
      </c>
      <c r="E15" t="n">
        <v>65.48275756835938</v>
      </c>
      <c r="F15" t="n">
        <v>34614</v>
      </c>
      <c r="G15" t="n">
        <v>-5631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11574.86170578003</v>
      </c>
      <c r="M15" t="n">
        <v>-10845.14824676514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YINN</t>
        </is>
      </c>
      <c r="C16" t="inlineStr">
        <is>
          <t>FXI</t>
        </is>
      </c>
      <c r="D16" t="n">
        <v>30.45832061767578</v>
      </c>
      <c r="E16" t="n">
        <v>65.33316802978516</v>
      </c>
      <c r="F16" t="n">
        <v>34614</v>
      </c>
      <c r="G16" t="n">
        <v>-5631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-1929.132614135742</v>
      </c>
      <c r="M16" t="n">
        <v>842.3386917114258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YINN</t>
        </is>
      </c>
      <c r="C17" t="inlineStr">
        <is>
          <t>FXI</t>
        </is>
      </c>
      <c r="D17" t="n">
        <v>30.52334594726562</v>
      </c>
      <c r="E17" t="n">
        <v>65.76322937011719</v>
      </c>
      <c r="F17" t="n">
        <v>34614</v>
      </c>
      <c r="G17" t="n">
        <v>-5631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2250.786758422852</v>
      </c>
      <c r="M17" t="n">
        <v>-2421.675407409668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YINN</t>
        </is>
      </c>
      <c r="C18" t="inlineStr">
        <is>
          <t>FXI</t>
        </is>
      </c>
      <c r="D18" t="n">
        <v>30.92276763916016</v>
      </c>
      <c r="E18" t="n">
        <v>68.25015258789062</v>
      </c>
      <c r="F18" t="n">
        <v>34614</v>
      </c>
      <c r="G18" t="n">
        <v>-5631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13825.5824432373</v>
      </c>
      <c r="M18" t="n">
        <v>-14003.86463928223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YINN</t>
        </is>
      </c>
      <c r="C19" t="inlineStr">
        <is>
          <t>FXI</t>
        </is>
      </c>
      <c r="D19" t="n">
        <v>30.86703681945801</v>
      </c>
      <c r="E19" t="n">
        <v>67.92293548583984</v>
      </c>
      <c r="F19" t="n">
        <v>34614</v>
      </c>
      <c r="G19" t="n">
        <v>-5631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-1929.066593170166</v>
      </c>
      <c r="M19" t="n">
        <v>1842.559501647949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YINN</t>
        </is>
      </c>
      <c r="C20" t="inlineStr">
        <is>
          <t>FXI</t>
        </is>
      </c>
      <c r="D20" t="n">
        <v>29.72450065612793</v>
      </c>
      <c r="E20" t="n">
        <v>60.39670944213867</v>
      </c>
      <c r="F20" t="n">
        <v>35468</v>
      </c>
      <c r="G20" t="n">
        <v>-5418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-40523.47264099121</v>
      </c>
      <c r="M20" t="n">
        <v>40777.09270477295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YINN</t>
        </is>
      </c>
      <c r="C21" t="inlineStr">
        <is>
          <t>FXI</t>
        </is>
      </c>
      <c r="D21" t="n">
        <v>29.53872108459473</v>
      </c>
      <c r="E21" t="n">
        <v>59.40568161010742</v>
      </c>
      <c r="F21" t="n">
        <v>35468</v>
      </c>
      <c r="G21" t="n">
        <v>-5418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-6589.229843139648</v>
      </c>
      <c r="M21" t="n">
        <v>5369.388793945312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GDXJ Price</t>
        </is>
      </c>
      <c r="E1" t="inlineStr">
        <is>
          <t>JNUG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JNUG</t>
        </is>
      </c>
      <c r="C2" t="inlineStr">
        <is>
          <t>GDXJ</t>
        </is>
      </c>
      <c r="D2" t="n">
        <v>34.86901092529297</v>
      </c>
      <c r="E2" t="n">
        <v>36.15386581420898</v>
      </c>
      <c r="F2" t="n">
        <v>13873</v>
      </c>
      <c r="G2" t="n">
        <v>-6778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JNUG</t>
        </is>
      </c>
      <c r="C3" t="inlineStr">
        <is>
          <t>GDXJ</t>
        </is>
      </c>
      <c r="D3" t="n">
        <v>36.55286407470703</v>
      </c>
      <c r="E3" t="n">
        <v>39.54270172119141</v>
      </c>
      <c r="F3" t="n">
        <v>13873</v>
      </c>
      <c r="G3" t="n">
        <v>-6778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JNUG</t>
        </is>
      </c>
      <c r="C4" t="inlineStr">
        <is>
          <t>GDXJ</t>
        </is>
      </c>
      <c r="D4" t="n">
        <v>36.07041549682617</v>
      </c>
      <c r="E4" t="n">
        <v>38.6065673828125</v>
      </c>
      <c r="F4" t="n">
        <v>13873</v>
      </c>
      <c r="G4" t="n">
        <v>-6778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-6693.009120941162</v>
      </c>
      <c r="M4" t="n">
        <v>6345.118545532227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JNUG</t>
        </is>
      </c>
      <c r="C5" t="inlineStr">
        <is>
          <t>GDXJ</t>
        </is>
      </c>
      <c r="D5" t="n">
        <v>37.34749221801758</v>
      </c>
      <c r="E5" t="n">
        <v>41.25585556030273</v>
      </c>
      <c r="F5" t="n">
        <v>13873</v>
      </c>
      <c r="G5" t="n">
        <v>-6778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17716.88535308838</v>
      </c>
      <c r="M5" t="n">
        <v>-17956.87526702881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JNUG</t>
        </is>
      </c>
      <c r="C6" t="inlineStr">
        <is>
          <t>GDXJ</t>
        </is>
      </c>
      <c r="D6" t="n">
        <v>36.80828094482422</v>
      </c>
      <c r="E6" t="n">
        <v>40.16992568969727</v>
      </c>
      <c r="F6" t="n">
        <v>13873</v>
      </c>
      <c r="G6" t="n">
        <v>-6362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-7480.477993011475</v>
      </c>
      <c r="M6" t="n">
        <v>6908.685836791992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JNUG</t>
        </is>
      </c>
      <c r="C7" t="inlineStr">
        <is>
          <t>GDXJ</t>
        </is>
      </c>
      <c r="D7" t="n">
        <v>37.53668975830078</v>
      </c>
      <c r="E7" t="n">
        <v>41.63967132568359</v>
      </c>
      <c r="F7" t="n">
        <v>13873</v>
      </c>
      <c r="G7" t="n">
        <v>-6362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10105.21546936035</v>
      </c>
      <c r="M7" t="n">
        <v>-9350.52173614502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JNUG</t>
        </is>
      </c>
      <c r="C8" t="inlineStr">
        <is>
          <t>GDXJ</t>
        </is>
      </c>
      <c r="D8" t="n">
        <v>36.98801422119141</v>
      </c>
      <c r="E8" t="n">
        <v>40.55373764038086</v>
      </c>
      <c r="F8" t="n">
        <v>13873</v>
      </c>
      <c r="G8" t="n">
        <v>-6362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-7611.775726318359</v>
      </c>
      <c r="M8" t="n">
        <v>6908.710105895996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JNUG</t>
        </is>
      </c>
      <c r="C9" t="inlineStr">
        <is>
          <t>GDXJ</t>
        </is>
      </c>
      <c r="D9" t="n">
        <v>37.74480438232422</v>
      </c>
      <c r="E9" t="n">
        <v>41.99540710449219</v>
      </c>
      <c r="F9" t="n">
        <v>13873</v>
      </c>
      <c r="G9" t="n">
        <v>-6362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10498.94990539551</v>
      </c>
      <c r="M9" t="n">
        <v>-9171.90113067627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JNUG</t>
        </is>
      </c>
      <c r="C10" t="inlineStr">
        <is>
          <t>GDXJ</t>
        </is>
      </c>
      <c r="D10" t="n">
        <v>38.21780014038086</v>
      </c>
      <c r="E10" t="n">
        <v>43.08132553100586</v>
      </c>
      <c r="F10" t="n">
        <v>13873</v>
      </c>
      <c r="G10" t="n">
        <v>-6362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6561.870151519775</v>
      </c>
      <c r="M10" t="n">
        <v>-6908.61302947998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JNUG</t>
        </is>
      </c>
      <c r="C11" t="inlineStr">
        <is>
          <t>GDXJ</t>
        </is>
      </c>
      <c r="D11" t="n">
        <v>36.98801422119141</v>
      </c>
      <c r="E11" t="n">
        <v>40.45076370239258</v>
      </c>
      <c r="F11" t="n">
        <v>13681</v>
      </c>
      <c r="G11" t="n">
        <v>-6148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-16824.70116043091</v>
      </c>
      <c r="M11" t="n">
        <v>16172.69412231445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JNUG</t>
        </is>
      </c>
      <c r="C12" t="inlineStr">
        <is>
          <t>GDXJ</t>
        </is>
      </c>
      <c r="D12" t="n">
        <v>36.47718811035156</v>
      </c>
      <c r="E12" t="n">
        <v>39.25249481201172</v>
      </c>
      <c r="F12" t="n">
        <v>13681</v>
      </c>
      <c r="G12" t="n">
        <v>-6148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-6988.612022399902</v>
      </c>
      <c r="M12" t="n">
        <v>7366.957138061523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JNUG</t>
        </is>
      </c>
      <c r="C13" t="inlineStr">
        <is>
          <t>GDXJ</t>
        </is>
      </c>
      <c r="D13" t="n">
        <v>37.46100997924805</v>
      </c>
      <c r="E13" t="n">
        <v>41.31201553344727</v>
      </c>
      <c r="F13" t="n">
        <v>13681</v>
      </c>
      <c r="G13" t="n">
        <v>-6148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13459.6669883728</v>
      </c>
      <c r="M13" t="n">
        <v>-12661.93339538574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JNUG</t>
        </is>
      </c>
      <c r="C14" t="inlineStr">
        <is>
          <t>GDXJ</t>
        </is>
      </c>
      <c r="D14" t="n">
        <v>38.09481811523438</v>
      </c>
      <c r="E14" t="n">
        <v>42.697509765625</v>
      </c>
      <c r="F14" t="n">
        <v>13681</v>
      </c>
      <c r="G14" t="n">
        <v>-6148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8671.129108428955</v>
      </c>
      <c r="M14" t="n">
        <v>-8518.018539428711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JNUG</t>
        </is>
      </c>
      <c r="C15" t="inlineStr">
        <is>
          <t>GDXJ</t>
        </is>
      </c>
      <c r="D15" t="n">
        <v>37.86778259277344</v>
      </c>
      <c r="E15" t="n">
        <v>42.16391754150391</v>
      </c>
      <c r="F15" t="n">
        <v>13681</v>
      </c>
      <c r="G15" t="n">
        <v>-6148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-3106.072982788086</v>
      </c>
      <c r="M15" t="n">
        <v>3280.524993896484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JNUG</t>
        </is>
      </c>
      <c r="C16" t="inlineStr">
        <is>
          <t>GDXJ</t>
        </is>
      </c>
      <c r="D16" t="n">
        <v>38.43537521362305</v>
      </c>
      <c r="E16" t="n">
        <v>43.3621711730957</v>
      </c>
      <c r="F16" t="n">
        <v>13681</v>
      </c>
      <c r="G16" t="n">
        <v>-6148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7765.234645843506</v>
      </c>
      <c r="M16" t="n">
        <v>-7366.863327026367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JNUG</t>
        </is>
      </c>
      <c r="C17" t="inlineStr">
        <is>
          <t>GDXJ</t>
        </is>
      </c>
      <c r="D17" t="n">
        <v>38.89890289306641</v>
      </c>
      <c r="E17" t="n">
        <v>44.36384201049805</v>
      </c>
      <c r="F17" t="n">
        <v>13681</v>
      </c>
      <c r="G17" t="n">
        <v>-6148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6341.5221824646</v>
      </c>
      <c r="M17" t="n">
        <v>-6158.272308349609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JNUG</t>
        </is>
      </c>
      <c r="C18" t="inlineStr">
        <is>
          <t>GDXJ</t>
        </is>
      </c>
      <c r="D18" t="n">
        <v>38.10427856445312</v>
      </c>
      <c r="E18" t="n">
        <v>42.70687484741211</v>
      </c>
      <c r="F18" t="n">
        <v>13681</v>
      </c>
      <c r="G18" t="n">
        <v>-6148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-10871.2554397583</v>
      </c>
      <c r="M18" t="n">
        <v>10187.03411865234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JNUG</t>
        </is>
      </c>
      <c r="C19" t="inlineStr">
        <is>
          <t>GDXJ</t>
        </is>
      </c>
      <c r="D19" t="n">
        <v>37.35695266723633</v>
      </c>
      <c r="E19" t="n">
        <v>41.04988861083984</v>
      </c>
      <c r="F19" t="n">
        <v>13681</v>
      </c>
      <c r="G19" t="n">
        <v>-6148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-10224.165599823</v>
      </c>
      <c r="M19" t="n">
        <v>10187.15138244629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JNUG</t>
        </is>
      </c>
      <c r="C20" t="inlineStr">
        <is>
          <t>GDXJ</t>
        </is>
      </c>
      <c r="D20" t="n">
        <v>36.68529891967773</v>
      </c>
      <c r="E20" t="n">
        <v>39.58951950073242</v>
      </c>
      <c r="F20" t="n">
        <v>14851</v>
      </c>
      <c r="G20" t="n">
        <v>-6847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-9974.729804992676</v>
      </c>
      <c r="M20" t="n">
        <v>9999.147296905518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JNUG</t>
        </is>
      </c>
      <c r="C21" t="inlineStr">
        <is>
          <t>GDXJ</t>
        </is>
      </c>
      <c r="D21" t="n">
        <v>36.84612274169922</v>
      </c>
      <c r="E21" t="n">
        <v>39.78610610961914</v>
      </c>
      <c r="F21" t="n">
        <v>14851</v>
      </c>
      <c r="G21" t="n">
        <v>-6847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2388.394580841064</v>
      </c>
      <c r="M21" t="n">
        <v>-1346.028511047363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GDX Price</t>
        </is>
      </c>
      <c r="E1" t="inlineStr">
        <is>
          <t>GDXU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GDXU</t>
        </is>
      </c>
      <c r="C2" t="inlineStr">
        <is>
          <t>GDX</t>
        </is>
      </c>
      <c r="D2" t="n">
        <v>28.63426971435547</v>
      </c>
      <c r="E2" t="n">
        <v>46.52000045776367</v>
      </c>
      <c r="F2" t="n">
        <v>53192</v>
      </c>
      <c r="G2" t="n">
        <v>-10760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GDXU</t>
        </is>
      </c>
      <c r="C3" t="inlineStr">
        <is>
          <t>GDX</t>
        </is>
      </c>
      <c r="D3" t="n">
        <v>29.85069274902344</v>
      </c>
      <c r="E3" t="n">
        <v>52.40000152587892</v>
      </c>
      <c r="F3" t="n">
        <v>53192</v>
      </c>
      <c r="G3" t="n">
        <v>-10760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GDXU</t>
        </is>
      </c>
      <c r="C4" t="inlineStr">
        <is>
          <t>GDX</t>
        </is>
      </c>
      <c r="D4" t="n">
        <v>29.59003067016602</v>
      </c>
      <c r="E4" t="n">
        <v>51.41999816894531</v>
      </c>
      <c r="F4" t="n">
        <v>53192</v>
      </c>
      <c r="G4" t="n">
        <v>-10760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-13865.13729858398</v>
      </c>
      <c r="M4" t="n">
        <v>10544.83612060547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GDXU</t>
        </is>
      </c>
      <c r="C5" t="inlineStr">
        <is>
          <t>GDX</t>
        </is>
      </c>
      <c r="D5" t="n">
        <v>30.46856307983398</v>
      </c>
      <c r="E5" t="n">
        <v>55.40000152587892</v>
      </c>
      <c r="F5" t="n">
        <v>53192</v>
      </c>
      <c r="G5" t="n">
        <v>-10760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46730.89593505859</v>
      </c>
      <c r="M5" t="n">
        <v>-42824.83612060547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GDXU</t>
        </is>
      </c>
      <c r="C6" t="inlineStr">
        <is>
          <t>GDX</t>
        </is>
      </c>
      <c r="D6" t="n">
        <v>30.1789379119873</v>
      </c>
      <c r="E6" t="n">
        <v>54.38999938964844</v>
      </c>
      <c r="F6" t="n">
        <v>53192</v>
      </c>
      <c r="G6" t="n">
        <v>-9614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-15405.74192810059</v>
      </c>
      <c r="M6" t="n">
        <v>9710.160537719727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GDXU</t>
        </is>
      </c>
      <c r="C7" t="inlineStr">
        <is>
          <t>GDX</t>
        </is>
      </c>
      <c r="D7" t="n">
        <v>30.73887825012207</v>
      </c>
      <c r="E7" t="n">
        <v>57</v>
      </c>
      <c r="F7" t="n">
        <v>53192</v>
      </c>
      <c r="G7" t="n">
        <v>-9614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29784.34646606445</v>
      </c>
      <c r="M7" t="n">
        <v>-25092.54586791992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GDXU</t>
        </is>
      </c>
      <c r="C8" t="inlineStr">
        <is>
          <t>GDX</t>
        </is>
      </c>
      <c r="D8" t="n">
        <v>30.47821617126465</v>
      </c>
      <c r="E8" t="n">
        <v>55.5</v>
      </c>
      <c r="F8" t="n">
        <v>53192</v>
      </c>
      <c r="G8" t="n">
        <v>-9614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-13865.13729858398</v>
      </c>
      <c r="M8" t="n">
        <v>14421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GDXU</t>
        </is>
      </c>
      <c r="C9" t="inlineStr">
        <is>
          <t>GDX</t>
        </is>
      </c>
      <c r="D9" t="n">
        <v>31.0671215057373</v>
      </c>
      <c r="E9" t="n">
        <v>58.45999908447267</v>
      </c>
      <c r="F9" t="n">
        <v>53192</v>
      </c>
      <c r="G9" t="n">
        <v>-9614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31325.05255126953</v>
      </c>
      <c r="M9" t="n">
        <v>-28457.43119812012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GDXU</t>
        </is>
      </c>
      <c r="C10" t="inlineStr">
        <is>
          <t>GDX</t>
        </is>
      </c>
      <c r="D10" t="n">
        <v>31.52087020874023</v>
      </c>
      <c r="E10" t="n">
        <v>60.90000152587892</v>
      </c>
      <c r="F10" t="n">
        <v>53192</v>
      </c>
      <c r="G10" t="n">
        <v>-9614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24135.80101013184</v>
      </c>
      <c r="M10" t="n">
        <v>-23458.18347167969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GDXU</t>
        </is>
      </c>
      <c r="C11" t="inlineStr">
        <is>
          <t>GDX</t>
        </is>
      </c>
      <c r="D11" t="n">
        <v>30.42994689941406</v>
      </c>
      <c r="E11" t="n">
        <v>54.66999816894531</v>
      </c>
      <c r="F11" t="n">
        <v>52231</v>
      </c>
      <c r="G11" t="n">
        <v>-8884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-56980.01536941528</v>
      </c>
      <c r="M11" t="n">
        <v>55347.34982299805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GDXU</t>
        </is>
      </c>
      <c r="C12" t="inlineStr">
        <is>
          <t>GDX</t>
        </is>
      </c>
      <c r="D12" t="n">
        <v>30.13066482543945</v>
      </c>
      <c r="E12" t="n">
        <v>52.88999938964844</v>
      </c>
      <c r="F12" t="n">
        <v>52231</v>
      </c>
      <c r="G12" t="n">
        <v>-8884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-15631.80200576782</v>
      </c>
      <c r="M12" t="n">
        <v>15813.50915527344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GDXU</t>
        </is>
      </c>
      <c r="C13" t="inlineStr">
        <is>
          <t>GDX</t>
        </is>
      </c>
      <c r="D13" t="n">
        <v>30.91265487670898</v>
      </c>
      <c r="E13" t="n">
        <v>56.88999938964844</v>
      </c>
      <c r="F13" t="n">
        <v>52231</v>
      </c>
      <c r="G13" t="n">
        <v>-8884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40844.12236785889</v>
      </c>
      <c r="M13" t="n">
        <v>-35536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GDXU</t>
        </is>
      </c>
      <c r="C14" t="inlineStr">
        <is>
          <t>GDX</t>
        </is>
      </c>
      <c r="D14" t="n">
        <v>31.29881858825684</v>
      </c>
      <c r="E14" t="n">
        <v>59.16999816894531</v>
      </c>
      <c r="F14" t="n">
        <v>52231</v>
      </c>
      <c r="G14" t="n">
        <v>-8884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20169.71681785583</v>
      </c>
      <c r="M14" t="n">
        <v>-20255.50915527344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GDXU</t>
        </is>
      </c>
      <c r="C15" t="inlineStr">
        <is>
          <t>GDX</t>
        </is>
      </c>
      <c r="D15" t="n">
        <v>31.27951431274414</v>
      </c>
      <c r="E15" t="n">
        <v>58.72999954223633</v>
      </c>
      <c r="F15" t="n">
        <v>52231</v>
      </c>
      <c r="G15" t="n">
        <v>-8884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-1008.281614303589</v>
      </c>
      <c r="M15" t="n">
        <v>3908.947799682617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GDXU</t>
        </is>
      </c>
      <c r="C16" t="inlineStr">
        <is>
          <t>GDX</t>
        </is>
      </c>
      <c r="D16" t="n">
        <v>31.59810066223145</v>
      </c>
      <c r="E16" t="n">
        <v>60.59000015258789</v>
      </c>
      <c r="F16" t="n">
        <v>52231</v>
      </c>
      <c r="G16" t="n">
        <v>-8884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16640.08362007141</v>
      </c>
      <c r="M16" t="n">
        <v>-16524.24542236328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GDXU</t>
        </is>
      </c>
      <c r="C17" t="inlineStr">
        <is>
          <t>GDX</t>
        </is>
      </c>
      <c r="D17" t="n">
        <v>32.11942291259766</v>
      </c>
      <c r="E17" t="n">
        <v>63.47000122070311</v>
      </c>
      <c r="F17" t="n">
        <v>52231</v>
      </c>
      <c r="G17" t="n">
        <v>-8884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27229.18245887756</v>
      </c>
      <c r="M17" t="n">
        <v>-25585.92948913574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GDXU</t>
        </is>
      </c>
      <c r="C18" t="inlineStr">
        <is>
          <t>GDX</t>
        </is>
      </c>
      <c r="D18" t="n">
        <v>31.62705993652344</v>
      </c>
      <c r="E18" t="n">
        <v>60.43999862670897</v>
      </c>
      <c r="F18" t="n">
        <v>52231</v>
      </c>
      <c r="G18" t="n">
        <v>-8884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-25716.61060333252</v>
      </c>
      <c r="M18" t="n">
        <v>26918.54304504395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GDXU</t>
        </is>
      </c>
      <c r="C19" t="inlineStr">
        <is>
          <t>GDX</t>
        </is>
      </c>
      <c r="D19" t="n">
        <v>31.192626953125</v>
      </c>
      <c r="E19" t="n">
        <v>57.52000045776367</v>
      </c>
      <c r="F19" t="n">
        <v>52231</v>
      </c>
      <c r="G19" t="n">
        <v>-8884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-22690.86915588379</v>
      </c>
      <c r="M19" t="n">
        <v>25941.26373291016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GDXU</t>
        </is>
      </c>
      <c r="C20" t="inlineStr">
        <is>
          <t>GDX</t>
        </is>
      </c>
      <c r="D20" t="n">
        <v>30.72922515869141</v>
      </c>
      <c r="E20" t="n">
        <v>54.65000152587892</v>
      </c>
      <c r="F20" t="n">
        <v>56004</v>
      </c>
      <c r="G20" t="n">
        <v>-9980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-25952.35409545898</v>
      </c>
      <c r="M20" t="n">
        <v>28642.58934020996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GDXU</t>
        </is>
      </c>
      <c r="C21" t="inlineStr">
        <is>
          <t>GDX</t>
        </is>
      </c>
      <c r="D21" t="n">
        <v>30.91265487670898</v>
      </c>
      <c r="E21" t="n">
        <v>55.43999862670897</v>
      </c>
      <c r="F21" t="n">
        <v>56004</v>
      </c>
      <c r="G21" t="n">
        <v>-9980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10272.79792785645</v>
      </c>
      <c r="M21" t="n">
        <v>-7884.17106628418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GDX Price</t>
        </is>
      </c>
      <c r="E1" t="inlineStr">
        <is>
          <t>NUGT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NUGT</t>
        </is>
      </c>
      <c r="C2" t="inlineStr">
        <is>
          <t>GDX</t>
        </is>
      </c>
      <c r="D2" t="n">
        <v>28.63426971435547</v>
      </c>
      <c r="E2" t="n">
        <v>35.28508758544922</v>
      </c>
      <c r="F2" t="n">
        <v>15820</v>
      </c>
      <c r="G2" t="n">
        <v>-6494</v>
      </c>
      <c r="H2">
        <f>D2*F2</f>
        <v/>
      </c>
      <c r="I2">
        <f>E2*G2</f>
        <v/>
      </c>
      <c r="J2">
        <f>H2-I2</f>
        <v/>
      </c>
      <c r="K2" t="n">
        <v>-0.0175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NUGT</t>
        </is>
      </c>
      <c r="C3" t="inlineStr">
        <is>
          <t>GDX</t>
        </is>
      </c>
      <c r="D3" t="n">
        <v>29.85069274902344</v>
      </c>
      <c r="E3" t="n">
        <v>38.31034851074219</v>
      </c>
      <c r="F3" t="n">
        <v>15820</v>
      </c>
      <c r="G3" t="n">
        <v>-6494</v>
      </c>
      <c r="H3">
        <f>D3*F3</f>
        <v/>
      </c>
      <c r="I3">
        <f>E3*G3</f>
        <v/>
      </c>
      <c r="J3">
        <f>H3-I3</f>
        <v/>
      </c>
      <c r="K3" t="n">
        <v>-0.0175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NUGT</t>
        </is>
      </c>
      <c r="C4" t="inlineStr">
        <is>
          <t>GDX</t>
        </is>
      </c>
      <c r="D4" t="n">
        <v>29.59003067016602</v>
      </c>
      <c r="E4" t="n">
        <v>37.83975982666016</v>
      </c>
      <c r="F4" t="n">
        <v>15820</v>
      </c>
      <c r="G4" t="n">
        <v>-6494</v>
      </c>
      <c r="H4">
        <f>D4*F4</f>
        <v/>
      </c>
      <c r="I4">
        <f>E4*G4</f>
        <v/>
      </c>
      <c r="J4">
        <f>H4-I4</f>
        <v/>
      </c>
      <c r="K4" t="n">
        <v>-0.0175</v>
      </c>
      <c r="L4" t="n">
        <v>-4123.674087524414</v>
      </c>
      <c r="M4" t="n">
        <v>3056.002914428711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NUGT</t>
        </is>
      </c>
      <c r="C5" t="inlineStr">
        <is>
          <t>GDX</t>
        </is>
      </c>
      <c r="D5" t="n">
        <v>30.46856307983398</v>
      </c>
      <c r="E5" t="n">
        <v>39.73174285888672</v>
      </c>
      <c r="F5" t="n">
        <v>15820</v>
      </c>
      <c r="G5" t="n">
        <v>-6494</v>
      </c>
      <c r="H5">
        <f>D5*F5</f>
        <v/>
      </c>
      <c r="I5">
        <f>E5*G5</f>
        <v/>
      </c>
      <c r="J5">
        <f>H5-I5</f>
        <v/>
      </c>
      <c r="K5" t="n">
        <v>-0.0175</v>
      </c>
      <c r="L5" t="n">
        <v>13898.38272094727</v>
      </c>
      <c r="M5" t="n">
        <v>-12286.5378112793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NUGT</t>
        </is>
      </c>
      <c r="C6" t="inlineStr">
        <is>
          <t>GDX</t>
        </is>
      </c>
      <c r="D6" t="n">
        <v>30.1789379119873</v>
      </c>
      <c r="E6" t="n">
        <v>39.24193572998047</v>
      </c>
      <c r="F6" t="n">
        <v>15820</v>
      </c>
      <c r="G6" t="n">
        <v>-6136</v>
      </c>
      <c r="H6">
        <f>D6*F6</f>
        <v/>
      </c>
      <c r="I6">
        <f>E6*G6</f>
        <v/>
      </c>
      <c r="J6">
        <f>H6-I6</f>
        <v/>
      </c>
      <c r="K6" t="n">
        <v>-0.0175</v>
      </c>
      <c r="L6" t="n">
        <v>-4581.870155334473</v>
      </c>
      <c r="M6" t="n">
        <v>3005.45654296875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NUGT</t>
        </is>
      </c>
      <c r="C7" t="inlineStr">
        <is>
          <t>GDX</t>
        </is>
      </c>
      <c r="D7" t="n">
        <v>30.73887825012207</v>
      </c>
      <c r="E7" t="n">
        <v>40.57689666748047</v>
      </c>
      <c r="F7" t="n">
        <v>15820</v>
      </c>
      <c r="G7" t="n">
        <v>-6136</v>
      </c>
      <c r="H7">
        <f>D7*F7</f>
        <v/>
      </c>
      <c r="I7">
        <f>E7*G7</f>
        <v/>
      </c>
      <c r="J7">
        <f>H7-I7</f>
        <v/>
      </c>
      <c r="K7" t="n">
        <v>-0.0175</v>
      </c>
      <c r="L7" t="n">
        <v>8858.256149291992</v>
      </c>
      <c r="M7" t="n">
        <v>-8191.3203125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NUGT</t>
        </is>
      </c>
      <c r="C8" t="inlineStr">
        <is>
          <t>GDX</t>
        </is>
      </c>
      <c r="D8" t="n">
        <v>30.47821617126465</v>
      </c>
      <c r="E8" t="n">
        <v>39.93342590332031</v>
      </c>
      <c r="F8" t="n">
        <v>15820</v>
      </c>
      <c r="G8" t="n">
        <v>-6136</v>
      </c>
      <c r="H8">
        <f>D8*F8</f>
        <v/>
      </c>
      <c r="I8">
        <f>E8*G8</f>
        <v/>
      </c>
      <c r="J8">
        <f>H8-I8</f>
        <v/>
      </c>
      <c r="K8" t="n">
        <v>-0.0175</v>
      </c>
      <c r="L8" t="n">
        <v>-4123.674087524414</v>
      </c>
      <c r="M8" t="n">
        <v>3948.336608886719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NUGT</t>
        </is>
      </c>
      <c r="C9" t="inlineStr">
        <is>
          <t>GDX</t>
        </is>
      </c>
      <c r="D9" t="n">
        <v>31.0671215057373</v>
      </c>
      <c r="E9" t="n">
        <v>41.39323043823242</v>
      </c>
      <c r="F9" t="n">
        <v>15820</v>
      </c>
      <c r="G9" t="n">
        <v>-6136</v>
      </c>
      <c r="H9">
        <f>D9*F9</f>
        <v/>
      </c>
      <c r="I9">
        <f>E9*G9</f>
        <v/>
      </c>
      <c r="J9">
        <f>H9-I9</f>
        <v/>
      </c>
      <c r="K9" t="n">
        <v>-0.0175</v>
      </c>
      <c r="L9" t="n">
        <v>9316.482391357422</v>
      </c>
      <c r="M9" t="n">
        <v>-8957.360626220703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NUGT</t>
        </is>
      </c>
      <c r="C10" t="inlineStr">
        <is>
          <t>GDX</t>
        </is>
      </c>
      <c r="D10" t="n">
        <v>31.52087020874023</v>
      </c>
      <c r="E10" t="n">
        <v>42.57452774047852</v>
      </c>
      <c r="F10" t="n">
        <v>15820</v>
      </c>
      <c r="G10" t="n">
        <v>-6136</v>
      </c>
      <c r="H10">
        <f>D10*F10</f>
        <v/>
      </c>
      <c r="I10">
        <f>E10*G10</f>
        <v/>
      </c>
      <c r="J10">
        <f>H10-I10</f>
        <v/>
      </c>
      <c r="K10" t="n">
        <v>-0.0175</v>
      </c>
      <c r="L10" t="n">
        <v>7178.304481506348</v>
      </c>
      <c r="M10" t="n">
        <v>-7248.440246582031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NUGT</t>
        </is>
      </c>
      <c r="C11" t="inlineStr">
        <is>
          <t>GDX</t>
        </is>
      </c>
      <c r="D11" t="n">
        <v>30.42994689941406</v>
      </c>
      <c r="E11" t="n">
        <v>39.70292663574219</v>
      </c>
      <c r="F11" t="n">
        <v>15534</v>
      </c>
      <c r="G11" t="n">
        <v>-5817</v>
      </c>
      <c r="H11">
        <f>D11*F11</f>
        <v/>
      </c>
      <c r="I11">
        <f>E11*G11</f>
        <v/>
      </c>
      <c r="J11">
        <f>H11-I11</f>
        <v/>
      </c>
      <c r="K11" t="n">
        <v>-0.0175</v>
      </c>
      <c r="L11" t="n">
        <v>-16946.40268707275</v>
      </c>
      <c r="M11" t="n">
        <v>16704.10362625122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NUGT</t>
        </is>
      </c>
      <c r="C12" t="inlineStr">
        <is>
          <t>GDX</t>
        </is>
      </c>
      <c r="D12" t="n">
        <v>30.13066482543945</v>
      </c>
      <c r="E12" t="n">
        <v>38.93460845947266</v>
      </c>
      <c r="F12" t="n">
        <v>15534</v>
      </c>
      <c r="G12" t="n">
        <v>-5817</v>
      </c>
      <c r="H12">
        <f>D12*F12</f>
        <v/>
      </c>
      <c r="I12">
        <f>E12*G12</f>
        <v/>
      </c>
      <c r="J12">
        <f>H12-I12</f>
        <v/>
      </c>
      <c r="K12" t="n">
        <v>-0.0175</v>
      </c>
      <c r="L12" t="n">
        <v>-4649.047737121582</v>
      </c>
      <c r="M12" t="n">
        <v>4469.306831359863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NUGT</t>
        </is>
      </c>
      <c r="C13" t="inlineStr">
        <is>
          <t>GDX</t>
        </is>
      </c>
      <c r="D13" t="n">
        <v>30.91265487670898</v>
      </c>
      <c r="E13" t="n">
        <v>40.80738830566406</v>
      </c>
      <c r="F13" t="n">
        <v>15534</v>
      </c>
      <c r="G13" t="n">
        <v>-5817</v>
      </c>
      <c r="H13">
        <f>D13*F13</f>
        <v/>
      </c>
      <c r="I13">
        <f>E13*G13</f>
        <v/>
      </c>
      <c r="J13">
        <f>H13-I13</f>
        <v/>
      </c>
      <c r="K13" t="n">
        <v>-0.0175</v>
      </c>
      <c r="L13" t="n">
        <v>12147.4334564209</v>
      </c>
      <c r="M13" t="n">
        <v>-10893.96036529541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NUGT</t>
        </is>
      </c>
      <c r="C14" t="inlineStr">
        <is>
          <t>GDX</t>
        </is>
      </c>
      <c r="D14" t="n">
        <v>31.29881858825684</v>
      </c>
      <c r="E14" t="n">
        <v>41.76779174804688</v>
      </c>
      <c r="F14" t="n">
        <v>15534</v>
      </c>
      <c r="G14" t="n">
        <v>-5817</v>
      </c>
      <c r="H14">
        <f>D14*F14</f>
        <v/>
      </c>
      <c r="I14">
        <f>E14*G14</f>
        <v/>
      </c>
      <c r="J14">
        <f>H14-I14</f>
        <v/>
      </c>
      <c r="K14" t="n">
        <v>-0.0175</v>
      </c>
      <c r="L14" t="n">
        <v>5998.667095184326</v>
      </c>
      <c r="M14" t="n">
        <v>-5586.66682434082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NUGT</t>
        </is>
      </c>
      <c r="C15" t="inlineStr">
        <is>
          <t>GDX</t>
        </is>
      </c>
      <c r="D15" t="n">
        <v>31.27951431274414</v>
      </c>
      <c r="E15" t="n">
        <v>41.84461975097656</v>
      </c>
      <c r="F15" t="n">
        <v>15534</v>
      </c>
      <c r="G15" t="n">
        <v>-5817</v>
      </c>
      <c r="H15">
        <f>D15*F15</f>
        <v/>
      </c>
      <c r="I15">
        <f>E15*G15</f>
        <v/>
      </c>
      <c r="J15">
        <f>H15-I15</f>
        <v/>
      </c>
      <c r="K15" t="n">
        <v>-0.0175</v>
      </c>
      <c r="L15" t="n">
        <v>-299.872615814209</v>
      </c>
      <c r="M15" t="n">
        <v>-446.9084930419922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NUGT</t>
        </is>
      </c>
      <c r="C16" t="inlineStr">
        <is>
          <t>GDX</t>
        </is>
      </c>
      <c r="D16" t="n">
        <v>31.59810066223145</v>
      </c>
      <c r="E16" t="n">
        <v>42.62254333496094</v>
      </c>
      <c r="F16" t="n">
        <v>15534</v>
      </c>
      <c r="G16" t="n">
        <v>-5817</v>
      </c>
      <c r="H16">
        <f>D16*F16</f>
        <v/>
      </c>
      <c r="I16">
        <f>E16*G16</f>
        <v/>
      </c>
      <c r="J16">
        <f>H16-I16</f>
        <v/>
      </c>
      <c r="K16" t="n">
        <v>-0.0175</v>
      </c>
      <c r="L16" t="n">
        <v>4948.920352935791</v>
      </c>
      <c r="M16" t="n">
        <v>-4525.181488037109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NUGT</t>
        </is>
      </c>
      <c r="C17" t="inlineStr">
        <is>
          <t>GDX</t>
        </is>
      </c>
      <c r="D17" t="n">
        <v>32.11942291259766</v>
      </c>
      <c r="E17" t="n">
        <v>43.97670745849609</v>
      </c>
      <c r="F17" t="n">
        <v>15534</v>
      </c>
      <c r="G17" t="n">
        <v>-5817</v>
      </c>
      <c r="H17">
        <f>D17*F17</f>
        <v/>
      </c>
      <c r="I17">
        <f>E17*G17</f>
        <v/>
      </c>
      <c r="J17">
        <f>H17-I17</f>
        <v/>
      </c>
      <c r="K17" t="n">
        <v>-0.0175</v>
      </c>
      <c r="L17" t="n">
        <v>8098.219837188721</v>
      </c>
      <c r="M17" t="n">
        <v>-7877.172706604004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NUGT</t>
        </is>
      </c>
      <c r="C18" t="inlineStr">
        <is>
          <t>GDX</t>
        </is>
      </c>
      <c r="D18" t="n">
        <v>31.62705993652344</v>
      </c>
      <c r="E18" t="n">
        <v>42.72818756103516</v>
      </c>
      <c r="F18" t="n">
        <v>15534</v>
      </c>
      <c r="G18" t="n">
        <v>-5817</v>
      </c>
      <c r="H18">
        <f>D18*F18</f>
        <v/>
      </c>
      <c r="I18">
        <f>E18*G18</f>
        <v/>
      </c>
      <c r="J18">
        <f>H18-I18</f>
        <v/>
      </c>
      <c r="K18" t="n">
        <v>-0.0175</v>
      </c>
      <c r="L18" t="n">
        <v>-7648.366470336914</v>
      </c>
      <c r="M18" t="n">
        <v>7262.640243530273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NUGT</t>
        </is>
      </c>
      <c r="C19" t="inlineStr">
        <is>
          <t>GDX</t>
        </is>
      </c>
      <c r="D19" t="n">
        <v>31.192626953125</v>
      </c>
      <c r="E19" t="n">
        <v>41.56610107421875</v>
      </c>
      <c r="F19" t="n">
        <v>15534</v>
      </c>
      <c r="G19" t="n">
        <v>-5817</v>
      </c>
      <c r="H19">
        <f>D19*F19</f>
        <v/>
      </c>
      <c r="I19">
        <f>E19*G19</f>
        <v/>
      </c>
      <c r="J19">
        <f>H19-I19</f>
        <v/>
      </c>
      <c r="K19" t="n">
        <v>-0.0175</v>
      </c>
      <c r="L19" t="n">
        <v>-6748.481964111328</v>
      </c>
      <c r="M19" t="n">
        <v>6759.857093811035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NUGT</t>
        </is>
      </c>
      <c r="C20" t="inlineStr">
        <is>
          <t>GDX</t>
        </is>
      </c>
      <c r="D20" t="n">
        <v>30.72922515869141</v>
      </c>
      <c r="E20" t="n">
        <v>40.25995635986328</v>
      </c>
      <c r="F20" t="n">
        <v>16656</v>
      </c>
      <c r="G20" t="n">
        <v>-6322</v>
      </c>
      <c r="H20">
        <f>D20*F20</f>
        <v/>
      </c>
      <c r="I20">
        <f>E20*G20</f>
        <v/>
      </c>
      <c r="J20">
        <f>H20-I20</f>
        <v/>
      </c>
      <c r="K20" t="n">
        <v>-0.0175</v>
      </c>
      <c r="L20" t="n">
        <v>-7718.420288085938</v>
      </c>
      <c r="M20" t="n">
        <v>8257.446884155273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NUGT</t>
        </is>
      </c>
      <c r="C21" t="inlineStr">
        <is>
          <t>GDX</t>
        </is>
      </c>
      <c r="D21" t="n">
        <v>30.91265487670898</v>
      </c>
      <c r="E21" t="n">
        <v>40.70174789428711</v>
      </c>
      <c r="F21" t="n">
        <v>16656</v>
      </c>
      <c r="G21" t="n">
        <v>-6322</v>
      </c>
      <c r="H21">
        <f>D21*F21</f>
        <v/>
      </c>
      <c r="I21">
        <f>E21*G21</f>
        <v/>
      </c>
      <c r="J21">
        <f>H21-I21</f>
        <v/>
      </c>
      <c r="K21" t="n">
        <v>-0.0175</v>
      </c>
      <c r="L21" t="n">
        <v>3055.205383300781</v>
      </c>
      <c r="M21" t="n">
        <v>-2793.006080627441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GOOGL Price</t>
        </is>
      </c>
      <c r="E1" t="inlineStr">
        <is>
          <t>GGLL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GGLL</t>
        </is>
      </c>
      <c r="C2" t="inlineStr">
        <is>
          <t>GOOGL</t>
        </is>
      </c>
      <c r="D2" t="n">
        <v>88.38946533203125</v>
      </c>
      <c r="E2" t="n">
        <v>16.2327709197998</v>
      </c>
      <c r="F2" t="n">
        <v>20098</v>
      </c>
      <c r="G2" t="n">
        <v>-54856</v>
      </c>
      <c r="H2">
        <f>D2*F2</f>
        <v/>
      </c>
      <c r="I2">
        <f>E2*G2</f>
        <v/>
      </c>
      <c r="J2">
        <f>H2-I2</f>
        <v/>
      </c>
      <c r="K2" t="n">
        <v>0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GGLL</t>
        </is>
      </c>
      <c r="C3" t="inlineStr">
        <is>
          <t>GOOGL</t>
        </is>
      </c>
      <c r="D3" t="n">
        <v>87.35798645019531</v>
      </c>
      <c r="E3" t="n">
        <v>15.94943714141846</v>
      </c>
      <c r="F3" t="n">
        <v>20098</v>
      </c>
      <c r="G3" t="n">
        <v>-54856</v>
      </c>
      <c r="H3">
        <f>D3*F3</f>
        <v/>
      </c>
      <c r="I3">
        <f>E3*G3</f>
        <v/>
      </c>
      <c r="J3">
        <f>H3-I3</f>
        <v/>
      </c>
      <c r="K3" t="n">
        <v>0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GGLL</t>
        </is>
      </c>
      <c r="C4" t="inlineStr">
        <is>
          <t>GOOGL</t>
        </is>
      </c>
      <c r="D4" t="n">
        <v>85.49340057373047</v>
      </c>
      <c r="E4" t="n">
        <v>15.45850563049316</v>
      </c>
      <c r="F4" t="n">
        <v>20098</v>
      </c>
      <c r="G4" t="n">
        <v>-54856</v>
      </c>
      <c r="H4">
        <f>D4*F4</f>
        <v/>
      </c>
      <c r="I4">
        <f>E4*G4</f>
        <v/>
      </c>
      <c r="J4">
        <f>H4-I4</f>
        <v/>
      </c>
      <c r="K4" t="n">
        <v>0</v>
      </c>
      <c r="L4" t="n">
        <v>-37474.44694519043</v>
      </c>
      <c r="M4" t="n">
        <v>26930.53896331787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GGLL</t>
        </is>
      </c>
      <c r="C5" t="inlineStr">
        <is>
          <t>GOOGL</t>
        </is>
      </c>
      <c r="D5" t="n">
        <v>86.62403106689453</v>
      </c>
      <c r="E5" t="n">
        <v>15.72580146789551</v>
      </c>
      <c r="F5" t="n">
        <v>20098</v>
      </c>
      <c r="G5" t="n">
        <v>-54856</v>
      </c>
      <c r="H5">
        <f>D5*F5</f>
        <v/>
      </c>
      <c r="I5">
        <f>E5*G5</f>
        <v/>
      </c>
      <c r="J5">
        <f>H5-I5</f>
        <v/>
      </c>
      <c r="K5" t="n">
        <v>0</v>
      </c>
      <c r="L5" t="n">
        <v>22723.41165161133</v>
      </c>
      <c r="M5" t="n">
        <v>-14662.78045654297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GGLL</t>
        </is>
      </c>
      <c r="C6" t="inlineStr">
        <is>
          <t>GOOGL</t>
        </is>
      </c>
      <c r="D6" t="n">
        <v>87.29847717285156</v>
      </c>
      <c r="E6" t="n">
        <v>15.93963813781738</v>
      </c>
      <c r="F6" t="n">
        <v>20098</v>
      </c>
      <c r="G6" t="n">
        <v>-54856</v>
      </c>
      <c r="H6">
        <f>D6*F6</f>
        <v/>
      </c>
      <c r="I6">
        <f>E6*G6</f>
        <v/>
      </c>
      <c r="J6">
        <f>H6-I6</f>
        <v/>
      </c>
      <c r="K6" t="n">
        <v>0</v>
      </c>
      <c r="L6" t="n">
        <v>13555.01783752441</v>
      </c>
      <c r="M6" t="n">
        <v>-11730.22436523438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GGLL</t>
        </is>
      </c>
      <c r="C7" t="inlineStr">
        <is>
          <t>GOOGL</t>
        </is>
      </c>
      <c r="D7" t="n">
        <v>87.6951904296875</v>
      </c>
      <c r="E7" t="n">
        <v>15.99309921264648</v>
      </c>
      <c r="F7" t="n">
        <v>20098</v>
      </c>
      <c r="G7" t="n">
        <v>-54856</v>
      </c>
      <c r="H7">
        <f>D7*F7</f>
        <v/>
      </c>
      <c r="I7">
        <f>E7*G7</f>
        <v/>
      </c>
      <c r="J7">
        <f>H7-I7</f>
        <v/>
      </c>
      <c r="K7" t="n">
        <v>0</v>
      </c>
      <c r="L7" t="n">
        <v>7973.143035888672</v>
      </c>
      <c r="M7" t="n">
        <v>-2932.660720825195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GGLL</t>
        </is>
      </c>
      <c r="C8" t="inlineStr">
        <is>
          <t>GOOGL</t>
        </is>
      </c>
      <c r="D8" t="n">
        <v>90.769775390625</v>
      </c>
      <c r="E8" t="n">
        <v>16.86269378662109</v>
      </c>
      <c r="F8" t="n">
        <v>20098</v>
      </c>
      <c r="G8" t="n">
        <v>-54856</v>
      </c>
      <c r="H8">
        <f>D8*F8</f>
        <v/>
      </c>
      <c r="I8">
        <f>E8*G8</f>
        <v/>
      </c>
      <c r="J8">
        <f>H8-I8</f>
        <v/>
      </c>
      <c r="K8" t="n">
        <v>0</v>
      </c>
      <c r="L8" t="n">
        <v>61793.00854492188</v>
      </c>
      <c r="M8" t="n">
        <v>-47702.47994995117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GGLL</t>
        </is>
      </c>
      <c r="C9" t="inlineStr">
        <is>
          <t>GOOGL</t>
        </is>
      </c>
      <c r="D9" t="n">
        <v>90.38298034667969</v>
      </c>
      <c r="E9" t="n">
        <v>16.74776077270508</v>
      </c>
      <c r="F9" t="n">
        <v>20098</v>
      </c>
      <c r="G9" t="n">
        <v>-54856</v>
      </c>
      <c r="H9">
        <f>D9*F9</f>
        <v/>
      </c>
      <c r="I9">
        <f>E9*G9</f>
        <v/>
      </c>
      <c r="J9">
        <f>H9-I9</f>
        <v/>
      </c>
      <c r="K9" t="n">
        <v>0</v>
      </c>
      <c r="L9" t="n">
        <v>-7773.806793212891</v>
      </c>
      <c r="M9" t="n">
        <v>6304.765411376953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GGLL</t>
        </is>
      </c>
      <c r="C10" t="inlineStr">
        <is>
          <t>GOOGL</t>
        </is>
      </c>
      <c r="D10" t="n">
        <v>91.3648681640625</v>
      </c>
      <c r="E10" t="n">
        <v>17.00970458984375</v>
      </c>
      <c r="F10" t="n">
        <v>20098</v>
      </c>
      <c r="G10" t="n">
        <v>-54856</v>
      </c>
      <c r="H10">
        <f>D10*F10</f>
        <v/>
      </c>
      <c r="I10">
        <f>E10*G10</f>
        <v/>
      </c>
      <c r="J10">
        <f>H10-I10</f>
        <v/>
      </c>
      <c r="K10" t="n">
        <v>0</v>
      </c>
      <c r="L10" t="n">
        <v>19733.98135375977</v>
      </c>
      <c r="M10" t="n">
        <v>-14369.19003295898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GGLL</t>
        </is>
      </c>
      <c r="C11" t="inlineStr">
        <is>
          <t>GOOGL</t>
        </is>
      </c>
      <c r="D11" t="n">
        <v>90.54167938232422</v>
      </c>
      <c r="E11" t="n">
        <v>16.77983474731445</v>
      </c>
      <c r="F11" t="n">
        <v>21017</v>
      </c>
      <c r="G11" t="n">
        <v>-56586</v>
      </c>
      <c r="H11">
        <f>D11*F11</f>
        <v/>
      </c>
      <c r="I11">
        <f>E11*G11</f>
        <v/>
      </c>
      <c r="J11">
        <f>H11-I11</f>
        <v/>
      </c>
      <c r="K11" t="n">
        <v>0</v>
      </c>
      <c r="L11" t="n">
        <v>-17300.95862579346</v>
      </c>
      <c r="M11" t="n">
        <v>13007.41490936279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GGLL</t>
        </is>
      </c>
      <c r="C12" t="inlineStr">
        <is>
          <t>GOOGL</t>
        </is>
      </c>
      <c r="D12" t="n">
        <v>90.37307739257812</v>
      </c>
      <c r="E12" t="n">
        <v>16.70499229431152</v>
      </c>
      <c r="F12" t="n">
        <v>21017</v>
      </c>
      <c r="G12" t="n">
        <v>-56586</v>
      </c>
      <c r="H12">
        <f>D12*F12</f>
        <v/>
      </c>
      <c r="I12">
        <f>E12*G12</f>
        <v/>
      </c>
      <c r="J12">
        <f>H12-I12</f>
        <v/>
      </c>
      <c r="K12" t="n">
        <v>0</v>
      </c>
      <c r="L12" t="n">
        <v>-3543.508018493652</v>
      </c>
      <c r="M12" t="n">
        <v>4235.035045623779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GGLL</t>
        </is>
      </c>
      <c r="C13" t="inlineStr">
        <is>
          <t>GOOGL</t>
        </is>
      </c>
      <c r="D13" t="n">
        <v>92.28725433349609</v>
      </c>
      <c r="E13" t="n">
        <v>17.26898002624512</v>
      </c>
      <c r="F13" t="n">
        <v>21017</v>
      </c>
      <c r="G13" t="n">
        <v>-56586</v>
      </c>
      <c r="H13">
        <f>D13*F13</f>
        <v/>
      </c>
      <c r="I13">
        <f>E13*G13</f>
        <v/>
      </c>
      <c r="J13">
        <f>H13-I13</f>
        <v/>
      </c>
      <c r="K13" t="n">
        <v>0</v>
      </c>
      <c r="L13" t="n">
        <v>40230.25676727295</v>
      </c>
      <c r="M13" t="n">
        <v>-31913.80979919434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GGLL</t>
        </is>
      </c>
      <c r="C14" t="inlineStr">
        <is>
          <t>GOOGL</t>
        </is>
      </c>
      <c r="D14" t="n">
        <v>97.21649932861328</v>
      </c>
      <c r="E14" t="n">
        <v>18.63574600219727</v>
      </c>
      <c r="F14" t="n">
        <v>21017</v>
      </c>
      <c r="G14" t="n">
        <v>-56586</v>
      </c>
      <c r="H14">
        <f>D14*F14</f>
        <v/>
      </c>
      <c r="I14">
        <f>E14*G14</f>
        <v/>
      </c>
      <c r="J14">
        <f>H14-I14</f>
        <v/>
      </c>
      <c r="K14" t="n">
        <v>0</v>
      </c>
      <c r="L14" t="n">
        <v>103597.9420623779</v>
      </c>
      <c r="M14" t="n">
        <v>-77339.81951522827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GGLL</t>
        </is>
      </c>
      <c r="C15" t="inlineStr">
        <is>
          <t>GOOGL</t>
        </is>
      </c>
      <c r="D15" t="n">
        <v>98.97200012207031</v>
      </c>
      <c r="E15" t="n">
        <v>19.12845611572266</v>
      </c>
      <c r="F15" t="n">
        <v>21017</v>
      </c>
      <c r="G15" t="n">
        <v>-56586</v>
      </c>
      <c r="H15">
        <f>D15*F15</f>
        <v/>
      </c>
      <c r="I15">
        <f>E15*G15</f>
        <v/>
      </c>
      <c r="J15">
        <f>H15-I15</f>
        <v/>
      </c>
      <c r="K15" t="n">
        <v>0</v>
      </c>
      <c r="L15" t="n">
        <v>36895.36017608643</v>
      </c>
      <c r="M15" t="n">
        <v>-27880.49448394775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GGLL</t>
        </is>
      </c>
      <c r="C16" t="inlineStr">
        <is>
          <t>GOOGL</t>
        </is>
      </c>
      <c r="D16" t="n">
        <v>96.89913177490234</v>
      </c>
      <c r="E16" t="n">
        <v>18.49675559997559</v>
      </c>
      <c r="F16" t="n">
        <v>21017</v>
      </c>
      <c r="G16" t="n">
        <v>-56586</v>
      </c>
      <c r="H16">
        <f>D16*F16</f>
        <v/>
      </c>
      <c r="I16">
        <f>E16*G16</f>
        <v/>
      </c>
      <c r="J16">
        <f>H16-I16</f>
        <v/>
      </c>
      <c r="K16" t="n">
        <v>0</v>
      </c>
      <c r="L16" t="n">
        <v>-43565.4740524292</v>
      </c>
      <c r="M16" t="n">
        <v>35745.40538406372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GGLL</t>
        </is>
      </c>
      <c r="C17" t="inlineStr">
        <is>
          <t>GOOGL</t>
        </is>
      </c>
      <c r="D17" t="n">
        <v>94.439453125</v>
      </c>
      <c r="E17" t="n">
        <v>17.77505874633789</v>
      </c>
      <c r="F17" t="n">
        <v>21017</v>
      </c>
      <c r="G17" t="n">
        <v>-56586</v>
      </c>
      <c r="H17">
        <f>D17*F17</f>
        <v/>
      </c>
      <c r="I17">
        <f>E17*G17</f>
        <v/>
      </c>
      <c r="J17">
        <f>H17-I17</f>
        <v/>
      </c>
      <c r="K17" t="n">
        <v>0</v>
      </c>
      <c r="L17" t="n">
        <v>-51695.06618499756</v>
      </c>
      <c r="M17" t="n">
        <v>40837.93815994263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GGLL</t>
        </is>
      </c>
      <c r="C18" t="inlineStr">
        <is>
          <t>GOOGL</t>
        </is>
      </c>
      <c r="D18" t="n">
        <v>96.72060394287109</v>
      </c>
      <c r="E18" t="n">
        <v>18.43527030944824</v>
      </c>
      <c r="F18" t="n">
        <v>21017</v>
      </c>
      <c r="G18" t="n">
        <v>-56586</v>
      </c>
      <c r="H18">
        <f>D18*F18</f>
        <v/>
      </c>
      <c r="I18">
        <f>E18*G18</f>
        <v/>
      </c>
      <c r="J18">
        <f>H18-I18</f>
        <v/>
      </c>
      <c r="K18" t="n">
        <v>0</v>
      </c>
      <c r="L18" t="n">
        <v>47942.94673919678</v>
      </c>
      <c r="M18" t="n">
        <v>-37358.73151016235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GGLL</t>
        </is>
      </c>
      <c r="C19" t="inlineStr">
        <is>
          <t>GOOGL</t>
        </is>
      </c>
      <c r="D19" t="n">
        <v>98.55543518066406</v>
      </c>
      <c r="E19" t="n">
        <v>18.97075271606445</v>
      </c>
      <c r="F19" t="n">
        <v>21017</v>
      </c>
      <c r="G19" t="n">
        <v>-56586</v>
      </c>
      <c r="H19">
        <f>D19*F19</f>
        <v/>
      </c>
      <c r="I19">
        <f>E19*G19</f>
        <v/>
      </c>
      <c r="J19">
        <f>H19-I19</f>
        <v/>
      </c>
      <c r="K19" t="n">
        <v>0</v>
      </c>
      <c r="L19" t="n">
        <v>38562.64812469482</v>
      </c>
      <c r="M19" t="n">
        <v>-30300.80746078491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GGLL</t>
        </is>
      </c>
      <c r="C20" t="inlineStr">
        <is>
          <t>GOOGL</t>
        </is>
      </c>
      <c r="D20" t="n">
        <v>96.14536285400391</v>
      </c>
      <c r="E20" t="n">
        <v>18.30964279174805</v>
      </c>
      <c r="F20" t="n">
        <v>20673</v>
      </c>
      <c r="G20" t="n">
        <v>-53835</v>
      </c>
      <c r="H20">
        <f>D20*F20</f>
        <v/>
      </c>
      <c r="I20">
        <f>E20*G20</f>
        <v/>
      </c>
      <c r="J20">
        <f>H20-I20</f>
        <v/>
      </c>
      <c r="K20" t="n">
        <v>0</v>
      </c>
      <c r="L20" t="n">
        <v>-49823.42520904541</v>
      </c>
      <c r="M20" t="n">
        <v>35590.85277557373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GGLL</t>
        </is>
      </c>
      <c r="C21" t="inlineStr">
        <is>
          <t>GOOGL</t>
        </is>
      </c>
      <c r="D21" t="n">
        <v>98.02977752685547</v>
      </c>
      <c r="E21" t="n">
        <v>18.79611968994141</v>
      </c>
      <c r="F21" t="n">
        <v>20673</v>
      </c>
      <c r="G21" t="n">
        <v>-53835</v>
      </c>
      <c r="H21">
        <f>D21*F21</f>
        <v/>
      </c>
      <c r="I21">
        <f>E21*G21</f>
        <v/>
      </c>
      <c r="J21">
        <f>H21-I21</f>
        <v/>
      </c>
      <c r="K21" t="n">
        <v>0</v>
      </c>
      <c r="L21" t="n">
        <v>38956.50453186035</v>
      </c>
      <c r="M21" t="n">
        <v>-26189.4838142395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KWEB Price</t>
        </is>
      </c>
      <c r="E1" t="inlineStr">
        <is>
          <t>CWEB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CWEB</t>
        </is>
      </c>
      <c r="C2" t="inlineStr">
        <is>
          <t>KWEB</t>
        </is>
      </c>
      <c r="D2" t="n">
        <v>28.48882865905762</v>
      </c>
      <c r="E2" t="n">
        <v>50.57511520385742</v>
      </c>
      <c r="F2" t="n">
        <v>14605</v>
      </c>
      <c r="G2" t="n">
        <v>-4138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CWEB</t>
        </is>
      </c>
      <c r="C3" t="inlineStr">
        <is>
          <t>KWEB</t>
        </is>
      </c>
      <c r="D3" t="n">
        <v>30.99728202819824</v>
      </c>
      <c r="E3" t="n">
        <v>59.48901748657227</v>
      </c>
      <c r="F3" t="n">
        <v>14605</v>
      </c>
      <c r="G3" t="n">
        <v>-4138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CWEB</t>
        </is>
      </c>
      <c r="C4" t="inlineStr">
        <is>
          <t>KWEB</t>
        </is>
      </c>
      <c r="D4" t="n">
        <v>31.1406192779541</v>
      </c>
      <c r="E4" t="n">
        <v>60.14630508422852</v>
      </c>
      <c r="F4" t="n">
        <v>14605</v>
      </c>
      <c r="G4" t="n">
        <v>-4138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2093.440532684326</v>
      </c>
      <c r="M4" t="n">
        <v>-2719.856079101562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CWEB</t>
        </is>
      </c>
      <c r="C5" t="inlineStr">
        <is>
          <t>KWEB</t>
        </is>
      </c>
      <c r="D5" t="n">
        <v>30.97040176391602</v>
      </c>
      <c r="E5" t="n">
        <v>59.43499755859375</v>
      </c>
      <c r="F5" t="n">
        <v>14605</v>
      </c>
      <c r="G5" t="n">
        <v>-4138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-2486.026792526245</v>
      </c>
      <c r="M5" t="n">
        <v>2943.39054107666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CWEB</t>
        </is>
      </c>
      <c r="C6" t="inlineStr">
        <is>
          <t>KWEB</t>
        </is>
      </c>
      <c r="D6" t="n">
        <v>31.00623893737793</v>
      </c>
      <c r="E6" t="n">
        <v>59.54304122924805</v>
      </c>
      <c r="F6" t="n">
        <v>14605</v>
      </c>
      <c r="G6" t="n">
        <v>-3828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523.4019184112549</v>
      </c>
      <c r="M6" t="n">
        <v>-413.5911712646484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CWEB</t>
        </is>
      </c>
      <c r="C7" t="inlineStr">
        <is>
          <t>KWEB</t>
        </is>
      </c>
      <c r="D7" t="n">
        <v>31.3914680480957</v>
      </c>
      <c r="E7" t="n">
        <v>61.03770065307617</v>
      </c>
      <c r="F7" t="n">
        <v>14605</v>
      </c>
      <c r="G7" t="n">
        <v>-3828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5626.271162033081</v>
      </c>
      <c r="M7" t="n">
        <v>-5721.556274414062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CWEB</t>
        </is>
      </c>
      <c r="C8" t="inlineStr">
        <is>
          <t>KWEB</t>
        </is>
      </c>
      <c r="D8" t="n">
        <v>31.23021125793457</v>
      </c>
      <c r="E8" t="n">
        <v>60.36240005493164</v>
      </c>
      <c r="F8" t="n">
        <v>14605</v>
      </c>
      <c r="G8" t="n">
        <v>-3828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-2355.155420303345</v>
      </c>
      <c r="M8" t="n">
        <v>2585.050689697266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CWEB</t>
        </is>
      </c>
      <c r="C9" t="inlineStr">
        <is>
          <t>KWEB</t>
        </is>
      </c>
      <c r="D9" t="n">
        <v>30.80018997192383</v>
      </c>
      <c r="E9" t="n">
        <v>58.57962036132812</v>
      </c>
      <c r="F9" t="n">
        <v>14605</v>
      </c>
      <c r="G9" t="n">
        <v>-3828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-6280.46088218689</v>
      </c>
      <c r="M9" t="n">
        <v>6824.480667114258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CWEB</t>
        </is>
      </c>
      <c r="C10" t="inlineStr">
        <is>
          <t>KWEB</t>
        </is>
      </c>
      <c r="D10" t="n">
        <v>31.6960620880127</v>
      </c>
      <c r="E10" t="n">
        <v>61.83905029296875</v>
      </c>
      <c r="F10" t="n">
        <v>14605</v>
      </c>
      <c r="G10" t="n">
        <v>-3828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13084.21225547791</v>
      </c>
      <c r="M10" t="n">
        <v>-12477.09777832031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CWEB</t>
        </is>
      </c>
      <c r="C11" t="inlineStr">
        <is>
          <t>KWEB</t>
        </is>
      </c>
      <c r="D11" t="n">
        <v>30.62997055053711</v>
      </c>
      <c r="E11" t="n">
        <v>57.92233276367188</v>
      </c>
      <c r="F11" t="n">
        <v>14190</v>
      </c>
      <c r="G11" t="n">
        <v>-3658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-15127.83891677856</v>
      </c>
      <c r="M11" t="n">
        <v>14327.35272216797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CWEB</t>
        </is>
      </c>
      <c r="C12" t="inlineStr">
        <is>
          <t>KWEB</t>
        </is>
      </c>
      <c r="D12" t="n">
        <v>29.85056114196777</v>
      </c>
      <c r="E12" t="n">
        <v>55.0230712890625</v>
      </c>
      <c r="F12" t="n">
        <v>14190</v>
      </c>
      <c r="G12" t="n">
        <v>-3658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-11059.81950759888</v>
      </c>
      <c r="M12" t="n">
        <v>10605.49847412109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CWEB</t>
        </is>
      </c>
      <c r="C13" t="inlineStr">
        <is>
          <t>KWEB</t>
        </is>
      </c>
      <c r="D13" t="n">
        <v>30.4060001373291</v>
      </c>
      <c r="E13" t="n">
        <v>56.82384872436523</v>
      </c>
      <c r="F13" t="n">
        <v>14190</v>
      </c>
      <c r="G13" t="n">
        <v>-3658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7881.679344177246</v>
      </c>
      <c r="M13" t="n">
        <v>-6587.243858337402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CWEB</t>
        </is>
      </c>
      <c r="C14" t="inlineStr">
        <is>
          <t>KWEB</t>
        </is>
      </c>
      <c r="D14" t="n">
        <v>31.22124671936035</v>
      </c>
      <c r="E14" t="n">
        <v>59.9031982421875</v>
      </c>
      <c r="F14" t="n">
        <v>14190</v>
      </c>
      <c r="G14" t="n">
        <v>-3658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11568.34899902344</v>
      </c>
      <c r="M14" t="n">
        <v>-11264.26053619385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CWEB</t>
        </is>
      </c>
      <c r="C15" t="inlineStr">
        <is>
          <t>KWEB</t>
        </is>
      </c>
      <c r="D15" t="n">
        <v>31.51688385009766</v>
      </c>
      <c r="E15" t="n">
        <v>61.13674545288086</v>
      </c>
      <c r="F15" t="n">
        <v>14190</v>
      </c>
      <c r="G15" t="n">
        <v>-3658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4195.090885162354</v>
      </c>
      <c r="M15" t="n">
        <v>-4512.315696716309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CWEB</t>
        </is>
      </c>
      <c r="C16" t="inlineStr">
        <is>
          <t>KWEB</t>
        </is>
      </c>
      <c r="D16" t="n">
        <v>31.37354850769043</v>
      </c>
      <c r="E16" t="n">
        <v>60.56048202514648</v>
      </c>
      <c r="F16" t="n">
        <v>14190</v>
      </c>
      <c r="G16" t="n">
        <v>-3658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-2033.928508758545</v>
      </c>
      <c r="M16" t="n">
        <v>2107.971618652344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CWEB</t>
        </is>
      </c>
      <c r="C17" t="inlineStr">
        <is>
          <t>KWEB</t>
        </is>
      </c>
      <c r="D17" t="n">
        <v>31.49001502990723</v>
      </c>
      <c r="E17" t="n">
        <v>60.99268341064453</v>
      </c>
      <c r="F17" t="n">
        <v>14190</v>
      </c>
      <c r="G17" t="n">
        <v>-3658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1652.659950256348</v>
      </c>
      <c r="M17" t="n">
        <v>-1580.992668151855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CWEB</t>
        </is>
      </c>
      <c r="C18" t="inlineStr">
        <is>
          <t>KWEB</t>
        </is>
      </c>
      <c r="D18" t="n">
        <v>32.38589096069336</v>
      </c>
      <c r="E18" t="n">
        <v>64.50422668457031</v>
      </c>
      <c r="F18" t="n">
        <v>14190</v>
      </c>
      <c r="G18" t="n">
        <v>-3658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12712.47945785522</v>
      </c>
      <c r="M18" t="n">
        <v>-12845.22529602051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CWEB</t>
        </is>
      </c>
      <c r="C19" t="inlineStr">
        <is>
          <t>KWEB</t>
        </is>
      </c>
      <c r="D19" t="n">
        <v>32.09920883178711</v>
      </c>
      <c r="E19" t="n">
        <v>63.31569671630859</v>
      </c>
      <c r="F19" t="n">
        <v>14190</v>
      </c>
      <c r="G19" t="n">
        <v>-3658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-4068.019409179688</v>
      </c>
      <c r="M19" t="n">
        <v>4347.642623901367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CWEB</t>
        </is>
      </c>
      <c r="C20" t="inlineStr">
        <is>
          <t>KWEB</t>
        </is>
      </c>
      <c r="D20" t="n">
        <v>30.55830192565918</v>
      </c>
      <c r="E20" t="n">
        <v>57.18400573730469</v>
      </c>
      <c r="F20" t="n">
        <v>14867</v>
      </c>
      <c r="G20" t="n">
        <v>-3791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-22908.66297340393</v>
      </c>
      <c r="M20" t="n">
        <v>23245.24050140381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CWEB</t>
        </is>
      </c>
      <c r="C21" t="inlineStr">
        <is>
          <t>KWEB</t>
        </is>
      </c>
      <c r="D21" t="n">
        <v>30.34329032897949</v>
      </c>
      <c r="E21" t="n">
        <v>56.42767333984375</v>
      </c>
      <c r="F21" t="n">
        <v>14867</v>
      </c>
      <c r="G21" t="n">
        <v>-3791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-3196.577407836914</v>
      </c>
      <c r="M21" t="n">
        <v>2867.256118774414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META Price</t>
        </is>
      </c>
      <c r="E1" t="inlineStr">
        <is>
          <t>FBL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FBL</t>
        </is>
      </c>
      <c r="C2" t="inlineStr">
        <is>
          <t>META</t>
        </is>
      </c>
      <c r="D2" t="n">
        <v>123.7687225341797</v>
      </c>
      <c r="E2" t="n">
        <v>3.64219331741333</v>
      </c>
      <c r="F2" t="n">
        <v>25964</v>
      </c>
      <c r="G2" t="n">
        <v>-441819</v>
      </c>
      <c r="H2">
        <f>D2*F2</f>
        <v/>
      </c>
      <c r="I2">
        <f>E2*G2</f>
        <v/>
      </c>
      <c r="J2">
        <f>H2-I2</f>
        <v/>
      </c>
      <c r="K2" t="n">
        <v>-0.01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FBL</t>
        </is>
      </c>
      <c r="C3" t="inlineStr">
        <is>
          <t>META</t>
        </is>
      </c>
      <c r="D3" t="n">
        <v>126.3782577514648</v>
      </c>
      <c r="E3" t="n">
        <v>3.754470348358154</v>
      </c>
      <c r="F3" t="n">
        <v>25964</v>
      </c>
      <c r="G3" t="n">
        <v>-441819</v>
      </c>
      <c r="H3">
        <f>D3*F3</f>
        <v/>
      </c>
      <c r="I3">
        <f>E3*G3</f>
        <v/>
      </c>
      <c r="J3">
        <f>H3-I3</f>
        <v/>
      </c>
      <c r="K3" t="n">
        <v>-0.01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FBL</t>
        </is>
      </c>
      <c r="C4" t="inlineStr">
        <is>
          <t>META</t>
        </is>
      </c>
      <c r="D4" t="n">
        <v>125.9516067504883</v>
      </c>
      <c r="E4" t="n">
        <v>3.737596273422241</v>
      </c>
      <c r="F4" t="n">
        <v>25964</v>
      </c>
      <c r="G4" t="n">
        <v>-441819</v>
      </c>
      <c r="H4">
        <f>D4*F4</f>
        <v/>
      </c>
      <c r="I4">
        <f>E4*G4</f>
        <v/>
      </c>
      <c r="J4">
        <f>H4-I4</f>
        <v/>
      </c>
      <c r="K4" t="n">
        <v>-0.01</v>
      </c>
      <c r="L4" t="n">
        <v>-11077.56658935547</v>
      </c>
      <c r="M4" t="n">
        <v>7455.286914110184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FBL</t>
        </is>
      </c>
      <c r="C5" t="inlineStr">
        <is>
          <t>META</t>
        </is>
      </c>
      <c r="D5" t="n">
        <v>129.0076293945312</v>
      </c>
      <c r="E5" t="n">
        <v>3.868824481964111</v>
      </c>
      <c r="F5" t="n">
        <v>25964</v>
      </c>
      <c r="G5" t="n">
        <v>-441819</v>
      </c>
      <c r="H5">
        <f>D5*F5</f>
        <v/>
      </c>
      <c r="I5">
        <f>E5*G5</f>
        <v/>
      </c>
      <c r="J5">
        <f>H5-I5</f>
        <v/>
      </c>
      <c r="K5" t="n">
        <v>-0.01</v>
      </c>
      <c r="L5" t="n">
        <v>79346.57192993164</v>
      </c>
      <c r="M5" t="n">
        <v>-57979.11586976051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FBL</t>
        </is>
      </c>
      <c r="C6" t="inlineStr">
        <is>
          <t>META</t>
        </is>
      </c>
      <c r="D6" t="n">
        <v>128.4618988037109</v>
      </c>
      <c r="E6" t="n">
        <v>3.844032287597656</v>
      </c>
      <c r="F6" t="n">
        <v>25964</v>
      </c>
      <c r="G6" t="n">
        <v>-441819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-14169.34906005859</v>
      </c>
      <c r="M6" t="n">
        <v>10953.66252279282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FBL</t>
        </is>
      </c>
      <c r="C7" t="inlineStr">
        <is>
          <t>META</t>
        </is>
      </c>
      <c r="D7" t="n">
        <v>131.9544982910156</v>
      </c>
      <c r="E7" t="n">
        <v>3.990317106246948</v>
      </c>
      <c r="F7" t="n">
        <v>25964</v>
      </c>
      <c r="G7" t="n">
        <v>-441819</v>
      </c>
      <c r="H7">
        <f>D7*F7</f>
        <v/>
      </c>
      <c r="I7">
        <f>E7*G7</f>
        <v/>
      </c>
      <c r="J7">
        <f>H7-I7</f>
        <v/>
      </c>
      <c r="K7" t="n">
        <v>-0.01</v>
      </c>
      <c r="L7" t="n">
        <v>90681.85308837891</v>
      </c>
      <c r="M7" t="n">
        <v>-64631.41229081154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FBL</t>
        </is>
      </c>
      <c r="C8" t="inlineStr">
        <is>
          <t>META</t>
        </is>
      </c>
      <c r="D8" t="n">
        <v>131.8552856445312</v>
      </c>
      <c r="E8" t="n">
        <v>3.994081497192383</v>
      </c>
      <c r="F8" t="n">
        <v>25964</v>
      </c>
      <c r="G8" t="n">
        <v>-441819</v>
      </c>
      <c r="H8">
        <f>D8*F8</f>
        <v/>
      </c>
      <c r="I8">
        <f>E8*G8</f>
        <v/>
      </c>
      <c r="J8">
        <f>H8-I8</f>
        <v/>
      </c>
      <c r="K8" t="n">
        <v>-0.01</v>
      </c>
      <c r="L8" t="n">
        <v>-2575.957153320312</v>
      </c>
      <c r="M8" t="n">
        <v>-1663.179443120956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FBL</t>
        </is>
      </c>
      <c r="C9" t="inlineStr">
        <is>
          <t>META</t>
        </is>
      </c>
      <c r="D9" t="n">
        <v>135.6455383300781</v>
      </c>
      <c r="E9" t="n">
        <v>4.174374103546143</v>
      </c>
      <c r="F9" t="n">
        <v>25964</v>
      </c>
      <c r="G9" t="n">
        <v>-441819</v>
      </c>
      <c r="H9">
        <f>D9*F9</f>
        <v/>
      </c>
      <c r="I9">
        <f>E9*G9</f>
        <v/>
      </c>
      <c r="J9">
        <f>H9-I9</f>
        <v/>
      </c>
      <c r="K9" t="n">
        <v>-0.01</v>
      </c>
      <c r="L9" t="n">
        <v>98410.12072753906</v>
      </c>
      <c r="M9" t="n">
        <v>-79656.69904661179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FBL</t>
        </is>
      </c>
      <c r="C10" t="inlineStr">
        <is>
          <t>META</t>
        </is>
      </c>
      <c r="D10" t="n">
        <v>135.9134063720703</v>
      </c>
      <c r="E10" t="n">
        <v>4.179436206817627</v>
      </c>
      <c r="F10" t="n">
        <v>25964</v>
      </c>
      <c r="G10" t="n">
        <v>-441819</v>
      </c>
      <c r="H10">
        <f>D10*F10</f>
        <v/>
      </c>
      <c r="I10">
        <f>E10*G10</f>
        <v/>
      </c>
      <c r="J10">
        <f>H10-I10</f>
        <v/>
      </c>
      <c r="K10" t="n">
        <v>-0.01</v>
      </c>
      <c r="L10" t="n">
        <v>6954.925842285156</v>
      </c>
      <c r="M10" t="n">
        <v>-2236.533405303955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FBL</t>
        </is>
      </c>
      <c r="C11" t="inlineStr">
        <is>
          <t>META</t>
        </is>
      </c>
      <c r="D11" t="n">
        <v>134.3060150146484</v>
      </c>
      <c r="E11" t="n">
        <v>4.103632926940918</v>
      </c>
      <c r="F11" t="n">
        <v>25557</v>
      </c>
      <c r="G11" t="n">
        <v>-416177</v>
      </c>
      <c r="H11">
        <f>D11*F11</f>
        <v/>
      </c>
      <c r="I11">
        <f>E11*G11</f>
        <v/>
      </c>
      <c r="J11">
        <f>H11-I11</f>
        <v/>
      </c>
      <c r="K11" t="n">
        <v>-0.01</v>
      </c>
      <c r="L11" t="n">
        <v>-41080.10092163086</v>
      </c>
      <c r="M11" t="n">
        <v>31547.58160924911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FBL</t>
        </is>
      </c>
      <c r="C12" t="inlineStr">
        <is>
          <t>META</t>
        </is>
      </c>
      <c r="D12" t="n">
        <v>131.9842834472656</v>
      </c>
      <c r="E12" t="n">
        <v>4.000571250915527</v>
      </c>
      <c r="F12" t="n">
        <v>25557</v>
      </c>
      <c r="G12" t="n">
        <v>-416177</v>
      </c>
      <c r="H12">
        <f>D12*F12</f>
        <v/>
      </c>
      <c r="I12">
        <f>E12*G12</f>
        <v/>
      </c>
      <c r="J12">
        <f>H12-I12</f>
        <v/>
      </c>
      <c r="K12" t="n">
        <v>-0.01</v>
      </c>
      <c r="L12" t="n">
        <v>-59336.49366760254</v>
      </c>
      <c r="M12" t="n">
        <v>42891.89914321899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FBL</t>
        </is>
      </c>
      <c r="C13" t="inlineStr">
        <is>
          <t>META</t>
        </is>
      </c>
      <c r="D13" t="n">
        <v>135.0898895263672</v>
      </c>
      <c r="E13" t="n">
        <v>4.13958740234375</v>
      </c>
      <c r="F13" t="n">
        <v>25557</v>
      </c>
      <c r="G13" t="n">
        <v>-416177</v>
      </c>
      <c r="H13">
        <f>D13*F13</f>
        <v/>
      </c>
      <c r="I13">
        <f>E13*G13</f>
        <v/>
      </c>
      <c r="J13">
        <f>H13-I13</f>
        <v/>
      </c>
      <c r="K13" t="n">
        <v>-0.01</v>
      </c>
      <c r="L13" t="n">
        <v>79369.97456359863</v>
      </c>
      <c r="M13" t="n">
        <v>-57855.32485294342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FBL</t>
        </is>
      </c>
      <c r="C14" t="inlineStr">
        <is>
          <t>META</t>
        </is>
      </c>
      <c r="D14" t="n">
        <v>138.2847900390625</v>
      </c>
      <c r="E14" t="n">
        <v>4.278473854064941</v>
      </c>
      <c r="F14" t="n">
        <v>25557</v>
      </c>
      <c r="G14" t="n">
        <v>-416177</v>
      </c>
      <c r="H14">
        <f>D14*F14</f>
        <v/>
      </c>
      <c r="I14">
        <f>E14*G14</f>
        <v/>
      </c>
      <c r="J14">
        <f>H14-I14</f>
        <v/>
      </c>
      <c r="K14" t="n">
        <v>-0.01</v>
      </c>
      <c r="L14" t="n">
        <v>81652.0724029541</v>
      </c>
      <c r="M14" t="n">
        <v>-57801.34681797028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FBL</t>
        </is>
      </c>
      <c r="C15" t="inlineStr">
        <is>
          <t>META</t>
        </is>
      </c>
      <c r="D15" t="n">
        <v>142.1544494628906</v>
      </c>
      <c r="E15" t="n">
        <v>4.461361885070801</v>
      </c>
      <c r="F15" t="n">
        <v>25557</v>
      </c>
      <c r="G15" t="n">
        <v>-416177</v>
      </c>
      <c r="H15">
        <f>D15*F15</f>
        <v/>
      </c>
      <c r="I15">
        <f>E15*G15</f>
        <v/>
      </c>
      <c r="J15">
        <f>H15-I15</f>
        <v/>
      </c>
      <c r="K15" t="n">
        <v>-0.01</v>
      </c>
      <c r="L15" t="n">
        <v>98896.88589477539</v>
      </c>
      <c r="M15" t="n">
        <v>-76113.79207992554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FBL</t>
        </is>
      </c>
      <c r="C16" t="inlineStr">
        <is>
          <t>META</t>
        </is>
      </c>
      <c r="D16" t="n">
        <v>142.0254364013672</v>
      </c>
      <c r="E16" t="n">
        <v>4.448641777038574</v>
      </c>
      <c r="F16" t="n">
        <v>25557</v>
      </c>
      <c r="G16" t="n">
        <v>-416177</v>
      </c>
      <c r="H16">
        <f>D16*F16</f>
        <v/>
      </c>
      <c r="I16">
        <f>E16*G16</f>
        <v/>
      </c>
      <c r="J16">
        <f>H16-I16</f>
        <v/>
      </c>
      <c r="K16" t="n">
        <v>-0.01</v>
      </c>
      <c r="L16" t="n">
        <v>-3297.186813354492</v>
      </c>
      <c r="M16" t="n">
        <v>5293.816400527954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FBL</t>
        </is>
      </c>
      <c r="C17" t="inlineStr">
        <is>
          <t>META</t>
        </is>
      </c>
      <c r="D17" t="n">
        <v>140.3982086181641</v>
      </c>
      <c r="E17" t="n">
        <v>4.376472473144531</v>
      </c>
      <c r="F17" t="n">
        <v>25557</v>
      </c>
      <c r="G17" t="n">
        <v>-416177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-41587.06045532227</v>
      </c>
      <c r="M17" t="n">
        <v>30035.20438671112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FBL</t>
        </is>
      </c>
      <c r="C18" t="inlineStr">
        <is>
          <t>META</t>
        </is>
      </c>
      <c r="D18" t="n">
        <v>146.1530609130859</v>
      </c>
      <c r="E18" t="n">
        <v>4.637890815734863</v>
      </c>
      <c r="F18" t="n">
        <v>25557</v>
      </c>
      <c r="G18" t="n">
        <v>-416177</v>
      </c>
      <c r="H18">
        <f>D18*F18</f>
        <v/>
      </c>
      <c r="I18">
        <f>E18*G18</f>
        <v/>
      </c>
      <c r="J18">
        <f>H18-I18</f>
        <v/>
      </c>
      <c r="K18" t="n">
        <v>-0.01</v>
      </c>
      <c r="L18" t="n">
        <v>147076.7601013184</v>
      </c>
      <c r="M18" t="n">
        <v>-108796.3015642166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FBL</t>
        </is>
      </c>
      <c r="C19" t="inlineStr">
        <is>
          <t>META</t>
        </is>
      </c>
      <c r="D19" t="n">
        <v>150.5585021972656</v>
      </c>
      <c r="E19" t="n">
        <v>4.847777843475342</v>
      </c>
      <c r="F19" t="n">
        <v>25557</v>
      </c>
      <c r="G19" t="n">
        <v>-416177</v>
      </c>
      <c r="H19">
        <f>D19*F19</f>
        <v/>
      </c>
      <c r="I19">
        <f>E19*G19</f>
        <v/>
      </c>
      <c r="J19">
        <f>H19-I19</f>
        <v/>
      </c>
      <c r="K19" t="n">
        <v>-0.01</v>
      </c>
      <c r="L19" t="n">
        <v>112589.8628997803</v>
      </c>
      <c r="M19" t="n">
        <v>-87350.15354394913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FBL</t>
        </is>
      </c>
      <c r="C20" t="inlineStr">
        <is>
          <t>META</t>
        </is>
      </c>
      <c r="D20" t="n">
        <v>145.9149322509766</v>
      </c>
      <c r="E20" t="n">
        <v>4.622833728790283</v>
      </c>
      <c r="F20" t="n">
        <v>24480</v>
      </c>
      <c r="G20" t="n">
        <v>-380714</v>
      </c>
      <c r="H20">
        <f>D20*F20</f>
        <v/>
      </c>
      <c r="I20">
        <f>E20*G20</f>
        <v/>
      </c>
      <c r="J20">
        <f>H20-I20</f>
        <v/>
      </c>
      <c r="K20" t="n">
        <v>-0.01</v>
      </c>
      <c r="L20" t="n">
        <v>-113674.5922851562</v>
      </c>
      <c r="M20" t="n">
        <v>85639.3736782074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FBL</t>
        </is>
      </c>
      <c r="C21" t="inlineStr">
        <is>
          <t>META</t>
        </is>
      </c>
      <c r="D21" t="n">
        <v>147.8100433349609</v>
      </c>
      <c r="E21" t="n">
        <v>4.703568935394287</v>
      </c>
      <c r="F21" t="n">
        <v>24480</v>
      </c>
      <c r="G21" t="n">
        <v>-380714</v>
      </c>
      <c r="H21">
        <f>D21*F21</f>
        <v/>
      </c>
      <c r="I21">
        <f>E21*G21</f>
        <v/>
      </c>
      <c r="J21">
        <f>H21-I21</f>
        <v/>
      </c>
      <c r="K21" t="n">
        <v>-0.01</v>
      </c>
      <c r="L21" t="n">
        <v>46392.3193359375</v>
      </c>
      <c r="M21" t="n">
        <v>-30737.02344703674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MSFT Price</t>
        </is>
      </c>
      <c r="E1" t="inlineStr">
        <is>
          <t>MSFU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MSFU</t>
        </is>
      </c>
      <c r="C2" t="inlineStr">
        <is>
          <t>MSFT</t>
        </is>
      </c>
      <c r="D2" t="n">
        <v>233.4527893066406</v>
      </c>
      <c r="E2" t="n">
        <v>18.77336311340332</v>
      </c>
      <c r="F2" t="n">
        <v>8314</v>
      </c>
      <c r="G2" t="n">
        <v>-51898</v>
      </c>
      <c r="H2">
        <f>D2*F2</f>
        <v/>
      </c>
      <c r="I2">
        <f>E2*G2</f>
        <v/>
      </c>
      <c r="J2">
        <f>H2-I2</f>
        <v/>
      </c>
      <c r="K2" t="n">
        <v>-0.005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MSFU</t>
        </is>
      </c>
      <c r="C3" t="inlineStr">
        <is>
          <t>MSFT</t>
        </is>
      </c>
      <c r="D3" t="n">
        <v>223.2408142089844</v>
      </c>
      <c r="E3" t="n">
        <v>17.52344512939453</v>
      </c>
      <c r="F3" t="n">
        <v>8314</v>
      </c>
      <c r="G3" t="n">
        <v>-51898</v>
      </c>
      <c r="H3">
        <f>D3*F3</f>
        <v/>
      </c>
      <c r="I3">
        <f>E3*G3</f>
        <v/>
      </c>
      <c r="J3">
        <f>H3-I3</f>
        <v/>
      </c>
      <c r="K3" t="n">
        <v>-0.005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MSFU</t>
        </is>
      </c>
      <c r="C4" t="inlineStr">
        <is>
          <t>MSFT</t>
        </is>
      </c>
      <c r="D4" t="n">
        <v>216.6244659423828</v>
      </c>
      <c r="E4" t="n">
        <v>16.76129722595215</v>
      </c>
      <c r="F4" t="n">
        <v>8314</v>
      </c>
      <c r="G4" t="n">
        <v>-51898</v>
      </c>
      <c r="H4">
        <f>D4*F4</f>
        <v/>
      </c>
      <c r="I4">
        <f>E4*G4</f>
        <v/>
      </c>
      <c r="J4">
        <f>H4-I4</f>
        <v/>
      </c>
      <c r="K4" t="n">
        <v>-0.005</v>
      </c>
      <c r="L4" t="n">
        <v>-55008.31948852539</v>
      </c>
      <c r="M4" t="n">
        <v>39553.95189285278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MSFU</t>
        </is>
      </c>
      <c r="C5" t="inlineStr">
        <is>
          <t>MSFT</t>
        </is>
      </c>
      <c r="D5" t="n">
        <v>219.1774749755859</v>
      </c>
      <c r="E5" t="n">
        <v>17.01280403137207</v>
      </c>
      <c r="F5" t="n">
        <v>8314</v>
      </c>
      <c r="G5" t="n">
        <v>-51898</v>
      </c>
      <c r="H5">
        <f>D5*F5</f>
        <v/>
      </c>
      <c r="I5">
        <f>E5*G5</f>
        <v/>
      </c>
      <c r="J5">
        <f>H5-I5</f>
        <v/>
      </c>
      <c r="K5" t="n">
        <v>-0.005</v>
      </c>
      <c r="L5" t="n">
        <v>21225.71710205078</v>
      </c>
      <c r="M5" t="n">
        <v>-13052.70018768311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MSFU</t>
        </is>
      </c>
      <c r="C6" t="inlineStr">
        <is>
          <t>MSFT</t>
        </is>
      </c>
      <c r="D6" t="n">
        <v>221.3114624023438</v>
      </c>
      <c r="E6" t="n">
        <v>17.30919075012207</v>
      </c>
      <c r="F6" t="n">
        <v>8314</v>
      </c>
      <c r="G6" t="n">
        <v>-53770</v>
      </c>
      <c r="H6">
        <f>D6*F6</f>
        <v/>
      </c>
      <c r="I6">
        <f>E6*G6</f>
        <v/>
      </c>
      <c r="J6">
        <f>H6-I6</f>
        <v/>
      </c>
      <c r="K6" t="n">
        <v>-0.005</v>
      </c>
      <c r="L6" t="n">
        <v>17741.97146606445</v>
      </c>
      <c r="M6" t="n">
        <v>-15936.7138671875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MSFU</t>
        </is>
      </c>
      <c r="C7" t="inlineStr">
        <is>
          <t>MSFT</t>
        </is>
      </c>
      <c r="D7" t="n">
        <v>222.9972381591797</v>
      </c>
      <c r="E7" t="n">
        <v>17.46246910095215</v>
      </c>
      <c r="F7" t="n">
        <v>8314</v>
      </c>
      <c r="G7" t="n">
        <v>-53770</v>
      </c>
      <c r="H7">
        <f>D7*F7</f>
        <v/>
      </c>
      <c r="I7">
        <f>E7*G7</f>
        <v/>
      </c>
      <c r="J7">
        <f>H7-I7</f>
        <v/>
      </c>
      <c r="K7" t="n">
        <v>-0.005</v>
      </c>
      <c r="L7" t="n">
        <v>14015.53964233398</v>
      </c>
      <c r="M7" t="n">
        <v>-8241.776924133301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MSFU</t>
        </is>
      </c>
      <c r="C8" t="inlineStr">
        <is>
          <t>MSFT</t>
        </is>
      </c>
      <c r="D8" t="n">
        <v>229.7402496337891</v>
      </c>
      <c r="E8" t="n">
        <v>18.25510406494141</v>
      </c>
      <c r="F8" t="n">
        <v>8314</v>
      </c>
      <c r="G8" t="n">
        <v>-53770</v>
      </c>
      <c r="H8">
        <f>D8*F8</f>
        <v/>
      </c>
      <c r="I8">
        <f>E8*G8</f>
        <v/>
      </c>
      <c r="J8">
        <f>H8-I8</f>
        <v/>
      </c>
      <c r="K8" t="n">
        <v>-0.005</v>
      </c>
      <c r="L8" t="n">
        <v>56061.39739990234</v>
      </c>
      <c r="M8" t="n">
        <v>-42619.98201370239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MSFU</t>
        </is>
      </c>
      <c r="C9" t="inlineStr">
        <is>
          <t>MSFT</t>
        </is>
      </c>
      <c r="D9" t="n">
        <v>232.41015625</v>
      </c>
      <c r="E9" t="n">
        <v>18.59044647216797</v>
      </c>
      <c r="F9" t="n">
        <v>8314</v>
      </c>
      <c r="G9" t="n">
        <v>-53770</v>
      </c>
      <c r="H9">
        <f>D9*F9</f>
        <v/>
      </c>
      <c r="I9">
        <f>E9*G9</f>
        <v/>
      </c>
      <c r="J9">
        <f>H9-I9</f>
        <v/>
      </c>
      <c r="K9" t="n">
        <v>-0.005</v>
      </c>
      <c r="L9" t="n">
        <v>22197.60360717773</v>
      </c>
      <c r="M9" t="n">
        <v>-18031.36123657227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MSFU</t>
        </is>
      </c>
      <c r="C10" t="inlineStr">
        <is>
          <t>MSFT</t>
        </is>
      </c>
      <c r="D10" t="n">
        <v>233.1117248535156</v>
      </c>
      <c r="E10" t="n">
        <v>18.65141868591309</v>
      </c>
      <c r="F10" t="n">
        <v>8314</v>
      </c>
      <c r="G10" t="n">
        <v>-53770</v>
      </c>
      <c r="H10">
        <f>D10*F10</f>
        <v/>
      </c>
      <c r="I10">
        <f>E10*G10</f>
        <v/>
      </c>
      <c r="J10">
        <f>H10-I10</f>
        <v/>
      </c>
      <c r="K10" t="n">
        <v>-0.005</v>
      </c>
      <c r="L10" t="n">
        <v>5832.841369628906</v>
      </c>
      <c r="M10" t="n">
        <v>-3278.475933074951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MSFU</t>
        </is>
      </c>
      <c r="C11" t="inlineStr">
        <is>
          <t>MSFT</t>
        </is>
      </c>
      <c r="D11" t="n">
        <v>234.203125</v>
      </c>
      <c r="E11" t="n">
        <v>18.77251243591309</v>
      </c>
      <c r="F11" t="n">
        <v>8999</v>
      </c>
      <c r="G11" t="n">
        <v>-56464</v>
      </c>
      <c r="H11">
        <f>D11*F11</f>
        <v/>
      </c>
      <c r="I11">
        <f>E11*G11</f>
        <v/>
      </c>
      <c r="J11">
        <f>H11-I11</f>
        <v/>
      </c>
      <c r="K11" t="n">
        <v>-0.005</v>
      </c>
      <c r="L11" t="n">
        <v>9821.509918212891</v>
      </c>
      <c r="M11" t="n">
        <v>-6837.4375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MSFU</t>
        </is>
      </c>
      <c r="C12" t="inlineStr">
        <is>
          <t>MSFT</t>
        </is>
      </c>
      <c r="D12" t="n">
        <v>229.7792205810547</v>
      </c>
      <c r="E12" t="n">
        <v>18.24917221069336</v>
      </c>
      <c r="F12" t="n">
        <v>8999</v>
      </c>
      <c r="G12" t="n">
        <v>-56464</v>
      </c>
      <c r="H12">
        <f>D12*F12</f>
        <v/>
      </c>
      <c r="I12">
        <f>E12*G12</f>
        <v/>
      </c>
      <c r="J12">
        <f>H12-I12</f>
        <v/>
      </c>
      <c r="K12" t="n">
        <v>-0.005</v>
      </c>
      <c r="L12" t="n">
        <v>-39810.71586608887</v>
      </c>
      <c r="M12" t="n">
        <v>29549.88247680664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MSFU</t>
        </is>
      </c>
      <c r="C13" t="inlineStr">
        <is>
          <t>MSFT</t>
        </is>
      </c>
      <c r="D13" t="n">
        <v>225.9984130859375</v>
      </c>
      <c r="E13" t="n">
        <v>17.7935791015625</v>
      </c>
      <c r="F13" t="n">
        <v>8999</v>
      </c>
      <c r="G13" t="n">
        <v>-56464</v>
      </c>
      <c r="H13">
        <f>D13*F13</f>
        <v/>
      </c>
      <c r="I13">
        <f>E13*G13</f>
        <v/>
      </c>
      <c r="J13">
        <f>H13-I13</f>
        <v/>
      </c>
      <c r="K13" t="n">
        <v>-0.005</v>
      </c>
      <c r="L13" t="n">
        <v>-34023.48664855957</v>
      </c>
      <c r="M13" t="n">
        <v>25724.60931396484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MSFU</t>
        </is>
      </c>
      <c r="C14" t="inlineStr">
        <is>
          <t>MSFT</t>
        </is>
      </c>
      <c r="D14" t="n">
        <v>234.0764465332031</v>
      </c>
      <c r="E14" t="n">
        <v>18.71154403686523</v>
      </c>
      <c r="F14" t="n">
        <v>8999</v>
      </c>
      <c r="G14" t="n">
        <v>-56464</v>
      </c>
      <c r="H14">
        <f>D14*F14</f>
        <v/>
      </c>
      <c r="I14">
        <f>E14*G14</f>
        <v/>
      </c>
      <c r="J14">
        <f>H14-I14</f>
        <v/>
      </c>
      <c r="K14" t="n">
        <v>-0.005</v>
      </c>
      <c r="L14" t="n">
        <v>72694.22299194336</v>
      </c>
      <c r="M14" t="n">
        <v>-51831.97210693359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MSFU</t>
        </is>
      </c>
      <c r="C15" t="inlineStr">
        <is>
          <t>MSFT</t>
        </is>
      </c>
      <c r="D15" t="n">
        <v>236.3760528564453</v>
      </c>
      <c r="E15" t="n">
        <v>19.00284957885742</v>
      </c>
      <c r="F15" t="n">
        <v>8999</v>
      </c>
      <c r="G15" t="n">
        <v>-56464</v>
      </c>
      <c r="H15">
        <f>D15*F15</f>
        <v/>
      </c>
      <c r="I15">
        <f>E15*G15</f>
        <v/>
      </c>
      <c r="J15">
        <f>H15-I15</f>
        <v/>
      </c>
      <c r="K15" t="n">
        <v>-0.005</v>
      </c>
      <c r="L15" t="n">
        <v>20694.15730285645</v>
      </c>
      <c r="M15" t="n">
        <v>-16448.27612304688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MSFU</t>
        </is>
      </c>
      <c r="C16" t="inlineStr">
        <is>
          <t>MSFT</t>
        </is>
      </c>
      <c r="D16" t="n">
        <v>235.8498840332031</v>
      </c>
      <c r="E16" t="n">
        <v>18.93341064453125</v>
      </c>
      <c r="F16" t="n">
        <v>8999</v>
      </c>
      <c r="G16" t="n">
        <v>-56464</v>
      </c>
      <c r="H16">
        <f>D16*F16</f>
        <v/>
      </c>
      <c r="I16">
        <f>E16*G16</f>
        <v/>
      </c>
      <c r="J16">
        <f>H16-I16</f>
        <v/>
      </c>
      <c r="K16" t="n">
        <v>-0.005</v>
      </c>
      <c r="L16" t="n">
        <v>-4734.993240356445</v>
      </c>
      <c r="M16" t="n">
        <v>3920.799987792969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MSFU</t>
        </is>
      </c>
      <c r="C17" t="inlineStr">
        <is>
          <t>MSFT</t>
        </is>
      </c>
      <c r="D17" t="n">
        <v>234.4564666748047</v>
      </c>
      <c r="E17" t="n">
        <v>18.73186874389648</v>
      </c>
      <c r="F17" t="n">
        <v>8999</v>
      </c>
      <c r="G17" t="n">
        <v>-56464</v>
      </c>
      <c r="H17">
        <f>D17*F17</f>
        <v/>
      </c>
      <c r="I17">
        <f>E17*G17</f>
        <v/>
      </c>
      <c r="J17">
        <f>H17-I17</f>
        <v/>
      </c>
      <c r="K17" t="n">
        <v>-0.005</v>
      </c>
      <c r="L17" t="n">
        <v>-12539.36280822754</v>
      </c>
      <c r="M17" t="n">
        <v>11379.86187744141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MSFU</t>
        </is>
      </c>
      <c r="C18" t="inlineStr">
        <is>
          <t>MSFT</t>
        </is>
      </c>
      <c r="D18" t="n">
        <v>241.6574859619141</v>
      </c>
      <c r="E18" t="n">
        <v>19.63797760009766</v>
      </c>
      <c r="F18" t="n">
        <v>8999</v>
      </c>
      <c r="G18" t="n">
        <v>-56464</v>
      </c>
      <c r="H18">
        <f>D18*F18</f>
        <v/>
      </c>
      <c r="I18">
        <f>E18*G18</f>
        <v/>
      </c>
      <c r="J18">
        <f>H18-I18</f>
        <v/>
      </c>
      <c r="K18" t="n">
        <v>-0.005</v>
      </c>
      <c r="L18" t="n">
        <v>64801.97256469727</v>
      </c>
      <c r="M18" t="n">
        <v>-51162.53045654297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MSFU</t>
        </is>
      </c>
      <c r="C19" t="inlineStr">
        <is>
          <t>MSFT</t>
        </is>
      </c>
      <c r="D19" t="n">
        <v>241.8133697509766</v>
      </c>
      <c r="E19" t="n">
        <v>19.63712882995605</v>
      </c>
      <c r="F19" t="n">
        <v>8999</v>
      </c>
      <c r="G19" t="n">
        <v>-56464</v>
      </c>
      <c r="H19">
        <f>D19*F19</f>
        <v/>
      </c>
      <c r="I19">
        <f>E19*G19</f>
        <v/>
      </c>
      <c r="J19">
        <f>H19-I19</f>
        <v/>
      </c>
      <c r="K19" t="n">
        <v>-0.005</v>
      </c>
      <c r="L19" t="n">
        <v>1402.798217773438</v>
      </c>
      <c r="M19" t="n">
        <v>47.92495727539062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MSFU</t>
        </is>
      </c>
      <c r="C20" t="inlineStr">
        <is>
          <t>MSFT</t>
        </is>
      </c>
      <c r="D20" t="n">
        <v>236.5027618408203</v>
      </c>
      <c r="E20" t="n">
        <v>19.01132011413574</v>
      </c>
      <c r="F20" t="n">
        <v>9205</v>
      </c>
      <c r="G20" t="n">
        <v>-56905</v>
      </c>
      <c r="H20">
        <f>D20*F20</f>
        <v/>
      </c>
      <c r="I20">
        <f>E20*G20</f>
        <v/>
      </c>
      <c r="J20">
        <f>H20-I20</f>
        <v/>
      </c>
      <c r="K20" t="n">
        <v>-0.005</v>
      </c>
      <c r="L20" t="n">
        <v>-48884.14581298828</v>
      </c>
      <c r="M20" t="n">
        <v>35611.64497375488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MSFU</t>
        </is>
      </c>
      <c r="C21" t="inlineStr">
        <is>
          <t>MSFT</t>
        </is>
      </c>
      <c r="D21" t="n">
        <v>241.4722747802734</v>
      </c>
      <c r="E21" t="n">
        <v>19.60409927368164</v>
      </c>
      <c r="F21" t="n">
        <v>9205</v>
      </c>
      <c r="G21" t="n">
        <v>-56905</v>
      </c>
      <c r="H21">
        <f>D21*F21</f>
        <v/>
      </c>
      <c r="I21">
        <f>E21*G21</f>
        <v/>
      </c>
      <c r="J21">
        <f>H21-I21</f>
        <v/>
      </c>
      <c r="K21" t="n">
        <v>-0.005</v>
      </c>
      <c r="L21" t="n">
        <v>45744.36660766602</v>
      </c>
      <c r="M21" t="n">
        <v>-33732.09807395935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NVDA Price</t>
        </is>
      </c>
      <c r="E1" t="inlineStr">
        <is>
          <t>NVDL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NVDL</t>
        </is>
      </c>
      <c r="C2" t="inlineStr">
        <is>
          <t>NVDA</t>
        </is>
      </c>
      <c r="D2" t="n">
        <v>14.29990863800049</v>
      </c>
      <c r="E2" t="n">
        <v>2.885448932647705</v>
      </c>
      <c r="F2" t="n">
        <v>307781</v>
      </c>
      <c r="G2" t="n">
        <v>-767265</v>
      </c>
      <c r="H2">
        <f>D2*F2</f>
        <v/>
      </c>
      <c r="I2">
        <f>E2*G2</f>
        <v/>
      </c>
      <c r="J2">
        <f>H2-I2</f>
        <v/>
      </c>
      <c r="K2" t="n">
        <v>0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NVDL</t>
        </is>
      </c>
      <c r="C3" t="inlineStr">
        <is>
          <t>NVDA</t>
        </is>
      </c>
      <c r="D3" t="n">
        <v>14.73345279693604</v>
      </c>
      <c r="E3" t="n">
        <v>2.842646837234497</v>
      </c>
      <c r="F3" t="n">
        <v>307781</v>
      </c>
      <c r="G3" t="n">
        <v>-767265</v>
      </c>
      <c r="H3">
        <f>D3*F3</f>
        <v/>
      </c>
      <c r="I3">
        <f>E3*G3</f>
        <v/>
      </c>
      <c r="J3">
        <f>H3-I3</f>
        <v/>
      </c>
      <c r="K3" t="n">
        <v>0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NVDL</t>
        </is>
      </c>
      <c r="C4" t="inlineStr">
        <is>
          <t>NVDA</t>
        </is>
      </c>
      <c r="D4" t="n">
        <v>14.24996280670166</v>
      </c>
      <c r="E4" t="n">
        <v>2.711843490600586</v>
      </c>
      <c r="F4" t="n">
        <v>307781</v>
      </c>
      <c r="G4" t="n">
        <v>-767265</v>
      </c>
      <c r="H4">
        <f>D4*F4</f>
        <v/>
      </c>
      <c r="I4">
        <f>E4*G4</f>
        <v/>
      </c>
      <c r="J4">
        <f>H4-I4</f>
        <v/>
      </c>
      <c r="K4" t="n">
        <v>0</v>
      </c>
      <c r="L4" t="n">
        <v>-148809.0326843262</v>
      </c>
      <c r="M4" t="n">
        <v>100360.8297550678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NVDL</t>
        </is>
      </c>
      <c r="C5" t="inlineStr">
        <is>
          <t>NVDA</t>
        </is>
      </c>
      <c r="D5" t="n">
        <v>14.84333896636963</v>
      </c>
      <c r="E5" t="n">
        <v>2.874823570251465</v>
      </c>
      <c r="F5" t="n">
        <v>307781</v>
      </c>
      <c r="G5" t="n">
        <v>-767265</v>
      </c>
      <c r="H5">
        <f>D5*F5</f>
        <v/>
      </c>
      <c r="I5">
        <f>E5*G5</f>
        <v/>
      </c>
      <c r="J5">
        <f>H5-I5</f>
        <v/>
      </c>
      <c r="K5" t="n">
        <v>0</v>
      </c>
      <c r="L5" t="n">
        <v>182629.9077987671</v>
      </c>
      <c r="M5" t="n">
        <v>-125048.9108133316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NVDL</t>
        </is>
      </c>
      <c r="C6" t="inlineStr">
        <is>
          <t>NVDA</t>
        </is>
      </c>
      <c r="D6" t="n">
        <v>15.61152648925781</v>
      </c>
      <c r="E6" t="n">
        <v>3.111436367034912</v>
      </c>
      <c r="F6" t="n">
        <v>307781</v>
      </c>
      <c r="G6" t="n">
        <v>-799366</v>
      </c>
      <c r="H6">
        <f>D6*F6</f>
        <v/>
      </c>
      <c r="I6">
        <f>E6*G6</f>
        <v/>
      </c>
      <c r="J6">
        <f>H6-I6</f>
        <v/>
      </c>
      <c r="K6" t="n">
        <v>0</v>
      </c>
      <c r="L6" t="n">
        <v>236433.523982048</v>
      </c>
      <c r="M6" t="n">
        <v>-189140.2249135971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NVDL</t>
        </is>
      </c>
      <c r="C7" t="inlineStr">
        <is>
          <t>NVDA</t>
        </is>
      </c>
      <c r="D7" t="n">
        <v>15.89223003387451</v>
      </c>
      <c r="E7" t="n">
        <v>3.185817241668701</v>
      </c>
      <c r="F7" t="n">
        <v>307781</v>
      </c>
      <c r="G7" t="n">
        <v>-799366</v>
      </c>
      <c r="H7">
        <f>D7*F7</f>
        <v/>
      </c>
      <c r="I7">
        <f>E7*G7</f>
        <v/>
      </c>
      <c r="J7">
        <f>H7-I7</f>
        <v/>
      </c>
      <c r="K7" t="n">
        <v>0</v>
      </c>
      <c r="L7" t="n">
        <v>86395.2176656723</v>
      </c>
      <c r="M7" t="n">
        <v>-59457.54223251343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NVDL</t>
        </is>
      </c>
      <c r="C8" t="inlineStr">
        <is>
          <t>NVDA</t>
        </is>
      </c>
      <c r="D8" t="n">
        <v>15.984130859375</v>
      </c>
      <c r="E8" t="n">
        <v>3.231164216995239</v>
      </c>
      <c r="F8" t="n">
        <v>307781</v>
      </c>
      <c r="G8" t="n">
        <v>-799366</v>
      </c>
      <c r="H8">
        <f>D8*F8</f>
        <v/>
      </c>
      <c r="I8">
        <f>E8*G8</f>
        <v/>
      </c>
      <c r="J8">
        <f>H8-I8</f>
        <v/>
      </c>
      <c r="K8" t="n">
        <v>0</v>
      </c>
      <c r="L8" t="n">
        <v>28285.32797336578</v>
      </c>
      <c r="M8" t="n">
        <v>-36248.83027887344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NVDL</t>
        </is>
      </c>
      <c r="C9" t="inlineStr">
        <is>
          <t>NVDA</t>
        </is>
      </c>
      <c r="D9" t="n">
        <v>16.49359321594238</v>
      </c>
      <c r="E9" t="n">
        <v>3.365260601043701</v>
      </c>
      <c r="F9" t="n">
        <v>307781</v>
      </c>
      <c r="G9" t="n">
        <v>-799366</v>
      </c>
      <c r="H9">
        <f>D9*F9</f>
        <v/>
      </c>
      <c r="I9">
        <f>E9*G9</f>
        <v/>
      </c>
      <c r="J9">
        <f>H9-I9</f>
        <v/>
      </c>
      <c r="K9" t="n">
        <v>0</v>
      </c>
      <c r="L9" t="n">
        <v>156802.8335666656</v>
      </c>
      <c r="M9" t="n">
        <v>-107192.0901312828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NVDL</t>
        </is>
      </c>
      <c r="C10" t="inlineStr">
        <is>
          <t>NVDA</t>
        </is>
      </c>
      <c r="D10" t="n">
        <v>16.88119125366211</v>
      </c>
      <c r="E10" t="n">
        <v>3.478552579879761</v>
      </c>
      <c r="F10" t="n">
        <v>307781</v>
      </c>
      <c r="G10" t="n">
        <v>-799366</v>
      </c>
      <c r="H10">
        <f>D10*F10</f>
        <v/>
      </c>
      <c r="I10">
        <f>E10*G10</f>
        <v/>
      </c>
      <c r="J10">
        <f>H10-I10</f>
        <v/>
      </c>
      <c r="K10" t="n">
        <v>0</v>
      </c>
      <c r="L10" t="n">
        <v>119295.3116474152</v>
      </c>
      <c r="M10" t="n">
        <v>-90561.75595426559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NVDL</t>
        </is>
      </c>
      <c r="C11" t="inlineStr">
        <is>
          <t>NVDA</t>
        </is>
      </c>
      <c r="D11" t="n">
        <v>17.6833381652832</v>
      </c>
      <c r="E11" t="n">
        <v>3.711573839187622</v>
      </c>
      <c r="F11" t="n">
        <v>281812</v>
      </c>
      <c r="G11" t="n">
        <v>-687936</v>
      </c>
      <c r="H11">
        <f>D11*F11</f>
        <v/>
      </c>
      <c r="I11">
        <f>E11*G11</f>
        <v/>
      </c>
      <c r="J11">
        <f>H11-I11</f>
        <v/>
      </c>
      <c r="K11" t="n">
        <v>0</v>
      </c>
      <c r="L11" t="n">
        <v>226054.6254577637</v>
      </c>
      <c r="M11" t="n">
        <v>-160303.7130432129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NVDL</t>
        </is>
      </c>
      <c r="C12" t="inlineStr">
        <is>
          <t>NVDA</t>
        </is>
      </c>
      <c r="D12" t="n">
        <v>17.35868263244629</v>
      </c>
      <c r="E12" t="n">
        <v>3.623124361038208</v>
      </c>
      <c r="F12" t="n">
        <v>281812</v>
      </c>
      <c r="G12" t="n">
        <v>-687936</v>
      </c>
      <c r="H12">
        <f>D12*F12</f>
        <v/>
      </c>
      <c r="I12">
        <f>E12*G12</f>
        <v/>
      </c>
      <c r="J12">
        <f>H12-I12</f>
        <v/>
      </c>
      <c r="K12" t="n">
        <v>0</v>
      </c>
      <c r="L12" t="n">
        <v>-91491.82501983643</v>
      </c>
      <c r="M12" t="n">
        <v>60847.58020019531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NVDL</t>
        </is>
      </c>
      <c r="C13" t="inlineStr">
        <is>
          <t>NVDA</t>
        </is>
      </c>
      <c r="D13" t="n">
        <v>16.7473316192627</v>
      </c>
      <c r="E13" t="n">
        <v>3.432158470153809</v>
      </c>
      <c r="F13" t="n">
        <v>281812</v>
      </c>
      <c r="G13" t="n">
        <v>-687936</v>
      </c>
      <c r="H13">
        <f>D13*F13</f>
        <v/>
      </c>
      <c r="I13">
        <f>E13*G13</f>
        <v/>
      </c>
      <c r="J13">
        <f>H13-I13</f>
        <v/>
      </c>
      <c r="K13" t="n">
        <v>0</v>
      </c>
      <c r="L13" t="n">
        <v>-172286.0517272949</v>
      </c>
      <c r="M13" t="n">
        <v>131372.3111114502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NVDL</t>
        </is>
      </c>
      <c r="C14" t="inlineStr">
        <is>
          <t>NVDA</t>
        </is>
      </c>
      <c r="D14" t="n">
        <v>17.82019805908203</v>
      </c>
      <c r="E14" t="n">
        <v>3.752580642700194</v>
      </c>
      <c r="F14" t="n">
        <v>281812</v>
      </c>
      <c r="G14" t="n">
        <v>-687936</v>
      </c>
      <c r="H14">
        <f>D14*F14</f>
        <v/>
      </c>
      <c r="I14">
        <f>E14*G14</f>
        <v/>
      </c>
      <c r="J14">
        <f>H14-I14</f>
        <v/>
      </c>
      <c r="K14" t="n">
        <v>0</v>
      </c>
      <c r="L14" t="n">
        <v>302346.6371383667</v>
      </c>
      <c r="M14" t="n">
        <v>-220429.9476928711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NVDL</t>
        </is>
      </c>
      <c r="C15" t="inlineStr">
        <is>
          <t>NVDA</t>
        </is>
      </c>
      <c r="D15" t="n">
        <v>19.17277145385742</v>
      </c>
      <c r="E15" t="n">
        <v>4.136609554290771</v>
      </c>
      <c r="F15" t="n">
        <v>281812</v>
      </c>
      <c r="G15" t="n">
        <v>-687936</v>
      </c>
      <c r="H15">
        <f>D15*F15</f>
        <v/>
      </c>
      <c r="I15">
        <f>E15*G15</f>
        <v/>
      </c>
      <c r="J15">
        <f>H15-I15</f>
        <v/>
      </c>
      <c r="K15" t="n">
        <v>0</v>
      </c>
      <c r="L15" t="n">
        <v>381171.4135284424</v>
      </c>
      <c r="M15" t="n">
        <v>-264187.3133239746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NVDL</t>
        </is>
      </c>
      <c r="C16" t="inlineStr">
        <is>
          <t>NVDA</t>
        </is>
      </c>
      <c r="D16" t="n">
        <v>19.24469375610352</v>
      </c>
      <c r="E16" t="n">
        <v>4.206799507141113</v>
      </c>
      <c r="F16" t="n">
        <v>281812</v>
      </c>
      <c r="G16" t="n">
        <v>-687936</v>
      </c>
      <c r="H16">
        <f>D16*F16</f>
        <v/>
      </c>
      <c r="I16">
        <f>E16*G16</f>
        <v/>
      </c>
      <c r="J16">
        <f>H16-I16</f>
        <v/>
      </c>
      <c r="K16" t="n">
        <v>0</v>
      </c>
      <c r="L16" t="n">
        <v>20268.56784057617</v>
      </c>
      <c r="M16" t="n">
        <v>-48286.19540405273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NVDL</t>
        </is>
      </c>
      <c r="C17" t="inlineStr">
        <is>
          <t>NVDA</t>
        </is>
      </c>
      <c r="D17" t="n">
        <v>19.3026294708252</v>
      </c>
      <c r="E17" t="n">
        <v>4.230895519256592</v>
      </c>
      <c r="F17" t="n">
        <v>281812</v>
      </c>
      <c r="G17" t="n">
        <v>-687936</v>
      </c>
      <c r="H17">
        <f>D17*F17</f>
        <v/>
      </c>
      <c r="I17">
        <f>E17*G17</f>
        <v/>
      </c>
      <c r="J17">
        <f>H17-I17</f>
        <v/>
      </c>
      <c r="K17" t="n">
        <v>0</v>
      </c>
      <c r="L17" t="n">
        <v>16326.979637146</v>
      </c>
      <c r="M17" t="n">
        <v>-16576.51419067383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NVDL</t>
        </is>
      </c>
      <c r="C18" t="inlineStr">
        <is>
          <t>NVDA</t>
        </is>
      </c>
      <c r="D18" t="n">
        <v>19.78112411499023</v>
      </c>
      <c r="E18" t="n">
        <v>4.367085456848145</v>
      </c>
      <c r="F18" t="n">
        <v>281812</v>
      </c>
      <c r="G18" t="n">
        <v>-687936</v>
      </c>
      <c r="H18">
        <f>D18*F18</f>
        <v/>
      </c>
      <c r="I18">
        <f>E18*G18</f>
        <v/>
      </c>
      <c r="J18">
        <f>H18-I18</f>
        <v/>
      </c>
      <c r="K18" t="n">
        <v>0</v>
      </c>
      <c r="L18" t="n">
        <v>134845.532661438</v>
      </c>
      <c r="M18" t="n">
        <v>-93689.96090698242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NVDL</t>
        </is>
      </c>
      <c r="C19" t="inlineStr">
        <is>
          <t>NVDA</t>
        </is>
      </c>
      <c r="D19" t="n">
        <v>20.34353065490723</v>
      </c>
      <c r="E19" t="n">
        <v>4.571970462799072</v>
      </c>
      <c r="F19" t="n">
        <v>281812</v>
      </c>
      <c r="G19" t="n">
        <v>-687936</v>
      </c>
      <c r="H19">
        <f>D19*F19</f>
        <v/>
      </c>
      <c r="I19">
        <f>E19*G19</f>
        <v/>
      </c>
      <c r="J19">
        <f>H19-I19</f>
        <v/>
      </c>
      <c r="K19" t="n">
        <v>0</v>
      </c>
      <c r="L19" t="n">
        <v>158492.9118270874</v>
      </c>
      <c r="M19" t="n">
        <v>-140947.7714538574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NVDL</t>
        </is>
      </c>
      <c r="C20" t="inlineStr">
        <is>
          <t>NVDA</t>
        </is>
      </c>
      <c r="D20" t="n">
        <v>19.14180183410645</v>
      </c>
      <c r="E20" t="n">
        <v>4.194976806640625</v>
      </c>
      <c r="F20" t="n">
        <v>248132</v>
      </c>
      <c r="G20" t="n">
        <v>-555379</v>
      </c>
      <c r="H20">
        <f>D20*F20</f>
        <v/>
      </c>
      <c r="I20">
        <f>E20*G20</f>
        <v/>
      </c>
      <c r="J20">
        <f>H20-I20</f>
        <v/>
      </c>
      <c r="K20" t="n">
        <v>0</v>
      </c>
      <c r="L20" t="n">
        <v>-298187.3757629395</v>
      </c>
      <c r="M20" t="n">
        <v>209374.3597636223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NVDL</t>
        </is>
      </c>
      <c r="C21" t="inlineStr">
        <is>
          <t>NVDA</t>
        </is>
      </c>
      <c r="D21" t="n">
        <v>19.51640701293945</v>
      </c>
      <c r="E21" t="n">
        <v>4.271303653717041</v>
      </c>
      <c r="F21" t="n">
        <v>248132</v>
      </c>
      <c r="G21" t="n">
        <v>-555379</v>
      </c>
      <c r="H21">
        <f>D21*F21</f>
        <v/>
      </c>
      <c r="I21">
        <f>E21*G21</f>
        <v/>
      </c>
      <c r="J21">
        <f>H21-I21</f>
        <v/>
      </c>
      <c r="K21" t="n">
        <v>0</v>
      </c>
      <c r="L21" t="n">
        <v>92951.53223419189</v>
      </c>
      <c r="M21" t="n">
        <v>-42390.32800245285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SOXX Price</t>
        </is>
      </c>
      <c r="E1" t="inlineStr">
        <is>
          <t>SOXL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SOXL</t>
        </is>
      </c>
      <c r="C2" t="inlineStr">
        <is>
          <t>SOXX</t>
        </is>
      </c>
      <c r="D2" t="n">
        <v>112.2133178710938</v>
      </c>
      <c r="E2" t="n">
        <v>9.158902168273926</v>
      </c>
      <c r="F2" t="n">
        <v>8941</v>
      </c>
      <c r="G2" t="n">
        <v>-36957</v>
      </c>
      <c r="H2">
        <f>D2*F2</f>
        <v/>
      </c>
      <c r="I2">
        <f>E2*G2</f>
        <v/>
      </c>
      <c r="J2">
        <f>H2-I2</f>
        <v/>
      </c>
      <c r="K2" t="n">
        <v>-0.0175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SOXL</t>
        </is>
      </c>
      <c r="C3" t="inlineStr">
        <is>
          <t>SOXX</t>
        </is>
      </c>
      <c r="D3" t="n">
        <v>115.1017684936523</v>
      </c>
      <c r="E3" t="n">
        <v>9.853649139404297</v>
      </c>
      <c r="F3" t="n">
        <v>8941</v>
      </c>
      <c r="G3" t="n">
        <v>-36957</v>
      </c>
      <c r="H3">
        <f>D3*F3</f>
        <v/>
      </c>
      <c r="I3">
        <f>E3*G3</f>
        <v/>
      </c>
      <c r="J3">
        <f>H3-I3</f>
        <v/>
      </c>
      <c r="K3" t="n">
        <v>-0.0175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SOXL</t>
        </is>
      </c>
      <c r="C4" t="inlineStr">
        <is>
          <t>SOXX</t>
        </is>
      </c>
      <c r="D4" t="n">
        <v>113.1609344482422</v>
      </c>
      <c r="E4" t="n">
        <v>9.36439037322998</v>
      </c>
      <c r="F4" t="n">
        <v>8941</v>
      </c>
      <c r="G4" t="n">
        <v>-36957</v>
      </c>
      <c r="H4">
        <f>D4*F4</f>
        <v/>
      </c>
      <c r="I4">
        <f>E4*G4</f>
        <v/>
      </c>
      <c r="J4">
        <f>H4-I4</f>
        <v/>
      </c>
      <c r="K4" t="n">
        <v>-0.0175</v>
      </c>
      <c r="L4" t="n">
        <v>-17352.99720001221</v>
      </c>
      <c r="M4" t="n">
        <v>18081.53622150421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SOXL</t>
        </is>
      </c>
      <c r="C5" t="inlineStr">
        <is>
          <t>SOXX</t>
        </is>
      </c>
      <c r="D5" t="n">
        <v>118.4265975952148</v>
      </c>
      <c r="E5" t="n">
        <v>10.63646125793457</v>
      </c>
      <c r="F5" t="n">
        <v>8941</v>
      </c>
      <c r="G5" t="n">
        <v>-36957</v>
      </c>
      <c r="H5">
        <f>D5*F5</f>
        <v/>
      </c>
      <c r="I5">
        <f>E5*G5</f>
        <v/>
      </c>
      <c r="J5">
        <f>H5-I5</f>
        <v/>
      </c>
      <c r="K5" t="n">
        <v>-0.0175</v>
      </c>
      <c r="L5" t="n">
        <v>47080.29419708252</v>
      </c>
      <c r="M5" t="n">
        <v>-47011.92368602753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SOXL</t>
        </is>
      </c>
      <c r="C6" t="inlineStr">
        <is>
          <t>SOXX</t>
        </is>
      </c>
      <c r="D6" t="n">
        <v>120.6083908081055</v>
      </c>
      <c r="E6" t="n">
        <v>11.28227996826172</v>
      </c>
      <c r="F6" t="n">
        <v>8941</v>
      </c>
      <c r="G6" t="n">
        <v>-33586</v>
      </c>
      <c r="H6">
        <f>D6*F6</f>
        <v/>
      </c>
      <c r="I6">
        <f>E6*G6</f>
        <v/>
      </c>
      <c r="J6">
        <f>H6-I6</f>
        <v/>
      </c>
      <c r="K6" t="n">
        <v>-0.0175</v>
      </c>
      <c r="L6" t="n">
        <v>19507.41311645508</v>
      </c>
      <c r="M6" t="n">
        <v>-21690.46720504761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SOXL</t>
        </is>
      </c>
      <c r="C7" t="inlineStr">
        <is>
          <t>SOXX</t>
        </is>
      </c>
      <c r="D7" t="n">
        <v>122.168212890625</v>
      </c>
      <c r="E7" t="n">
        <v>11.71282768249512</v>
      </c>
      <c r="F7" t="n">
        <v>8941</v>
      </c>
      <c r="G7" t="n">
        <v>-33586</v>
      </c>
      <c r="H7">
        <f>D7*F7</f>
        <v/>
      </c>
      <c r="I7">
        <f>E7*G7</f>
        <v/>
      </c>
      <c r="J7">
        <f>H7-I7</f>
        <v/>
      </c>
      <c r="K7" t="n">
        <v>-0.0175</v>
      </c>
      <c r="L7" t="n">
        <v>13946.36923980713</v>
      </c>
      <c r="M7" t="n">
        <v>-14460.37553024292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SOXL</t>
        </is>
      </c>
      <c r="C8" t="inlineStr">
        <is>
          <t>SOXX</t>
        </is>
      </c>
      <c r="D8" t="n">
        <v>123.7443161010742</v>
      </c>
      <c r="E8" t="n">
        <v>12.13358879089355</v>
      </c>
      <c r="F8" t="n">
        <v>8941</v>
      </c>
      <c r="G8" t="n">
        <v>-33586</v>
      </c>
      <c r="H8">
        <f>D8*F8</f>
        <v/>
      </c>
      <c r="I8">
        <f>E8*G8</f>
        <v/>
      </c>
      <c r="J8">
        <f>H8-I8</f>
        <v/>
      </c>
      <c r="K8" t="n">
        <v>-0.0175</v>
      </c>
      <c r="L8" t="n">
        <v>14091.93880462646</v>
      </c>
      <c r="M8" t="n">
        <v>-14131.68258666992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SOXL</t>
        </is>
      </c>
      <c r="C9" t="inlineStr">
        <is>
          <t>SOXX</t>
        </is>
      </c>
      <c r="D9" t="n">
        <v>125.248779296875</v>
      </c>
      <c r="E9" t="n">
        <v>12.54456329345703</v>
      </c>
      <c r="F9" t="n">
        <v>8941</v>
      </c>
      <c r="G9" t="n">
        <v>-33586</v>
      </c>
      <c r="H9">
        <f>D9*F9</f>
        <v/>
      </c>
      <c r="I9">
        <f>E9*G9</f>
        <v/>
      </c>
      <c r="J9">
        <f>H9-I9</f>
        <v/>
      </c>
      <c r="K9" t="n">
        <v>-0.0175</v>
      </c>
      <c r="L9" t="n">
        <v>13451.40543365479</v>
      </c>
      <c r="M9" t="n">
        <v>-13802.98964309692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SOXL</t>
        </is>
      </c>
      <c r="C10" t="inlineStr">
        <is>
          <t>SOXX</t>
        </is>
      </c>
      <c r="D10" t="n">
        <v>125.7665863037109</v>
      </c>
      <c r="E10" t="n">
        <v>12.67177200317383</v>
      </c>
      <c r="F10" t="n">
        <v>8941</v>
      </c>
      <c r="G10" t="n">
        <v>-33586</v>
      </c>
      <c r="H10">
        <f>D10*F10</f>
        <v/>
      </c>
      <c r="I10">
        <f>E10*G10</f>
        <v/>
      </c>
      <c r="J10">
        <f>H10-I10</f>
        <v/>
      </c>
      <c r="K10" t="n">
        <v>-0.0175</v>
      </c>
      <c r="L10" t="n">
        <v>4629.712448120117</v>
      </c>
      <c r="M10" t="n">
        <v>-4272.43172454834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SOXL</t>
        </is>
      </c>
      <c r="C11" t="inlineStr">
        <is>
          <t>SOXX</t>
        </is>
      </c>
      <c r="D11" t="n">
        <v>125.9098358154297</v>
      </c>
      <c r="E11" t="n">
        <v>12.77940940856934</v>
      </c>
      <c r="F11" t="n">
        <v>8623</v>
      </c>
      <c r="G11" t="n">
        <v>-28873</v>
      </c>
      <c r="H11">
        <f>D11*F11</f>
        <v/>
      </c>
      <c r="I11">
        <f>E11*G11</f>
        <v/>
      </c>
      <c r="J11">
        <f>H11-I11</f>
        <v/>
      </c>
      <c r="K11" t="n">
        <v>-0.0175</v>
      </c>
      <c r="L11" t="n">
        <v>1235.240539550781</v>
      </c>
      <c r="M11" t="n">
        <v>-3107.814805984497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SOXL</t>
        </is>
      </c>
      <c r="C12" t="inlineStr">
        <is>
          <t>SOXX</t>
        </is>
      </c>
      <c r="D12" t="n">
        <v>125.248779296875</v>
      </c>
      <c r="E12" t="n">
        <v>12.54456329345703</v>
      </c>
      <c r="F12" t="n">
        <v>8623</v>
      </c>
      <c r="G12" t="n">
        <v>-28873</v>
      </c>
      <c r="H12">
        <f>D12*F12</f>
        <v/>
      </c>
      <c r="I12">
        <f>E12*G12</f>
        <v/>
      </c>
      <c r="J12">
        <f>H12-I12</f>
        <v/>
      </c>
      <c r="K12" t="n">
        <v>-0.0175</v>
      </c>
      <c r="L12" t="n">
        <v>-5700.29035949707</v>
      </c>
      <c r="M12" t="n">
        <v>6780.711881637573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SOXL</t>
        </is>
      </c>
      <c r="C13" t="inlineStr">
        <is>
          <t>SOXX</t>
        </is>
      </c>
      <c r="D13" t="n">
        <v>121.735107421875</v>
      </c>
      <c r="E13" t="n">
        <v>11.51712417602539</v>
      </c>
      <c r="F13" t="n">
        <v>8623</v>
      </c>
      <c r="G13" t="n">
        <v>-28873</v>
      </c>
      <c r="H13">
        <f>D13*F13</f>
        <v/>
      </c>
      <c r="I13">
        <f>E13*G13</f>
        <v/>
      </c>
      <c r="J13">
        <f>H13-I13</f>
        <v/>
      </c>
      <c r="K13" t="n">
        <v>-0.0175</v>
      </c>
      <c r="L13" t="n">
        <v>-30298.392578125</v>
      </c>
      <c r="M13" t="n">
        <v>29665.24963760376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SOXL</t>
        </is>
      </c>
      <c r="C14" t="inlineStr">
        <is>
          <t>SOXX</t>
        </is>
      </c>
      <c r="D14" t="n">
        <v>125.5451278686523</v>
      </c>
      <c r="E14" t="n">
        <v>12.51521015167236</v>
      </c>
      <c r="F14" t="n">
        <v>8623</v>
      </c>
      <c r="G14" t="n">
        <v>-28873</v>
      </c>
      <c r="H14">
        <f>D14*F14</f>
        <v/>
      </c>
      <c r="I14">
        <f>E14*G14</f>
        <v/>
      </c>
      <c r="J14">
        <f>H14-I14</f>
        <v/>
      </c>
      <c r="K14" t="n">
        <v>-0.0175</v>
      </c>
      <c r="L14" t="n">
        <v>32853.80631256104</v>
      </c>
      <c r="M14" t="n">
        <v>-28817.73637485504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SOXL</t>
        </is>
      </c>
      <c r="C15" t="inlineStr">
        <is>
          <t>SOXX</t>
        </is>
      </c>
      <c r="D15" t="n">
        <v>131.8495788574219</v>
      </c>
      <c r="E15" t="n">
        <v>14.42331600189209</v>
      </c>
      <c r="F15" t="n">
        <v>8623</v>
      </c>
      <c r="G15" t="n">
        <v>-28873</v>
      </c>
      <c r="H15">
        <f>D15*F15</f>
        <v/>
      </c>
      <c r="I15">
        <f>E15*G15</f>
        <v/>
      </c>
      <c r="J15">
        <f>H15-I15</f>
        <v/>
      </c>
      <c r="K15" t="n">
        <v>-0.0175</v>
      </c>
      <c r="L15" t="n">
        <v>54363.28087615967</v>
      </c>
      <c r="M15" t="n">
        <v>-55092.74021339417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SOXL</t>
        </is>
      </c>
      <c r="C16" t="inlineStr">
        <is>
          <t>SOXX</t>
        </is>
      </c>
      <c r="D16" t="n">
        <v>130.8531036376953</v>
      </c>
      <c r="E16" t="n">
        <v>14.12975978851318</v>
      </c>
      <c r="F16" t="n">
        <v>8623</v>
      </c>
      <c r="G16" t="n">
        <v>-28873</v>
      </c>
      <c r="H16">
        <f>D16*F16</f>
        <v/>
      </c>
      <c r="I16">
        <f>E16*G16</f>
        <v/>
      </c>
      <c r="J16">
        <f>H16-I16</f>
        <v/>
      </c>
      <c r="K16" t="n">
        <v>-0.0175</v>
      </c>
      <c r="L16" t="n">
        <v>-8592.605819702148</v>
      </c>
      <c r="M16" t="n">
        <v>8475.84854888916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SOXL</t>
        </is>
      </c>
      <c r="C17" t="inlineStr">
        <is>
          <t>SOXX</t>
        </is>
      </c>
      <c r="D17" t="n">
        <v>131.2080688476562</v>
      </c>
      <c r="E17" t="n">
        <v>14.21782493591309</v>
      </c>
      <c r="F17" t="n">
        <v>8623</v>
      </c>
      <c r="G17" t="n">
        <v>-28873</v>
      </c>
      <c r="H17">
        <f>D17*F17</f>
        <v/>
      </c>
      <c r="I17">
        <f>E17*G17</f>
        <v/>
      </c>
      <c r="J17">
        <f>H17-I17</f>
        <v/>
      </c>
      <c r="K17" t="n">
        <v>-0.0175</v>
      </c>
      <c r="L17" t="n">
        <v>3060.865005493164</v>
      </c>
      <c r="M17" t="n">
        <v>-2542.70500087738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SOXL</t>
        </is>
      </c>
      <c r="C18" t="inlineStr">
        <is>
          <t>SOXX</t>
        </is>
      </c>
      <c r="D18" t="n">
        <v>133.4191741943359</v>
      </c>
      <c r="E18" t="n">
        <v>14.91257190704346</v>
      </c>
      <c r="F18" t="n">
        <v>8623</v>
      </c>
      <c r="G18" t="n">
        <v>-28873</v>
      </c>
      <c r="H18">
        <f>D18*F18</f>
        <v/>
      </c>
      <c r="I18">
        <f>E18*G18</f>
        <v/>
      </c>
      <c r="J18">
        <f>H18-I18</f>
        <v/>
      </c>
      <c r="K18" t="n">
        <v>-0.0175</v>
      </c>
      <c r="L18" t="n">
        <v>19066.36140441895</v>
      </c>
      <c r="M18" t="n">
        <v>-20059.4292974472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SOXL</t>
        </is>
      </c>
      <c r="C19" t="inlineStr">
        <is>
          <t>SOXX</t>
        </is>
      </c>
      <c r="D19" t="n">
        <v>132.5692749023438</v>
      </c>
      <c r="E19" t="n">
        <v>14.65815830230713</v>
      </c>
      <c r="F19" t="n">
        <v>8623</v>
      </c>
      <c r="G19" t="n">
        <v>-28873</v>
      </c>
      <c r="H19">
        <f>D19*F19</f>
        <v/>
      </c>
      <c r="I19">
        <f>E19*G19</f>
        <v/>
      </c>
      <c r="J19">
        <f>H19-I19</f>
        <v/>
      </c>
      <c r="K19" t="n">
        <v>-0.0175</v>
      </c>
      <c r="L19" t="n">
        <v>-7328.681594848633</v>
      </c>
      <c r="M19" t="n">
        <v>7345.684009552002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SOXL</t>
        </is>
      </c>
      <c r="C20" t="inlineStr">
        <is>
          <t>SOXX</t>
        </is>
      </c>
      <c r="D20" t="n">
        <v>129.0490417480469</v>
      </c>
      <c r="E20" t="n">
        <v>13.50351047515869</v>
      </c>
      <c r="F20" t="n">
        <v>8680</v>
      </c>
      <c r="G20" t="n">
        <v>-26485</v>
      </c>
      <c r="H20">
        <f>D20*F20</f>
        <v/>
      </c>
      <c r="I20">
        <f>E20*G20</f>
        <v/>
      </c>
      <c r="J20">
        <f>H20-I20</f>
        <v/>
      </c>
      <c r="K20" t="n">
        <v>-0.0175</v>
      </c>
      <c r="L20" t="n">
        <v>-30555.62377929688</v>
      </c>
      <c r="M20" t="n">
        <v>30580.84770202637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SOXL</t>
        </is>
      </c>
      <c r="C21" t="inlineStr">
        <is>
          <t>SOXX</t>
        </is>
      </c>
      <c r="D21" t="n">
        <v>131.4555053710938</v>
      </c>
      <c r="E21" t="n">
        <v>14.20804214477539</v>
      </c>
      <c r="F21" t="n">
        <v>8680</v>
      </c>
      <c r="G21" t="n">
        <v>-26485</v>
      </c>
      <c r="H21">
        <f>D21*F21</f>
        <v/>
      </c>
      <c r="I21">
        <f>E21*G21</f>
        <v/>
      </c>
      <c r="J21">
        <f>H21-I21</f>
        <v/>
      </c>
      <c r="K21" t="n">
        <v>-0.0175</v>
      </c>
      <c r="L21" t="n">
        <v>20888.10424804688</v>
      </c>
      <c r="M21" t="n">
        <v>-18659.52126979828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SOXX Price</t>
        </is>
      </c>
      <c r="E1" t="inlineStr">
        <is>
          <t>SOXS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SOXS</t>
        </is>
      </c>
      <c r="C2" t="inlineStr">
        <is>
          <t>SOXX</t>
        </is>
      </c>
      <c r="D2" t="n">
        <v>-0</v>
      </c>
      <c r="E2" t="n">
        <v>-0</v>
      </c>
      <c r="F2" t="n">
        <v>-6997</v>
      </c>
      <c r="G2" t="n">
        <v>-37</v>
      </c>
      <c r="H2">
        <f>D2*F2</f>
        <v/>
      </c>
      <c r="I2">
        <f>E2*G2</f>
        <v/>
      </c>
      <c r="J2">
        <f>H2-I2</f>
        <v/>
      </c>
      <c r="K2" t="n">
        <v>0.07000000000000001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SOXS</t>
        </is>
      </c>
      <c r="C3" t="inlineStr">
        <is>
          <t>SOXX</t>
        </is>
      </c>
      <c r="D3" t="n">
        <v>-0</v>
      </c>
      <c r="E3" t="n">
        <v>-0</v>
      </c>
      <c r="F3" t="n">
        <v>-6997</v>
      </c>
      <c r="G3" t="n">
        <v>-37</v>
      </c>
      <c r="H3">
        <f>D3*F3</f>
        <v/>
      </c>
      <c r="I3">
        <f>E3*G3</f>
        <v/>
      </c>
      <c r="J3">
        <f>H3-I3</f>
        <v/>
      </c>
      <c r="K3" t="n">
        <v>0.07000000000000001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SOXS</t>
        </is>
      </c>
      <c r="C4" t="inlineStr">
        <is>
          <t>SOXX</t>
        </is>
      </c>
      <c r="D4" t="n">
        <v>-0</v>
      </c>
      <c r="E4" t="n">
        <v>-0</v>
      </c>
      <c r="F4" t="n">
        <v>-6997</v>
      </c>
      <c r="G4" t="n">
        <v>-37</v>
      </c>
      <c r="H4">
        <f>D4*F4</f>
        <v/>
      </c>
      <c r="I4">
        <f>E4*G4</f>
        <v/>
      </c>
      <c r="J4">
        <f>H4-I4</f>
        <v/>
      </c>
      <c r="K4" t="n">
        <v>0.07000000000000001</v>
      </c>
      <c r="L4" t="n">
        <v>13580.01581573486</v>
      </c>
      <c r="M4" t="n">
        <v>-13327.154296875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SOXS</t>
        </is>
      </c>
      <c r="C5" t="inlineStr">
        <is>
          <t>SOXX</t>
        </is>
      </c>
      <c r="D5" t="n">
        <v>-0</v>
      </c>
      <c r="E5" t="n">
        <v>-0</v>
      </c>
      <c r="F5" t="n">
        <v>-6997</v>
      </c>
      <c r="G5" t="n">
        <v>-37</v>
      </c>
      <c r="H5">
        <f>D5*F5</f>
        <v/>
      </c>
      <c r="I5">
        <f>E5*G5</f>
        <v/>
      </c>
      <c r="J5">
        <f>H5-I5</f>
        <v/>
      </c>
      <c r="K5" t="n">
        <v>0.07000000000000001</v>
      </c>
      <c r="L5" t="n">
        <v>-36843.84503936768</v>
      </c>
      <c r="M5" t="n">
        <v>35667.83740234375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SOXS</t>
        </is>
      </c>
      <c r="C6" t="inlineStr">
        <is>
          <t>SOXX</t>
        </is>
      </c>
      <c r="D6" t="n">
        <v>-0</v>
      </c>
      <c r="E6" t="n">
        <v>-0</v>
      </c>
      <c r="F6" t="n">
        <v>-6997</v>
      </c>
      <c r="G6" t="n">
        <v>-37</v>
      </c>
      <c r="H6">
        <f>D6*F6</f>
        <v/>
      </c>
      <c r="I6">
        <f>E6*G6</f>
        <v/>
      </c>
      <c r="J6">
        <f>H6-I6</f>
        <v/>
      </c>
      <c r="K6" t="n">
        <v>0.07000000000000001</v>
      </c>
      <c r="L6" t="n">
        <v>-15266.0071105957</v>
      </c>
      <c r="M6" t="n">
        <v>12747.6923828125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SOXS</t>
        </is>
      </c>
      <c r="C7" t="inlineStr">
        <is>
          <t>SOXX</t>
        </is>
      </c>
      <c r="D7" t="n">
        <v>-0</v>
      </c>
      <c r="E7" t="n">
        <v>-0</v>
      </c>
      <c r="F7" t="n">
        <v>-6997</v>
      </c>
      <c r="G7" t="n">
        <v>-37</v>
      </c>
      <c r="H7">
        <f>D7*F7</f>
        <v/>
      </c>
      <c r="I7">
        <f>E7*G7</f>
        <v/>
      </c>
      <c r="J7">
        <f>H7-I7</f>
        <v/>
      </c>
      <c r="K7" t="n">
        <v>0.07000000000000001</v>
      </c>
      <c r="L7" t="n">
        <v>-10914.07511138916</v>
      </c>
      <c r="M7" t="n">
        <v>7983.41845703125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SOXS</t>
        </is>
      </c>
      <c r="C8" t="inlineStr">
        <is>
          <t>SOXX</t>
        </is>
      </c>
      <c r="D8" t="n">
        <v>-0</v>
      </c>
      <c r="E8" t="n">
        <v>-0</v>
      </c>
      <c r="F8" t="n">
        <v>-6997</v>
      </c>
      <c r="G8" t="n">
        <v>-37</v>
      </c>
      <c r="H8">
        <f>D8*F8</f>
        <v/>
      </c>
      <c r="I8">
        <f>E8*G8</f>
        <v/>
      </c>
      <c r="J8">
        <f>H8-I8</f>
        <v/>
      </c>
      <c r="K8" t="n">
        <v>0.07000000000000001</v>
      </c>
      <c r="L8" t="n">
        <v>-11027.99416351318</v>
      </c>
      <c r="M8" t="n">
        <v>7468.34521484375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SOXS</t>
        </is>
      </c>
      <c r="C9" t="inlineStr">
        <is>
          <t>SOXX</t>
        </is>
      </c>
      <c r="D9" t="n">
        <v>-0</v>
      </c>
      <c r="E9" t="n">
        <v>-0</v>
      </c>
      <c r="F9" t="n">
        <v>-6997</v>
      </c>
      <c r="G9" t="n">
        <v>-37</v>
      </c>
      <c r="H9">
        <f>D9*F9</f>
        <v/>
      </c>
      <c r="I9">
        <f>E9*G9</f>
        <v/>
      </c>
      <c r="J9">
        <f>H9-I9</f>
        <v/>
      </c>
      <c r="K9" t="n">
        <v>0.07000000000000001</v>
      </c>
      <c r="L9" t="n">
        <v>-10526.72898101807</v>
      </c>
      <c r="M9" t="n">
        <v>6245.10498046875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SOXS</t>
        </is>
      </c>
      <c r="C10" t="inlineStr">
        <is>
          <t>SOXX</t>
        </is>
      </c>
      <c r="D10" t="n">
        <v>-0</v>
      </c>
      <c r="E10" t="n">
        <v>-0</v>
      </c>
      <c r="F10" t="n">
        <v>-6997</v>
      </c>
      <c r="G10" t="n">
        <v>-37</v>
      </c>
      <c r="H10">
        <f>D10*F10</f>
        <v/>
      </c>
      <c r="I10">
        <f>E10*G10</f>
        <v/>
      </c>
      <c r="J10">
        <f>H10-I10</f>
        <v/>
      </c>
      <c r="K10" t="n">
        <v>0.07000000000000001</v>
      </c>
      <c r="L10" t="n">
        <v>-3623.095626831055</v>
      </c>
      <c r="M10" t="n">
        <v>1867.10888671875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SOXS</t>
        </is>
      </c>
      <c r="C11" t="inlineStr">
        <is>
          <t>SOXX</t>
        </is>
      </c>
      <c r="D11" t="n">
        <v>-0</v>
      </c>
      <c r="E11" t="n">
        <v>-0</v>
      </c>
      <c r="F11" t="n">
        <v>-6748</v>
      </c>
      <c r="G11" t="n">
        <v>-57</v>
      </c>
      <c r="H11">
        <f>D11*F11</f>
        <v/>
      </c>
      <c r="I11">
        <f>E11*G11</f>
        <v/>
      </c>
      <c r="J11">
        <f>H11-I11</f>
        <v/>
      </c>
      <c r="K11" t="n">
        <v>0.07000000000000001</v>
      </c>
      <c r="L11" t="n">
        <v>-966.647705078125</v>
      </c>
      <c r="M11" t="n">
        <v>2578.693359375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SOXS</t>
        </is>
      </c>
      <c r="C12" t="inlineStr">
        <is>
          <t>SOXX</t>
        </is>
      </c>
      <c r="D12" t="n">
        <v>-0</v>
      </c>
      <c r="E12" t="n">
        <v>-0</v>
      </c>
      <c r="F12" t="n">
        <v>-6748</v>
      </c>
      <c r="G12" t="n">
        <v>-57</v>
      </c>
      <c r="H12">
        <f>D12*F12</f>
        <v/>
      </c>
      <c r="I12">
        <f>E12*G12</f>
        <v/>
      </c>
      <c r="J12">
        <f>H12-I12</f>
        <v/>
      </c>
      <c r="K12" t="n">
        <v>0.07000000000000001</v>
      </c>
      <c r="L12" t="n">
        <v>4460.809387207031</v>
      </c>
      <c r="M12" t="n">
        <v>-5157.52587890625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SOXS</t>
        </is>
      </c>
      <c r="C13" t="inlineStr">
        <is>
          <t>SOXX</t>
        </is>
      </c>
      <c r="D13" t="n">
        <v>-0</v>
      </c>
      <c r="E13" t="n">
        <v>-0</v>
      </c>
      <c r="F13" t="n">
        <v>-6748</v>
      </c>
      <c r="G13" t="n">
        <v>-57</v>
      </c>
      <c r="H13">
        <f>D13*F13</f>
        <v/>
      </c>
      <c r="I13">
        <f>E13*G13</f>
        <v/>
      </c>
      <c r="J13">
        <f>H13-I13</f>
        <v/>
      </c>
      <c r="K13" t="n">
        <v>0.07000000000000001</v>
      </c>
      <c r="L13" t="n">
        <v>23710.2578125</v>
      </c>
      <c r="M13" t="n">
        <v>-24200.7861328125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SOXS</t>
        </is>
      </c>
      <c r="C14" t="inlineStr">
        <is>
          <t>SOXX</t>
        </is>
      </c>
      <c r="D14" t="n">
        <v>-0</v>
      </c>
      <c r="E14" t="n">
        <v>-0</v>
      </c>
      <c r="F14" t="n">
        <v>-6748</v>
      </c>
      <c r="G14" t="n">
        <v>-57</v>
      </c>
      <c r="H14">
        <f>D14*F14</f>
        <v/>
      </c>
      <c r="I14">
        <f>E14*G14</f>
        <v/>
      </c>
      <c r="J14">
        <f>H14-I14</f>
        <v/>
      </c>
      <c r="K14" t="n">
        <v>0.07000000000000001</v>
      </c>
      <c r="L14" t="n">
        <v>-25710.01797485352</v>
      </c>
      <c r="M14" t="n">
        <v>28465.68310546875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SOXS</t>
        </is>
      </c>
      <c r="C15" t="inlineStr">
        <is>
          <t>SOXX</t>
        </is>
      </c>
      <c r="D15" t="n">
        <v>-0</v>
      </c>
      <c r="E15" t="n">
        <v>-0</v>
      </c>
      <c r="F15" t="n">
        <v>-6748</v>
      </c>
      <c r="G15" t="n">
        <v>-57</v>
      </c>
      <c r="H15">
        <f>D15*F15</f>
        <v/>
      </c>
      <c r="I15">
        <f>E15*G15</f>
        <v/>
      </c>
      <c r="J15">
        <f>H15-I15</f>
        <v/>
      </c>
      <c r="K15" t="n">
        <v>0.07000000000000001</v>
      </c>
      <c r="L15" t="n">
        <v>-42542.4352722168</v>
      </c>
      <c r="M15" t="n">
        <v>41954.69970703125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SOXS</t>
        </is>
      </c>
      <c r="C16" t="inlineStr">
        <is>
          <t>SOXX</t>
        </is>
      </c>
      <c r="D16" t="n">
        <v>-0</v>
      </c>
      <c r="E16" t="n">
        <v>-0</v>
      </c>
      <c r="F16" t="n">
        <v>-6748</v>
      </c>
      <c r="G16" t="n">
        <v>-57</v>
      </c>
      <c r="H16">
        <f>D16*F16</f>
        <v/>
      </c>
      <c r="I16">
        <f>E16*G16</f>
        <v/>
      </c>
      <c r="J16">
        <f>H16-I16</f>
        <v/>
      </c>
      <c r="K16" t="n">
        <v>0.07000000000000001</v>
      </c>
      <c r="L16" t="n">
        <v>6724.214782714844</v>
      </c>
      <c r="M16" t="n">
        <v>-4264.89697265625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SOXS</t>
        </is>
      </c>
      <c r="C17" t="inlineStr">
        <is>
          <t>SOXX</t>
        </is>
      </c>
      <c r="D17" t="n">
        <v>-0</v>
      </c>
      <c r="E17" t="n">
        <v>-0</v>
      </c>
      <c r="F17" t="n">
        <v>-6748</v>
      </c>
      <c r="G17" t="n">
        <v>-57</v>
      </c>
      <c r="H17">
        <f>D17*F17</f>
        <v/>
      </c>
      <c r="I17">
        <f>E17*G17</f>
        <v/>
      </c>
      <c r="J17">
        <f>H17-I17</f>
        <v/>
      </c>
      <c r="K17" t="n">
        <v>0.07000000000000001</v>
      </c>
      <c r="L17" t="n">
        <v>-2395.305236816406</v>
      </c>
      <c r="M17" t="n">
        <v>1785.2578125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SOXS</t>
        </is>
      </c>
      <c r="C18" t="inlineStr">
        <is>
          <t>SOXX</t>
        </is>
      </c>
      <c r="D18" t="n">
        <v>-0</v>
      </c>
      <c r="E18" t="n">
        <v>-0</v>
      </c>
      <c r="F18" t="n">
        <v>-6748</v>
      </c>
      <c r="G18" t="n">
        <v>-57</v>
      </c>
      <c r="H18">
        <f>D18*F18</f>
        <v/>
      </c>
      <c r="I18">
        <f>E18*G18</f>
        <v/>
      </c>
      <c r="J18">
        <f>H18-I18</f>
        <v/>
      </c>
      <c r="K18" t="n">
        <v>0.07000000000000001</v>
      </c>
      <c r="L18" t="n">
        <v>-14920.53887939453</v>
      </c>
      <c r="M18" t="n">
        <v>11207.80590820312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SOXS</t>
        </is>
      </c>
      <c r="C19" t="inlineStr">
        <is>
          <t>SOXX</t>
        </is>
      </c>
      <c r="D19" t="n">
        <v>-0</v>
      </c>
      <c r="E19" t="n">
        <v>-0</v>
      </c>
      <c r="F19" t="n">
        <v>-6748</v>
      </c>
      <c r="G19" t="n">
        <v>-57</v>
      </c>
      <c r="H19">
        <f>D19*F19</f>
        <v/>
      </c>
      <c r="I19">
        <f>E19*G19</f>
        <v/>
      </c>
      <c r="J19">
        <f>H19-I19</f>
        <v/>
      </c>
      <c r="K19" t="n">
        <v>0.07000000000000001</v>
      </c>
      <c r="L19" t="n">
        <v>5735.120422363281</v>
      </c>
      <c r="M19" t="n">
        <v>-4463.297607421875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SOXS</t>
        </is>
      </c>
      <c r="C20" t="inlineStr">
        <is>
          <t>SOXX</t>
        </is>
      </c>
      <c r="D20" t="n">
        <v>-0</v>
      </c>
      <c r="E20" t="n">
        <v>-0</v>
      </c>
      <c r="F20" t="n">
        <v>-6792</v>
      </c>
      <c r="G20" t="n">
        <v>-73</v>
      </c>
      <c r="H20">
        <f>D20*F20</f>
        <v/>
      </c>
      <c r="I20">
        <f>E20*G20</f>
        <v/>
      </c>
      <c r="J20">
        <f>H20-I20</f>
        <v/>
      </c>
      <c r="K20" t="n">
        <v>0.07000000000000001</v>
      </c>
      <c r="L20" t="n">
        <v>23909.42358398438</v>
      </c>
      <c r="M20" t="n">
        <v>-22610.35986328125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SOXS</t>
        </is>
      </c>
      <c r="C21" t="inlineStr">
        <is>
          <t>SOXX</t>
        </is>
      </c>
      <c r="D21" t="n">
        <v>-0</v>
      </c>
      <c r="E21" t="n">
        <v>-0</v>
      </c>
      <c r="F21" t="n">
        <v>-6792</v>
      </c>
      <c r="G21" t="n">
        <v>-73</v>
      </c>
      <c r="H21">
        <f>D21*F21</f>
        <v/>
      </c>
      <c r="I21">
        <f>E21*G21</f>
        <v/>
      </c>
      <c r="J21">
        <f>H21-I21</f>
        <v/>
      </c>
      <c r="K21" t="n">
        <v>0.07000000000000001</v>
      </c>
      <c r="L21" t="n">
        <v>-16344.70092773438</v>
      </c>
      <c r="M21" t="n">
        <v>16894.224609375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SPHB Price</t>
        </is>
      </c>
      <c r="E1" t="inlineStr">
        <is>
          <t>HIBL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HIBL</t>
        </is>
      </c>
      <c r="C2" t="inlineStr">
        <is>
          <t>SPHB</t>
        </is>
      </c>
      <c r="D2" t="n">
        <v>60.59737014770508</v>
      </c>
      <c r="E2" t="n">
        <v>22.45187759399414</v>
      </c>
      <c r="F2" t="n">
        <v>6521</v>
      </c>
      <c r="G2" t="n">
        <v>-5851</v>
      </c>
      <c r="H2">
        <f>D2*F2</f>
        <v/>
      </c>
      <c r="I2">
        <f>E2*G2</f>
        <v/>
      </c>
      <c r="J2">
        <f>H2-I2</f>
        <v/>
      </c>
      <c r="K2" t="n">
        <v>0.12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HIBL</t>
        </is>
      </c>
      <c r="C3" t="inlineStr">
        <is>
          <t>SPHB</t>
        </is>
      </c>
      <c r="D3" t="n">
        <v>62.3131217956543</v>
      </c>
      <c r="E3" t="n">
        <v>24.35961532592773</v>
      </c>
      <c r="F3" t="n">
        <v>6521</v>
      </c>
      <c r="G3" t="n">
        <v>-5851</v>
      </c>
      <c r="H3">
        <f>D3*F3</f>
        <v/>
      </c>
      <c r="I3">
        <f>E3*G3</f>
        <v/>
      </c>
      <c r="J3">
        <f>H3-I3</f>
        <v/>
      </c>
      <c r="K3" t="n">
        <v>0.12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HIBL</t>
        </is>
      </c>
      <c r="C4" t="inlineStr">
        <is>
          <t>SPHB</t>
        </is>
      </c>
      <c r="D4" t="n">
        <v>61.43575668334961</v>
      </c>
      <c r="E4" t="n">
        <v>23.39136695861816</v>
      </c>
      <c r="F4" t="n">
        <v>6521</v>
      </c>
      <c r="G4" t="n">
        <v>-5851</v>
      </c>
      <c r="H4">
        <f>D4*F4</f>
        <v/>
      </c>
      <c r="I4">
        <f>E4*G4</f>
        <v/>
      </c>
      <c r="J4">
        <f>H4-I4</f>
        <v/>
      </c>
      <c r="K4" t="n">
        <v>0.12</v>
      </c>
      <c r="L4" t="n">
        <v>-5721.297897338867</v>
      </c>
      <c r="M4" t="n">
        <v>5665.221197128296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HIBL</t>
        </is>
      </c>
      <c r="C5" t="inlineStr">
        <is>
          <t>SPHB</t>
        </is>
      </c>
      <c r="D5" t="n">
        <v>63.11252212524414</v>
      </c>
      <c r="E5" t="n">
        <v>25.28952026367188</v>
      </c>
      <c r="F5" t="n">
        <v>6521</v>
      </c>
      <c r="G5" t="n">
        <v>-5851</v>
      </c>
      <c r="H5">
        <f>D5*F5</f>
        <v/>
      </c>
      <c r="I5">
        <f>E5*G5</f>
        <v/>
      </c>
      <c r="J5">
        <f>H5-I5</f>
        <v/>
      </c>
      <c r="K5" t="n">
        <v>0.12</v>
      </c>
      <c r="L5" t="n">
        <v>10934.18744659424</v>
      </c>
      <c r="M5" t="n">
        <v>-11106.09498786926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HIBL</t>
        </is>
      </c>
      <c r="C6" t="inlineStr">
        <is>
          <t>SPHB</t>
        </is>
      </c>
      <c r="D6" t="n">
        <v>63.97039794921875</v>
      </c>
      <c r="E6" t="n">
        <v>26.30570411682129</v>
      </c>
      <c r="F6" t="n">
        <v>6521</v>
      </c>
      <c r="G6" t="n">
        <v>-5410</v>
      </c>
      <c r="H6">
        <f>D6*F6</f>
        <v/>
      </c>
      <c r="I6">
        <f>E6*G6</f>
        <v/>
      </c>
      <c r="J6">
        <f>H6-I6</f>
        <v/>
      </c>
      <c r="K6" t="n">
        <v>0.12</v>
      </c>
      <c r="L6" t="n">
        <v>5594.208248138428</v>
      </c>
      <c r="M6" t="n">
        <v>-5497.55464553833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HIBL</t>
        </is>
      </c>
      <c r="C7" t="inlineStr">
        <is>
          <t>SPHB</t>
        </is>
      </c>
      <c r="D7" t="n">
        <v>64.85752868652344</v>
      </c>
      <c r="E7" t="n">
        <v>27.33147430419922</v>
      </c>
      <c r="F7" t="n">
        <v>6521</v>
      </c>
      <c r="G7" t="n">
        <v>-5410</v>
      </c>
      <c r="H7">
        <f>D7*F7</f>
        <v/>
      </c>
      <c r="I7">
        <f>E7*G7</f>
        <v/>
      </c>
      <c r="J7">
        <f>H7-I7</f>
        <v/>
      </c>
      <c r="K7" t="n">
        <v>0.12</v>
      </c>
      <c r="L7" t="n">
        <v>5784.979537963867</v>
      </c>
      <c r="M7" t="n">
        <v>-5549.4167137146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HIBL</t>
        </is>
      </c>
      <c r="C8" t="inlineStr">
        <is>
          <t>SPHB</t>
        </is>
      </c>
      <c r="D8" t="n">
        <v>65.94935607910156</v>
      </c>
      <c r="E8" t="n">
        <v>28.65442848205566</v>
      </c>
      <c r="F8" t="n">
        <v>6521</v>
      </c>
      <c r="G8" t="n">
        <v>-5410</v>
      </c>
      <c r="H8">
        <f>D8*F8</f>
        <v/>
      </c>
      <c r="I8">
        <f>E8*G8</f>
        <v/>
      </c>
      <c r="J8">
        <f>H8-I8</f>
        <v/>
      </c>
      <c r="K8" t="n">
        <v>0.12</v>
      </c>
      <c r="L8" t="n">
        <v>7119.806427001953</v>
      </c>
      <c r="M8" t="n">
        <v>-7157.182102203369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HIBL</t>
        </is>
      </c>
      <c r="C9" t="inlineStr">
        <is>
          <t>SPHB</t>
        </is>
      </c>
      <c r="D9" t="n">
        <v>66.57328796386719</v>
      </c>
      <c r="E9" t="n">
        <v>29.56515693664551</v>
      </c>
      <c r="F9" t="n">
        <v>6521</v>
      </c>
      <c r="G9" t="n">
        <v>-5410</v>
      </c>
      <c r="H9">
        <f>D9*F9</f>
        <v/>
      </c>
      <c r="I9">
        <f>E9*G9</f>
        <v/>
      </c>
      <c r="J9">
        <f>H9-I9</f>
        <v/>
      </c>
      <c r="K9" t="n">
        <v>0.12</v>
      </c>
      <c r="L9" t="n">
        <v>4068.659820556641</v>
      </c>
      <c r="M9" t="n">
        <v>-4927.040939331055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HIBL</t>
        </is>
      </c>
      <c r="C10" t="inlineStr">
        <is>
          <t>SPHB</t>
        </is>
      </c>
      <c r="D10" t="n">
        <v>66.87548828125</v>
      </c>
      <c r="E10" t="n">
        <v>29.9102725982666</v>
      </c>
      <c r="F10" t="n">
        <v>6521</v>
      </c>
      <c r="G10" t="n">
        <v>-5410</v>
      </c>
      <c r="H10">
        <f>D10*F10</f>
        <v/>
      </c>
      <c r="I10">
        <f>E10*G10</f>
        <v/>
      </c>
      <c r="J10">
        <f>H10-I10</f>
        <v/>
      </c>
      <c r="K10" t="n">
        <v>0.12</v>
      </c>
      <c r="L10" t="n">
        <v>1970.64826965332</v>
      </c>
      <c r="M10" t="n">
        <v>-1867.075729370117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HIBL</t>
        </is>
      </c>
      <c r="C11" t="inlineStr">
        <is>
          <t>SPHB</t>
        </is>
      </c>
      <c r="D11" t="n">
        <v>67.20693969726562</v>
      </c>
      <c r="E11" t="n">
        <v>30.37043190002441</v>
      </c>
      <c r="F11" t="n">
        <v>6387</v>
      </c>
      <c r="G11" t="n">
        <v>-4747</v>
      </c>
      <c r="H11">
        <f>D11*F11</f>
        <v/>
      </c>
      <c r="I11">
        <f>E11*G11</f>
        <v/>
      </c>
      <c r="J11">
        <f>H11-I11</f>
        <v/>
      </c>
      <c r="K11" t="n">
        <v>0.12</v>
      </c>
      <c r="L11" t="n">
        <v>2116.980194091797</v>
      </c>
      <c r="M11" t="n">
        <v>-2184.376205444336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HIBL</t>
        </is>
      </c>
      <c r="C12" t="inlineStr">
        <is>
          <t>SPHB</t>
        </is>
      </c>
      <c r="D12" t="n">
        <v>66.45628356933594</v>
      </c>
      <c r="E12" t="n">
        <v>29.30631446838379</v>
      </c>
      <c r="F12" t="n">
        <v>6387</v>
      </c>
      <c r="G12" t="n">
        <v>-4747</v>
      </c>
      <c r="H12">
        <f>D12*F12</f>
        <v/>
      </c>
      <c r="I12">
        <f>E12*G12</f>
        <v/>
      </c>
      <c r="J12">
        <f>H12-I12</f>
        <v/>
      </c>
      <c r="K12" t="n">
        <v>0.12</v>
      </c>
      <c r="L12" t="n">
        <v>-4794.440689086914</v>
      </c>
      <c r="M12" t="n">
        <v>5051.365447998047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HIBL</t>
        </is>
      </c>
      <c r="C13" t="inlineStr">
        <is>
          <t>SPHB</t>
        </is>
      </c>
      <c r="D13" t="n">
        <v>65.15971374511719</v>
      </c>
      <c r="E13" t="n">
        <v>27.49444580078125</v>
      </c>
      <c r="F13" t="n">
        <v>6387</v>
      </c>
      <c r="G13" t="n">
        <v>-4747</v>
      </c>
      <c r="H13">
        <f>D13*F13</f>
        <v/>
      </c>
      <c r="I13">
        <f>E13*G13</f>
        <v/>
      </c>
      <c r="J13">
        <f>H13-I13</f>
        <v/>
      </c>
      <c r="K13" t="n">
        <v>0.12</v>
      </c>
      <c r="L13" t="n">
        <v>-8281.191467285156</v>
      </c>
      <c r="M13" t="n">
        <v>8600.940565109253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HIBL</t>
        </is>
      </c>
      <c r="C14" t="inlineStr">
        <is>
          <t>SPHB</t>
        </is>
      </c>
      <c r="D14" t="n">
        <v>67.28494262695312</v>
      </c>
      <c r="E14" t="n">
        <v>30.28415298461914</v>
      </c>
      <c r="F14" t="n">
        <v>6387</v>
      </c>
      <c r="G14" t="n">
        <v>-4747</v>
      </c>
      <c r="H14">
        <f>D14*F14</f>
        <v/>
      </c>
      <c r="I14">
        <f>E14*G14</f>
        <v/>
      </c>
      <c r="J14">
        <f>H14-I14</f>
        <v/>
      </c>
      <c r="K14" t="n">
        <v>0.12</v>
      </c>
      <c r="L14" t="n">
        <v>13573.83686828613</v>
      </c>
      <c r="M14" t="n">
        <v>-13242.74000167847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HIBL</t>
        </is>
      </c>
      <c r="C15" t="inlineStr">
        <is>
          <t>SPHB</t>
        </is>
      </c>
      <c r="D15" t="n">
        <v>69.26390075683594</v>
      </c>
      <c r="E15" t="n">
        <v>32.9492301940918</v>
      </c>
      <c r="F15" t="n">
        <v>6387</v>
      </c>
      <c r="G15" t="n">
        <v>-4747</v>
      </c>
      <c r="H15">
        <f>D15*F15</f>
        <v/>
      </c>
      <c r="I15">
        <f>E15*G15</f>
        <v/>
      </c>
      <c r="J15">
        <f>H15-I15</f>
        <v/>
      </c>
      <c r="K15" t="n">
        <v>0.12</v>
      </c>
      <c r="L15" t="n">
        <v>12639.60557556152</v>
      </c>
      <c r="M15" t="n">
        <v>-12651.1215133667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HIBL</t>
        </is>
      </c>
      <c r="C16" t="inlineStr">
        <is>
          <t>SPHB</t>
        </is>
      </c>
      <c r="D16" t="n">
        <v>68.88370513916016</v>
      </c>
      <c r="E16" t="n">
        <v>32.30693435668945</v>
      </c>
      <c r="F16" t="n">
        <v>6387</v>
      </c>
      <c r="G16" t="n">
        <v>-4747</v>
      </c>
      <c r="H16">
        <f>D16*F16</f>
        <v/>
      </c>
      <c r="I16">
        <f>E16*G16</f>
        <v/>
      </c>
      <c r="J16">
        <f>H16-I16</f>
        <v/>
      </c>
      <c r="K16" t="n">
        <v>0.12</v>
      </c>
      <c r="L16" t="n">
        <v>-2428.309410095215</v>
      </c>
      <c r="M16" t="n">
        <v>3048.978340148926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HIBL</t>
        </is>
      </c>
      <c r="C17" t="inlineStr">
        <is>
          <t>SPHB</t>
        </is>
      </c>
      <c r="D17" t="n">
        <v>69.00069427490234</v>
      </c>
      <c r="E17" t="n">
        <v>32.57535552978516</v>
      </c>
      <c r="F17" t="n">
        <v>6387</v>
      </c>
      <c r="G17" t="n">
        <v>-4747</v>
      </c>
      <c r="H17">
        <f>D17*F17</f>
        <v/>
      </c>
      <c r="I17">
        <f>E17*G17</f>
        <v/>
      </c>
      <c r="J17">
        <f>H17-I17</f>
        <v/>
      </c>
      <c r="K17" t="n">
        <v>0.12</v>
      </c>
      <c r="L17" t="n">
        <v>747.2096099853516</v>
      </c>
      <c r="M17" t="n">
        <v>-1274.195308685303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HIBL</t>
        </is>
      </c>
      <c r="C18" t="inlineStr">
        <is>
          <t>SPHB</t>
        </is>
      </c>
      <c r="D18" t="n">
        <v>70.10227203369141</v>
      </c>
      <c r="E18" t="n">
        <v>34.13797378540039</v>
      </c>
      <c r="F18" t="n">
        <v>6387</v>
      </c>
      <c r="G18" t="n">
        <v>-4747</v>
      </c>
      <c r="H18">
        <f>D18*F18</f>
        <v/>
      </c>
      <c r="I18">
        <f>E18*G18</f>
        <v/>
      </c>
      <c r="J18">
        <f>H18-I18</f>
        <v/>
      </c>
      <c r="K18" t="n">
        <v>0.12</v>
      </c>
      <c r="L18" t="n">
        <v>7035.777145385742</v>
      </c>
      <c r="M18" t="n">
        <v>-7417.748859405518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HIBL</t>
        </is>
      </c>
      <c r="C19" t="inlineStr">
        <is>
          <t>SPHB</t>
        </is>
      </c>
      <c r="D19" t="n">
        <v>70.49222564697266</v>
      </c>
      <c r="E19" t="n">
        <v>34.62688827514648</v>
      </c>
      <c r="F19" t="n">
        <v>6387</v>
      </c>
      <c r="G19" t="n">
        <v>-4747</v>
      </c>
      <c r="H19">
        <f>D19*F19</f>
        <v/>
      </c>
      <c r="I19">
        <f>E19*G19</f>
        <v/>
      </c>
      <c r="J19">
        <f>H19-I19</f>
        <v/>
      </c>
      <c r="K19" t="n">
        <v>0.12</v>
      </c>
      <c r="L19" t="n">
        <v>2490.633728027344</v>
      </c>
      <c r="M19" t="n">
        <v>-2320.877082824707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HIBL</t>
        </is>
      </c>
      <c r="C20" t="inlineStr">
        <is>
          <t>SPHB</t>
        </is>
      </c>
      <c r="D20" t="n">
        <v>68.99092864990234</v>
      </c>
      <c r="E20" t="n">
        <v>32.3740348815918</v>
      </c>
      <c r="F20" t="n">
        <v>6429</v>
      </c>
      <c r="G20" t="n">
        <v>-4351</v>
      </c>
      <c r="H20">
        <f>D20*F20</f>
        <v/>
      </c>
      <c r="I20">
        <f>E20*G20</f>
        <v/>
      </c>
      <c r="J20">
        <f>H20-I20</f>
        <v/>
      </c>
      <c r="K20" t="n">
        <v>0.12</v>
      </c>
      <c r="L20" t="n">
        <v>-9651.838394165039</v>
      </c>
      <c r="M20" t="n">
        <v>9802.165115356445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HIBL</t>
        </is>
      </c>
      <c r="C21" t="inlineStr">
        <is>
          <t>SPHB</t>
        </is>
      </c>
      <c r="D21" t="n">
        <v>70.5799560546875</v>
      </c>
      <c r="E21" t="n">
        <v>34.60771942138672</v>
      </c>
      <c r="F21" t="n">
        <v>6429</v>
      </c>
      <c r="G21" t="n">
        <v>-4351</v>
      </c>
      <c r="H21">
        <f>D21*F21</f>
        <v/>
      </c>
      <c r="I21">
        <f>E21*G21</f>
        <v/>
      </c>
      <c r="J21">
        <f>H21-I21</f>
        <v/>
      </c>
      <c r="K21" t="n">
        <v>0.12</v>
      </c>
      <c r="L21" t="n">
        <v>10215.85718536377</v>
      </c>
      <c r="M21" t="n">
        <v>-9718.761432647705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TSLA Price</t>
        </is>
      </c>
      <c r="E1" t="inlineStr">
        <is>
          <t>TSLL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TSLL</t>
        </is>
      </c>
      <c r="C2" t="inlineStr">
        <is>
          <t>TSLA</t>
        </is>
      </c>
      <c r="D2" t="n">
        <v>108.0999984741211</v>
      </c>
      <c r="E2" t="n">
        <v>4.406934261322021</v>
      </c>
      <c r="F2" t="n">
        <v>16893</v>
      </c>
      <c r="G2" t="n">
        <v>-207812</v>
      </c>
      <c r="H2">
        <f>D2*F2</f>
        <v/>
      </c>
      <c r="I2">
        <f>E2*G2</f>
        <v/>
      </c>
      <c r="J2">
        <f>H2-I2</f>
        <v/>
      </c>
      <c r="K2" t="n">
        <v>0.01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TSLL</t>
        </is>
      </c>
      <c r="C3" t="inlineStr">
        <is>
          <t>TSLA</t>
        </is>
      </c>
      <c r="D3" t="n">
        <v>113.6399993896484</v>
      </c>
      <c r="E3" t="n">
        <v>4.744594573974609</v>
      </c>
      <c r="F3" t="n">
        <v>16893</v>
      </c>
      <c r="G3" t="n">
        <v>-207812</v>
      </c>
      <c r="H3">
        <f>D3*F3</f>
        <v/>
      </c>
      <c r="I3">
        <f>E3*G3</f>
        <v/>
      </c>
      <c r="J3">
        <f>H3-I3</f>
        <v/>
      </c>
      <c r="K3" t="n">
        <v>0.01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TSLL</t>
        </is>
      </c>
      <c r="C4" t="inlineStr">
        <is>
          <t>TSLA</t>
        </is>
      </c>
      <c r="D4" t="n">
        <v>110.3399963378906</v>
      </c>
      <c r="E4" t="n">
        <v>4.545462131500244</v>
      </c>
      <c r="F4" t="n">
        <v>16893</v>
      </c>
      <c r="G4" t="n">
        <v>-207812</v>
      </c>
      <c r="H4">
        <f>D4*F4</f>
        <v/>
      </c>
      <c r="I4">
        <f>E4*G4</f>
        <v/>
      </c>
      <c r="J4">
        <f>H4-I4</f>
        <v/>
      </c>
      <c r="K4" t="n">
        <v>0.01</v>
      </c>
      <c r="L4" t="n">
        <v>-55746.95155334473</v>
      </c>
      <c r="M4" t="n">
        <v>41382.11113548279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TSLL</t>
        </is>
      </c>
      <c r="C5" t="inlineStr">
        <is>
          <t>TSLA</t>
        </is>
      </c>
      <c r="D5" t="n">
        <v>113.0599975585938</v>
      </c>
      <c r="E5" t="n">
        <v>4.709964275360107</v>
      </c>
      <c r="F5" t="n">
        <v>16893</v>
      </c>
      <c r="G5" t="n">
        <v>-207812</v>
      </c>
      <c r="H5">
        <f>D5*F5</f>
        <v/>
      </c>
      <c r="I5">
        <f>E5*G5</f>
        <v/>
      </c>
      <c r="J5">
        <f>H5-I5</f>
        <v/>
      </c>
      <c r="K5" t="n">
        <v>0.01</v>
      </c>
      <c r="L5" t="n">
        <v>45948.98062133789</v>
      </c>
      <c r="M5" t="n">
        <v>-34185.51951980591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TSLL</t>
        </is>
      </c>
      <c r="C6" t="inlineStr">
        <is>
          <t>TSLA</t>
        </is>
      </c>
      <c r="D6" t="n">
        <v>119.7699966430664</v>
      </c>
      <c r="E6" t="n">
        <v>5.12554931640625</v>
      </c>
      <c r="F6" t="n">
        <v>16893</v>
      </c>
      <c r="G6" t="n">
        <v>-207812</v>
      </c>
      <c r="H6">
        <f>D6*F6</f>
        <v/>
      </c>
      <c r="I6">
        <f>E6*G6</f>
        <v/>
      </c>
      <c r="J6">
        <f>H6-I6</f>
        <v/>
      </c>
      <c r="K6" t="n">
        <v>0.01</v>
      </c>
      <c r="L6" t="n">
        <v>113352.0145339966</v>
      </c>
      <c r="M6" t="n">
        <v>-86363.55854988098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TSLL</t>
        </is>
      </c>
      <c r="C7" t="inlineStr">
        <is>
          <t>TSLA</t>
        </is>
      </c>
      <c r="D7" t="n">
        <v>118.8499984741211</v>
      </c>
      <c r="E7" t="n">
        <v>5.073601722717285</v>
      </c>
      <c r="F7" t="n">
        <v>16893</v>
      </c>
      <c r="G7" t="n">
        <v>-207812</v>
      </c>
      <c r="H7">
        <f>D7*F7</f>
        <v/>
      </c>
      <c r="I7">
        <f>E7*G7</f>
        <v/>
      </c>
      <c r="J7">
        <f>H7-I7</f>
        <v/>
      </c>
      <c r="K7" t="n">
        <v>0.01</v>
      </c>
      <c r="L7" t="n">
        <v>-15541.52906799316</v>
      </c>
      <c r="M7" t="n">
        <v>10795.33333969116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TSLL</t>
        </is>
      </c>
      <c r="C8" t="inlineStr">
        <is>
          <t>TSLA</t>
        </is>
      </c>
      <c r="D8" t="n">
        <v>123.2200012207031</v>
      </c>
      <c r="E8" t="n">
        <v>5.341999053955078</v>
      </c>
      <c r="F8" t="n">
        <v>16893</v>
      </c>
      <c r="G8" t="n">
        <v>-207812</v>
      </c>
      <c r="H8">
        <f>D8*F8</f>
        <v/>
      </c>
      <c r="I8">
        <f>E8*G8</f>
        <v/>
      </c>
      <c r="J8">
        <f>H8-I8</f>
        <v/>
      </c>
      <c r="K8" t="n">
        <v>0.01</v>
      </c>
      <c r="L8" t="n">
        <v>73822.45639801025</v>
      </c>
      <c r="M8" t="n">
        <v>-55776.18619918823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TSLL</t>
        </is>
      </c>
      <c r="C9" t="inlineStr">
        <is>
          <t>TSLA</t>
        </is>
      </c>
      <c r="D9" t="n">
        <v>123.5599975585938</v>
      </c>
      <c r="E9" t="n">
        <v>5.359315872192383</v>
      </c>
      <c r="F9" t="n">
        <v>16893</v>
      </c>
      <c r="G9" t="n">
        <v>-207812</v>
      </c>
      <c r="H9">
        <f>D9*F9</f>
        <v/>
      </c>
      <c r="I9">
        <f>E9*G9</f>
        <v/>
      </c>
      <c r="J9">
        <f>H9-I9</f>
        <v/>
      </c>
      <c r="K9" t="n">
        <v>0.01</v>
      </c>
      <c r="L9" t="n">
        <v>5743.558135986328</v>
      </c>
      <c r="M9" t="n">
        <v>-3598.642631530762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TSLL</t>
        </is>
      </c>
      <c r="C10" t="inlineStr">
        <is>
          <t>TSLA</t>
        </is>
      </c>
      <c r="D10" t="n">
        <v>122.4000015258789</v>
      </c>
      <c r="E10" t="n">
        <v>5.281393527984619</v>
      </c>
      <c r="F10" t="n">
        <v>16893</v>
      </c>
      <c r="G10" t="n">
        <v>-207812</v>
      </c>
      <c r="H10">
        <f>D10*F10</f>
        <v/>
      </c>
      <c r="I10">
        <f>E10*G10</f>
        <v/>
      </c>
      <c r="J10">
        <f>H10-I10</f>
        <v/>
      </c>
      <c r="K10" t="n">
        <v>0.01</v>
      </c>
      <c r="L10" t="n">
        <v>-19595.81298065186</v>
      </c>
      <c r="M10" t="n">
        <v>16193.19819450378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TSLL</t>
        </is>
      </c>
      <c r="C11" t="inlineStr">
        <is>
          <t>TSLA</t>
        </is>
      </c>
      <c r="D11" t="n">
        <v>131.4900054931641</v>
      </c>
      <c r="E11" t="n">
        <v>5.870139122009277</v>
      </c>
      <c r="F11" t="n">
        <v>16126</v>
      </c>
      <c r="G11" t="n">
        <v>-187433</v>
      </c>
      <c r="H11">
        <f>D11*F11</f>
        <v/>
      </c>
      <c r="I11">
        <f>E11*G11</f>
        <v/>
      </c>
      <c r="J11">
        <f>H11-I11</f>
        <v/>
      </c>
      <c r="K11" t="n">
        <v>0.01</v>
      </c>
      <c r="L11" t="n">
        <v>146585.4039764404</v>
      </c>
      <c r="M11" t="n">
        <v>-110350.3529248238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TSLL</t>
        </is>
      </c>
      <c r="C12" t="inlineStr">
        <is>
          <t>TSLA</t>
        </is>
      </c>
      <c r="D12" t="n">
        <v>128.7799987792969</v>
      </c>
      <c r="E12" t="n">
        <v>5.696977615356445</v>
      </c>
      <c r="F12" t="n">
        <v>16126</v>
      </c>
      <c r="G12" t="n">
        <v>-187433</v>
      </c>
      <c r="H12">
        <f>D12*F12</f>
        <v/>
      </c>
      <c r="I12">
        <f>E12*G12</f>
        <v/>
      </c>
      <c r="J12">
        <f>H12-I12</f>
        <v/>
      </c>
      <c r="K12" t="n">
        <v>0.01</v>
      </c>
      <c r="L12" t="n">
        <v>-43701.56826782227</v>
      </c>
      <c r="M12" t="n">
        <v>32456.18067646027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TSLL</t>
        </is>
      </c>
      <c r="C13" t="inlineStr">
        <is>
          <t>TSLA</t>
        </is>
      </c>
      <c r="D13" t="n">
        <v>127.1699981689453</v>
      </c>
      <c r="E13" t="n">
        <v>5.575765132904053</v>
      </c>
      <c r="F13" t="n">
        <v>16126</v>
      </c>
      <c r="G13" t="n">
        <v>-187433</v>
      </c>
      <c r="H13">
        <f>D13*F13</f>
        <v/>
      </c>
      <c r="I13">
        <f>E13*G13</f>
        <v/>
      </c>
      <c r="J13">
        <f>H13-I13</f>
        <v/>
      </c>
      <c r="K13" t="n">
        <v>0.01</v>
      </c>
      <c r="L13" t="n">
        <v>-25962.8698425293</v>
      </c>
      <c r="M13" t="n">
        <v>22719.2192234993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TSLL</t>
        </is>
      </c>
      <c r="C14" t="inlineStr">
        <is>
          <t>TSLA</t>
        </is>
      </c>
      <c r="D14" t="n">
        <v>133.4199981689453</v>
      </c>
      <c r="E14" t="n">
        <v>5.991350650787354</v>
      </c>
      <c r="F14" t="n">
        <v>16126</v>
      </c>
      <c r="G14" t="n">
        <v>-187433</v>
      </c>
      <c r="H14">
        <f>D14*F14</f>
        <v/>
      </c>
      <c r="I14">
        <f>E14*G14</f>
        <v/>
      </c>
      <c r="J14">
        <f>H14-I14</f>
        <v/>
      </c>
      <c r="K14" t="n">
        <v>0.01</v>
      </c>
      <c r="L14" t="n">
        <v>100787.5</v>
      </c>
      <c r="M14" t="n">
        <v>-77894.44037342072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TSLL</t>
        </is>
      </c>
      <c r="C15" t="inlineStr">
        <is>
          <t>TSLA</t>
        </is>
      </c>
      <c r="D15" t="n">
        <v>143.75</v>
      </c>
      <c r="E15" t="n">
        <v>6.683992385864258</v>
      </c>
      <c r="F15" t="n">
        <v>16126</v>
      </c>
      <c r="G15" t="n">
        <v>-180093</v>
      </c>
      <c r="H15">
        <f>D15*F15</f>
        <v/>
      </c>
      <c r="I15">
        <f>E15*G15</f>
        <v/>
      </c>
      <c r="J15">
        <f>H15-I15</f>
        <v/>
      </c>
      <c r="K15" t="n">
        <v>0.01</v>
      </c>
      <c r="L15" t="n">
        <v>166581.6095275879</v>
      </c>
      <c r="M15" t="n">
        <v>-124739.9279952049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TSLL</t>
        </is>
      </c>
      <c r="C16" t="inlineStr">
        <is>
          <t>TSLA</t>
        </is>
      </c>
      <c r="D16" t="n">
        <v>143.8899993896484</v>
      </c>
      <c r="E16" t="n">
        <v>6.701309204101562</v>
      </c>
      <c r="F16" t="n">
        <v>16126</v>
      </c>
      <c r="G16" t="n">
        <v>-180093</v>
      </c>
      <c r="H16">
        <f>D16*F16</f>
        <v/>
      </c>
      <c r="I16">
        <f>E16*G16</f>
        <v/>
      </c>
      <c r="J16">
        <f>H16-I16</f>
        <v/>
      </c>
      <c r="K16" t="n">
        <v>0.01</v>
      </c>
      <c r="L16" t="n">
        <v>2257.630157470703</v>
      </c>
      <c r="M16" t="n">
        <v>-3118.637746810913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TSLL</t>
        </is>
      </c>
      <c r="C17" t="inlineStr">
        <is>
          <t>TSLA</t>
        </is>
      </c>
      <c r="D17" t="n">
        <v>144.4299926757812</v>
      </c>
      <c r="E17" t="n">
        <v>6.735941410064697</v>
      </c>
      <c r="F17" t="n">
        <v>16126</v>
      </c>
      <c r="G17" t="n">
        <v>-180093</v>
      </c>
      <c r="H17">
        <f>D17*F17</f>
        <v/>
      </c>
      <c r="I17">
        <f>E17*G17</f>
        <v/>
      </c>
      <c r="J17">
        <f>H17-I17</f>
        <v/>
      </c>
      <c r="K17" t="n">
        <v>0.01</v>
      </c>
      <c r="L17" t="n">
        <v>8707.931732177734</v>
      </c>
      <c r="M17" t="n">
        <v>-6237.017868518829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TSLL</t>
        </is>
      </c>
      <c r="C18" t="inlineStr">
        <is>
          <t>TSLA</t>
        </is>
      </c>
      <c r="D18" t="n">
        <v>160.2700042724609</v>
      </c>
      <c r="E18" t="n">
        <v>7.835510730743408</v>
      </c>
      <c r="F18" t="n">
        <v>16126</v>
      </c>
      <c r="G18" t="n">
        <v>-180093</v>
      </c>
      <c r="H18">
        <f>D18*F18</f>
        <v/>
      </c>
      <c r="I18">
        <f>E18*G18</f>
        <v/>
      </c>
      <c r="J18">
        <f>H18-I18</f>
        <v/>
      </c>
      <c r="K18" t="n">
        <v>0.01</v>
      </c>
      <c r="L18" t="n">
        <v>255436.0270080566</v>
      </c>
      <c r="M18" t="n">
        <v>-198024.7376689911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TSLL</t>
        </is>
      </c>
      <c r="C19" t="inlineStr">
        <is>
          <t>TSLA</t>
        </is>
      </c>
      <c r="D19" t="n">
        <v>177.8999938964844</v>
      </c>
      <c r="E19" t="n">
        <v>9.134212493896484</v>
      </c>
      <c r="F19" t="n">
        <v>16126</v>
      </c>
      <c r="G19" t="n">
        <v>-180093</v>
      </c>
      <c r="H19">
        <f>D19*F19</f>
        <v/>
      </c>
      <c r="I19">
        <f>E19*G19</f>
        <v/>
      </c>
      <c r="J19">
        <f>H19-I19</f>
        <v/>
      </c>
      <c r="K19" t="n">
        <v>0.01</v>
      </c>
      <c r="L19" t="n">
        <v>284301.212677002</v>
      </c>
      <c r="M19" t="n">
        <v>-233887.0966315269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TSLL</t>
        </is>
      </c>
      <c r="C20" t="inlineStr">
        <is>
          <t>TSLA</t>
        </is>
      </c>
      <c r="D20" t="n">
        <v>166.6600036621094</v>
      </c>
      <c r="E20" t="n">
        <v>8.268409729003906</v>
      </c>
      <c r="F20" t="n">
        <v>11773</v>
      </c>
      <c r="G20" t="n">
        <v>-114993</v>
      </c>
      <c r="H20">
        <f>D20*F20</f>
        <v/>
      </c>
      <c r="I20">
        <f>E20*G20</f>
        <v/>
      </c>
      <c r="J20">
        <f>H20-I20</f>
        <v/>
      </c>
      <c r="K20" t="n">
        <v>0.01</v>
      </c>
      <c r="L20" t="n">
        <v>-132328.4050292969</v>
      </c>
      <c r="M20" t="n">
        <v>99561.25734329224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TSLL</t>
        </is>
      </c>
      <c r="C21" t="inlineStr">
        <is>
          <t>TSLA</t>
        </is>
      </c>
      <c r="D21" t="n">
        <v>173.2200012207031</v>
      </c>
      <c r="E21" t="n">
        <v>8.744603157043457</v>
      </c>
      <c r="F21" t="n">
        <v>11773</v>
      </c>
      <c r="G21" t="n">
        <v>-114993</v>
      </c>
      <c r="H21">
        <f>D21*F21</f>
        <v/>
      </c>
      <c r="I21">
        <f>E21*G21</f>
        <v/>
      </c>
      <c r="J21">
        <f>H21-I21</f>
        <v/>
      </c>
      <c r="K21" t="n">
        <v>0.01</v>
      </c>
      <c r="L21" t="n">
        <v>77230.85125732422</v>
      </c>
      <c r="M21" t="n">
        <v>-54758.91087055206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TSLA Price</t>
        </is>
      </c>
      <c r="E1" t="inlineStr">
        <is>
          <t>TSLQ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TSLQ</t>
        </is>
      </c>
      <c r="C2" t="inlineStr">
        <is>
          <t>TSLA</t>
        </is>
      </c>
      <c r="D2" t="n">
        <v>-0</v>
      </c>
      <c r="E2" t="n">
        <v>-0</v>
      </c>
      <c r="F2" t="n">
        <v>-6277</v>
      </c>
      <c r="G2" t="n">
        <v>-302</v>
      </c>
      <c r="H2">
        <f>D2*F2</f>
        <v/>
      </c>
      <c r="I2">
        <f>E2*G2</f>
        <v/>
      </c>
      <c r="J2">
        <f>H2-I2</f>
        <v/>
      </c>
      <c r="K2" t="n">
        <v>-0.02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TSLQ</t>
        </is>
      </c>
      <c r="C3" t="inlineStr">
        <is>
          <t>TSLA</t>
        </is>
      </c>
      <c r="D3" t="n">
        <v>-0</v>
      </c>
      <c r="E3" t="n">
        <v>-0</v>
      </c>
      <c r="F3" t="n">
        <v>-6277</v>
      </c>
      <c r="G3" t="n">
        <v>-302</v>
      </c>
      <c r="H3">
        <f>D3*F3</f>
        <v/>
      </c>
      <c r="I3">
        <f>E3*G3</f>
        <v/>
      </c>
      <c r="J3">
        <f>H3-I3</f>
        <v/>
      </c>
      <c r="K3" t="n">
        <v>-0.02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TSLQ</t>
        </is>
      </c>
      <c r="C4" t="inlineStr">
        <is>
          <t>TSLA</t>
        </is>
      </c>
      <c r="D4" t="n">
        <v>-0</v>
      </c>
      <c r="E4" t="n">
        <v>-0</v>
      </c>
      <c r="F4" t="n">
        <v>-6277</v>
      </c>
      <c r="G4" t="n">
        <v>-302</v>
      </c>
      <c r="H4">
        <f>D4*F4</f>
        <v/>
      </c>
      <c r="I4">
        <f>E4*G4</f>
        <v/>
      </c>
      <c r="J4">
        <f>H4-I4</f>
        <v/>
      </c>
      <c r="K4" t="n">
        <v>-0.02</v>
      </c>
      <c r="L4" t="n">
        <v>20714.11915588379</v>
      </c>
      <c r="M4" t="n">
        <v>-10111.17529296875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TSLQ</t>
        </is>
      </c>
      <c r="C5" t="inlineStr">
        <is>
          <t>TSLA</t>
        </is>
      </c>
      <c r="D5" t="n">
        <v>-0</v>
      </c>
      <c r="E5" t="n">
        <v>-0</v>
      </c>
      <c r="F5" t="n">
        <v>-6277</v>
      </c>
      <c r="G5" t="n">
        <v>-302</v>
      </c>
      <c r="H5">
        <f>D5*F5</f>
        <v/>
      </c>
      <c r="I5">
        <f>E5*G5</f>
        <v/>
      </c>
      <c r="J5">
        <f>H5-I5</f>
        <v/>
      </c>
      <c r="K5" t="n">
        <v>-0.02</v>
      </c>
      <c r="L5" t="n">
        <v>-17073.44766235352</v>
      </c>
      <c r="M5" t="n">
        <v>8649.3212890625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TSLQ</t>
        </is>
      </c>
      <c r="C6" t="inlineStr">
        <is>
          <t>TSLA</t>
        </is>
      </c>
      <c r="D6" t="n">
        <v>-0</v>
      </c>
      <c r="E6" t="n">
        <v>-0</v>
      </c>
      <c r="F6" t="n">
        <v>-6277</v>
      </c>
      <c r="G6" t="n">
        <v>-302</v>
      </c>
      <c r="H6">
        <f>D6*F6</f>
        <v/>
      </c>
      <c r="I6">
        <f>E6*G6</f>
        <v/>
      </c>
      <c r="J6">
        <f>H6-I6</f>
        <v/>
      </c>
      <c r="K6" t="n">
        <v>-0.02</v>
      </c>
      <c r="L6" t="n">
        <v>-42118.66425323486</v>
      </c>
      <c r="M6" t="n">
        <v>20709.5615234375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TSLQ</t>
        </is>
      </c>
      <c r="C7" t="inlineStr">
        <is>
          <t>TSLA</t>
        </is>
      </c>
      <c r="D7" t="n">
        <v>-0</v>
      </c>
      <c r="E7" t="n">
        <v>-0</v>
      </c>
      <c r="F7" t="n">
        <v>-6277</v>
      </c>
      <c r="G7" t="n">
        <v>-302</v>
      </c>
      <c r="H7">
        <f>D7*F7</f>
        <v/>
      </c>
      <c r="I7">
        <f>E7*G7</f>
        <v/>
      </c>
      <c r="J7">
        <f>H7-I7</f>
        <v/>
      </c>
      <c r="K7" t="n">
        <v>-0.02</v>
      </c>
      <c r="L7" t="n">
        <v>5774.828506469727</v>
      </c>
      <c r="M7" t="n">
        <v>-2680.065673828125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TSLQ</t>
        </is>
      </c>
      <c r="C8" t="inlineStr">
        <is>
          <t>TSLA</t>
        </is>
      </c>
      <c r="D8" t="n">
        <v>-0</v>
      </c>
      <c r="E8" t="n">
        <v>-0</v>
      </c>
      <c r="F8" t="n">
        <v>-6277</v>
      </c>
      <c r="G8" t="n">
        <v>-302</v>
      </c>
      <c r="H8">
        <f>D8*F8</f>
        <v/>
      </c>
      <c r="I8">
        <f>E8*G8</f>
        <v/>
      </c>
      <c r="J8">
        <f>H8-I8</f>
        <v/>
      </c>
      <c r="K8" t="n">
        <v>-0.02</v>
      </c>
      <c r="L8" t="n">
        <v>-27430.50724029541</v>
      </c>
      <c r="M8" t="n">
        <v>12344.50805664062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TSLQ</t>
        </is>
      </c>
      <c r="C9" t="inlineStr">
        <is>
          <t>TSLA</t>
        </is>
      </c>
      <c r="D9" t="n">
        <v>-0</v>
      </c>
      <c r="E9" t="n">
        <v>-0</v>
      </c>
      <c r="F9" t="n">
        <v>-6277</v>
      </c>
      <c r="G9" t="n">
        <v>-302</v>
      </c>
      <c r="H9">
        <f>D9*F9</f>
        <v/>
      </c>
      <c r="I9">
        <f>E9*G9</f>
        <v/>
      </c>
      <c r="J9">
        <f>H9-I9</f>
        <v/>
      </c>
      <c r="K9" t="n">
        <v>-0.02</v>
      </c>
      <c r="L9" t="n">
        <v>-2134.157012939453</v>
      </c>
      <c r="M9" t="n">
        <v>446.696044921875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TSLQ</t>
        </is>
      </c>
      <c r="C10" t="inlineStr">
        <is>
          <t>TSLA</t>
        </is>
      </c>
      <c r="D10" t="n">
        <v>-0</v>
      </c>
      <c r="E10" t="n">
        <v>-0</v>
      </c>
      <c r="F10" t="n">
        <v>-6277</v>
      </c>
      <c r="G10" t="n">
        <v>-302</v>
      </c>
      <c r="H10">
        <f>D10*F10</f>
        <v/>
      </c>
      <c r="I10">
        <f>E10*G10</f>
        <v/>
      </c>
      <c r="J10">
        <f>H10-I10</f>
        <v/>
      </c>
      <c r="K10" t="n">
        <v>-0.02</v>
      </c>
      <c r="L10" t="n">
        <v>7281.295097351074</v>
      </c>
      <c r="M10" t="n">
        <v>-3248.564453125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TSLQ</t>
        </is>
      </c>
      <c r="C11" t="inlineStr">
        <is>
          <t>TSLA</t>
        </is>
      </c>
      <c r="D11" t="n">
        <v>-0</v>
      </c>
      <c r="E11" t="n">
        <v>-0</v>
      </c>
      <c r="F11" t="n">
        <v>-5992</v>
      </c>
      <c r="G11" t="n">
        <v>-371</v>
      </c>
      <c r="H11">
        <f>D11*F11</f>
        <v/>
      </c>
      <c r="I11">
        <f>E11*G11</f>
        <v/>
      </c>
      <c r="J11">
        <f>H11-I11</f>
        <v/>
      </c>
      <c r="K11" t="n">
        <v>-0.02</v>
      </c>
      <c r="L11" t="n">
        <v>-54467.30377197266</v>
      </c>
      <c r="M11" t="n">
        <v>29132.69348144531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TSLQ</t>
        </is>
      </c>
      <c r="C12" t="inlineStr">
        <is>
          <t>TSLA</t>
        </is>
      </c>
      <c r="D12" t="n">
        <v>-0</v>
      </c>
      <c r="E12" t="n">
        <v>-0</v>
      </c>
      <c r="F12" t="n">
        <v>-5992</v>
      </c>
      <c r="G12" t="n">
        <v>-371</v>
      </c>
      <c r="H12">
        <f>D12*F12</f>
        <v/>
      </c>
      <c r="I12">
        <f>E12*G12</f>
        <v/>
      </c>
      <c r="J12">
        <f>H12-I12</f>
        <v/>
      </c>
      <c r="K12" t="n">
        <v>-0.02</v>
      </c>
      <c r="L12" t="n">
        <v>16238.36022949219</v>
      </c>
      <c r="M12" t="n">
        <v>-7432.86181640625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TSLQ</t>
        </is>
      </c>
      <c r="C13" t="inlineStr">
        <is>
          <t>TSLA</t>
        </is>
      </c>
      <c r="D13" t="n">
        <v>-0</v>
      </c>
      <c r="E13" t="n">
        <v>-0</v>
      </c>
      <c r="F13" t="n">
        <v>-5992</v>
      </c>
      <c r="G13" t="n">
        <v>-371</v>
      </c>
      <c r="H13">
        <f>D13*F13</f>
        <v/>
      </c>
      <c r="I13">
        <f>E13*G13</f>
        <v/>
      </c>
      <c r="J13">
        <f>H13-I13</f>
        <v/>
      </c>
      <c r="K13" t="n">
        <v>-0.02</v>
      </c>
      <c r="L13" t="n">
        <v>9647.123657226562</v>
      </c>
      <c r="M13" t="n">
        <v>-4938.552551269531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TSLQ</t>
        </is>
      </c>
      <c r="C14" t="inlineStr">
        <is>
          <t>TSLA</t>
        </is>
      </c>
      <c r="D14" t="n">
        <v>-0</v>
      </c>
      <c r="E14" t="n">
        <v>-0</v>
      </c>
      <c r="F14" t="n">
        <v>-5992</v>
      </c>
      <c r="G14" t="n">
        <v>-371</v>
      </c>
      <c r="H14">
        <f>D14*F14</f>
        <v/>
      </c>
      <c r="I14">
        <f>E14*G14</f>
        <v/>
      </c>
      <c r="J14">
        <f>H14-I14</f>
        <v/>
      </c>
      <c r="K14" t="n">
        <v>-0.02</v>
      </c>
      <c r="L14" t="n">
        <v>-37450</v>
      </c>
      <c r="M14" t="n">
        <v>18606.99505615234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TSLQ</t>
        </is>
      </c>
      <c r="C15" t="inlineStr">
        <is>
          <t>TSLA</t>
        </is>
      </c>
      <c r="D15" t="n">
        <v>-0</v>
      </c>
      <c r="E15" t="n">
        <v>-0</v>
      </c>
      <c r="F15" t="n">
        <v>-5992</v>
      </c>
      <c r="G15" t="n">
        <v>-371</v>
      </c>
      <c r="H15">
        <f>D15*F15</f>
        <v/>
      </c>
      <c r="I15">
        <f>E15*G15</f>
        <v/>
      </c>
      <c r="J15">
        <f>H15-I15</f>
        <v/>
      </c>
      <c r="K15" t="n">
        <v>-0.02</v>
      </c>
      <c r="L15" t="n">
        <v>-61897.37097167969</v>
      </c>
      <c r="M15" t="n">
        <v>27087.41558837891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TSLQ</t>
        </is>
      </c>
      <c r="C16" t="inlineStr">
        <is>
          <t>TSLA</t>
        </is>
      </c>
      <c r="D16" t="n">
        <v>-0</v>
      </c>
      <c r="E16" t="n">
        <v>-0</v>
      </c>
      <c r="F16" t="n">
        <v>-5992</v>
      </c>
      <c r="G16" t="n">
        <v>-371</v>
      </c>
      <c r="H16">
        <f>D16*F16</f>
        <v/>
      </c>
      <c r="I16">
        <f>E16*G16</f>
        <v/>
      </c>
      <c r="J16">
        <f>H16-I16</f>
        <v/>
      </c>
      <c r="K16" t="n">
        <v>-0.02</v>
      </c>
      <c r="L16" t="n">
        <v>-838.8763427734375</v>
      </c>
      <c r="M16" t="n">
        <v>598.6405639648438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TSLQ</t>
        </is>
      </c>
      <c r="C17" t="inlineStr">
        <is>
          <t>TSLA</t>
        </is>
      </c>
      <c r="D17" t="n">
        <v>-0</v>
      </c>
      <c r="E17" t="n">
        <v>-0</v>
      </c>
      <c r="F17" t="n">
        <v>-5992</v>
      </c>
      <c r="G17" t="n">
        <v>-371</v>
      </c>
      <c r="H17">
        <f>D17*F17</f>
        <v/>
      </c>
      <c r="I17">
        <f>E17*G17</f>
        <v/>
      </c>
      <c r="J17">
        <f>H17-I17</f>
        <v/>
      </c>
      <c r="K17" t="n">
        <v>-0.02</v>
      </c>
      <c r="L17" t="n">
        <v>-3235.639770507812</v>
      </c>
      <c r="M17" t="n">
        <v>349.1937866210938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TSLQ</t>
        </is>
      </c>
      <c r="C18" t="inlineStr">
        <is>
          <t>TSLA</t>
        </is>
      </c>
      <c r="D18" t="n">
        <v>-0</v>
      </c>
      <c r="E18" t="n">
        <v>-0</v>
      </c>
      <c r="F18" t="n">
        <v>-5992</v>
      </c>
      <c r="G18" t="n">
        <v>-371</v>
      </c>
      <c r="H18">
        <f>D18*F18</f>
        <v/>
      </c>
      <c r="I18">
        <f>E18*G18</f>
        <v/>
      </c>
      <c r="J18">
        <f>H18-I18</f>
        <v/>
      </c>
      <c r="K18" t="n">
        <v>-0.02</v>
      </c>
      <c r="L18" t="n">
        <v>-94913.34948730469</v>
      </c>
      <c r="M18" t="n">
        <v>36216.27093505859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TSLQ</t>
        </is>
      </c>
      <c r="C19" t="inlineStr">
        <is>
          <t>TSLA</t>
        </is>
      </c>
      <c r="D19" t="n">
        <v>-0</v>
      </c>
      <c r="E19" t="n">
        <v>-0</v>
      </c>
      <c r="F19" t="n">
        <v>-5992</v>
      </c>
      <c r="G19" t="n">
        <v>-371</v>
      </c>
      <c r="H19">
        <f>D19*F19</f>
        <v/>
      </c>
      <c r="I19">
        <f>E19*G19</f>
        <v/>
      </c>
      <c r="J19">
        <f>H19-I19</f>
        <v/>
      </c>
      <c r="K19" t="n">
        <v>-0.02</v>
      </c>
      <c r="L19" t="n">
        <v>-105638.8978271484</v>
      </c>
      <c r="M19" t="n">
        <v>32025.99078369141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TSLQ</t>
        </is>
      </c>
      <c r="C20" t="inlineStr">
        <is>
          <t>TSLA</t>
        </is>
      </c>
      <c r="D20" t="n">
        <v>-0</v>
      </c>
      <c r="E20" t="n">
        <v>-0</v>
      </c>
      <c r="F20" t="n">
        <v>-4374</v>
      </c>
      <c r="G20" t="n">
        <v>-594</v>
      </c>
      <c r="H20">
        <f>D20*F20</f>
        <v/>
      </c>
      <c r="I20">
        <f>E20*G20</f>
        <v/>
      </c>
      <c r="J20">
        <f>H20-I20</f>
        <v/>
      </c>
      <c r="K20" t="n">
        <v>-0.02</v>
      </c>
      <c r="L20" t="n">
        <v>49163.71728515625</v>
      </c>
      <c r="M20" t="n">
        <v>-25398.46691894531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TSLQ</t>
        </is>
      </c>
      <c r="C21" t="inlineStr">
        <is>
          <t>TSLA</t>
        </is>
      </c>
      <c r="D21" t="n">
        <v>-0</v>
      </c>
      <c r="E21" t="n">
        <v>-0</v>
      </c>
      <c r="F21" t="n">
        <v>-4374</v>
      </c>
      <c r="G21" t="n">
        <v>-594</v>
      </c>
      <c r="H21">
        <f>D21*F21</f>
        <v/>
      </c>
      <c r="I21">
        <f>E21*G21</f>
        <v/>
      </c>
      <c r="J21">
        <f>H21-I21</f>
        <v/>
      </c>
      <c r="K21" t="n">
        <v>-0.02</v>
      </c>
      <c r="L21" t="n">
        <v>-28693.42932128906</v>
      </c>
      <c r="M21" t="n">
        <v>16612.857421875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XBI Price</t>
        </is>
      </c>
      <c r="E1" t="inlineStr">
        <is>
          <t>LABU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LABU</t>
        </is>
      </c>
      <c r="C2" t="inlineStr">
        <is>
          <t>XBI</t>
        </is>
      </c>
      <c r="D2" t="n">
        <v>81.09487152099609</v>
      </c>
      <c r="E2" t="n">
        <v>131.4068603515625</v>
      </c>
      <c r="F2" t="n">
        <v>3382</v>
      </c>
      <c r="G2" t="n">
        <v>-699</v>
      </c>
      <c r="H2">
        <f>D2*F2</f>
        <v/>
      </c>
      <c r="I2">
        <f>E2*G2</f>
        <v/>
      </c>
      <c r="J2">
        <f>H2-I2</f>
        <v/>
      </c>
      <c r="K2" t="n">
        <v>0.1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LABU</t>
        </is>
      </c>
      <c r="C3" t="inlineStr">
        <is>
          <t>XBI</t>
        </is>
      </c>
      <c r="D3" t="n">
        <v>82.79574584960938</v>
      </c>
      <c r="E3" t="n">
        <v>139.2637481689453</v>
      </c>
      <c r="F3" t="n">
        <v>3382</v>
      </c>
      <c r="G3" t="n">
        <v>-699</v>
      </c>
      <c r="H3">
        <f>D3*F3</f>
        <v/>
      </c>
      <c r="I3">
        <f>E3*G3</f>
        <v/>
      </c>
      <c r="J3">
        <f>H3-I3</f>
        <v/>
      </c>
      <c r="K3" t="n">
        <v>0.1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LABU</t>
        </is>
      </c>
      <c r="C4" t="inlineStr">
        <is>
          <t>XBI</t>
        </is>
      </c>
      <c r="D4" t="n">
        <v>82.07957458496094</v>
      </c>
      <c r="E4" t="n">
        <v>136.1209869384766</v>
      </c>
      <c r="F4" t="n">
        <v>3382</v>
      </c>
      <c r="G4" t="n">
        <v>-699</v>
      </c>
      <c r="H4">
        <f>D4*F4</f>
        <v/>
      </c>
      <c r="I4">
        <f>E4*G4</f>
        <v/>
      </c>
      <c r="J4">
        <f>H4-I4</f>
        <v/>
      </c>
      <c r="K4" t="n">
        <v>0.1</v>
      </c>
      <c r="L4" t="n">
        <v>-2422.091217041016</v>
      </c>
      <c r="M4" t="n">
        <v>2196.790100097656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LABU</t>
        </is>
      </c>
      <c r="C5" t="inlineStr">
        <is>
          <t>XBI</t>
        </is>
      </c>
      <c r="D5" t="n">
        <v>82.71617126464844</v>
      </c>
      <c r="E5" t="n">
        <v>138.4780578613281</v>
      </c>
      <c r="F5" t="n">
        <v>3382</v>
      </c>
      <c r="G5" t="n">
        <v>-699</v>
      </c>
      <c r="H5">
        <f>D5*F5</f>
        <v/>
      </c>
      <c r="I5">
        <f>E5*G5</f>
        <v/>
      </c>
      <c r="J5">
        <f>H5-I5</f>
        <v/>
      </c>
      <c r="K5" t="n">
        <v>0.1</v>
      </c>
      <c r="L5" t="n">
        <v>2152.969970703125</v>
      </c>
      <c r="M5" t="n">
        <v>-1647.592575073242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LABU</t>
        </is>
      </c>
      <c r="C6" t="inlineStr">
        <is>
          <t>XBI</t>
        </is>
      </c>
      <c r="D6" t="n">
        <v>80.83625793457031</v>
      </c>
      <c r="E6" t="n">
        <v>130.4247283935547</v>
      </c>
      <c r="F6" t="n">
        <v>3382</v>
      </c>
      <c r="G6" t="n">
        <v>-676</v>
      </c>
      <c r="H6">
        <f>D6*F6</f>
        <v/>
      </c>
      <c r="I6">
        <f>E6*G6</f>
        <v/>
      </c>
      <c r="J6">
        <f>H6-I6</f>
        <v/>
      </c>
      <c r="K6" t="n">
        <v>0.1</v>
      </c>
      <c r="L6" t="n">
        <v>-6357.866882324219</v>
      </c>
      <c r="M6" t="n">
        <v>5444.050720214844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LABU</t>
        </is>
      </c>
      <c r="C7" t="inlineStr">
        <is>
          <t>XBI</t>
        </is>
      </c>
      <c r="D7" t="n">
        <v>83.13391876220703</v>
      </c>
      <c r="E7" t="n">
        <v>140.6387176513672</v>
      </c>
      <c r="F7" t="n">
        <v>3382</v>
      </c>
      <c r="G7" t="n">
        <v>-676</v>
      </c>
      <c r="H7">
        <f>D7*F7</f>
        <v/>
      </c>
      <c r="I7">
        <f>E7*G7</f>
        <v/>
      </c>
      <c r="J7">
        <f>H7-I7</f>
        <v/>
      </c>
      <c r="K7" t="n">
        <v>0.1</v>
      </c>
      <c r="L7" t="n">
        <v>7770.688919067383</v>
      </c>
      <c r="M7" t="n">
        <v>-6904.65673828125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LABU</t>
        </is>
      </c>
      <c r="C8" t="inlineStr">
        <is>
          <t>XBI</t>
        </is>
      </c>
      <c r="D8" t="n">
        <v>83.92966461181641</v>
      </c>
      <c r="E8" t="n">
        <v>144.17431640625</v>
      </c>
      <c r="F8" t="n">
        <v>3382</v>
      </c>
      <c r="G8" t="n">
        <v>-676</v>
      </c>
      <c r="H8">
        <f>D8*F8</f>
        <v/>
      </c>
      <c r="I8">
        <f>E8*G8</f>
        <v/>
      </c>
      <c r="J8">
        <f>H8-I8</f>
        <v/>
      </c>
      <c r="K8" t="n">
        <v>0.1</v>
      </c>
      <c r="L8" t="n">
        <v>2691.212463378906</v>
      </c>
      <c r="M8" t="n">
        <v>-2390.064758300781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LABU</t>
        </is>
      </c>
      <c r="C9" t="inlineStr">
        <is>
          <t>XBI</t>
        </is>
      </c>
      <c r="D9" t="n">
        <v>87.45077514648438</v>
      </c>
      <c r="E9" t="n">
        <v>162.0487976074219</v>
      </c>
      <c r="F9" t="n">
        <v>3382</v>
      </c>
      <c r="G9" t="n">
        <v>-676</v>
      </c>
      <c r="H9">
        <f>D9*F9</f>
        <v/>
      </c>
      <c r="I9">
        <f>E9*G9</f>
        <v/>
      </c>
      <c r="J9">
        <f>H9-I9</f>
        <v/>
      </c>
      <c r="K9" t="n">
        <v>0.1</v>
      </c>
      <c r="L9" t="n">
        <v>11908.39582824707</v>
      </c>
      <c r="M9" t="n">
        <v>-12083.14929199219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LABU</t>
        </is>
      </c>
      <c r="C10" t="inlineStr">
        <is>
          <t>XBI</t>
        </is>
      </c>
      <c r="D10" t="n">
        <v>87.41098022460938</v>
      </c>
      <c r="E10" t="n">
        <v>161.6559448242188</v>
      </c>
      <c r="F10" t="n">
        <v>3382</v>
      </c>
      <c r="G10" t="n">
        <v>-676</v>
      </c>
      <c r="H10">
        <f>D10*F10</f>
        <v/>
      </c>
      <c r="I10">
        <f>E10*G10</f>
        <v/>
      </c>
      <c r="J10">
        <f>H10-I10</f>
        <v/>
      </c>
      <c r="K10" t="n">
        <v>0.1</v>
      </c>
      <c r="L10" t="n">
        <v>-134.58642578125</v>
      </c>
      <c r="M10" t="n">
        <v>265.5684814453125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LABU</t>
        </is>
      </c>
      <c r="C11" t="inlineStr">
        <is>
          <t>XBI</t>
        </is>
      </c>
      <c r="D11" t="n">
        <v>86.39643096923828</v>
      </c>
      <c r="E11" t="n">
        <v>156.9418029785156</v>
      </c>
      <c r="F11" t="n">
        <v>3391</v>
      </c>
      <c r="G11" t="n">
        <v>-614</v>
      </c>
      <c r="H11">
        <f>D11*F11</f>
        <v/>
      </c>
      <c r="I11">
        <f>E11*G11</f>
        <v/>
      </c>
      <c r="J11">
        <f>H11-I11</f>
        <v/>
      </c>
      <c r="K11" t="n">
        <v>0.1</v>
      </c>
      <c r="L11" t="n">
        <v>-3440.336524963379</v>
      </c>
      <c r="M11" t="n">
        <v>2894.483093261719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LABU</t>
        </is>
      </c>
      <c r="C12" t="inlineStr">
        <is>
          <t>XBI</t>
        </is>
      </c>
      <c r="D12" t="n">
        <v>85.32218933105469</v>
      </c>
      <c r="E12" t="n">
        <v>150.8527069091797</v>
      </c>
      <c r="F12" t="n">
        <v>3391</v>
      </c>
      <c r="G12" t="n">
        <v>-614</v>
      </c>
      <c r="H12">
        <f>D12*F12</f>
        <v/>
      </c>
      <c r="I12">
        <f>E12*G12</f>
        <v/>
      </c>
      <c r="J12">
        <f>H12-I12</f>
        <v/>
      </c>
      <c r="K12" t="n">
        <v>0.1</v>
      </c>
      <c r="L12" t="n">
        <v>-3642.753395080566</v>
      </c>
      <c r="M12" t="n">
        <v>3738.704986572266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LABU</t>
        </is>
      </c>
      <c r="C13" t="inlineStr">
        <is>
          <t>XBI</t>
        </is>
      </c>
      <c r="D13" t="n">
        <v>84.43694305419922</v>
      </c>
      <c r="E13" t="n">
        <v>146.3349761962891</v>
      </c>
      <c r="F13" t="n">
        <v>3391</v>
      </c>
      <c r="G13" t="n">
        <v>-614</v>
      </c>
      <c r="H13">
        <f>D13*F13</f>
        <v/>
      </c>
      <c r="I13">
        <f>E13*G13</f>
        <v/>
      </c>
      <c r="J13">
        <f>H13-I13</f>
        <v/>
      </c>
      <c r="K13" t="n">
        <v>0.1</v>
      </c>
      <c r="L13" t="n">
        <v>-3001.870124816895</v>
      </c>
      <c r="M13" t="n">
        <v>2773.886657714844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LABU</t>
        </is>
      </c>
      <c r="C14" t="inlineStr">
        <is>
          <t>XBI</t>
        </is>
      </c>
      <c r="D14" t="n">
        <v>86.52573394775391</v>
      </c>
      <c r="E14" t="n">
        <v>153.9954528808594</v>
      </c>
      <c r="F14" t="n">
        <v>3391</v>
      </c>
      <c r="G14" t="n">
        <v>-614</v>
      </c>
      <c r="H14">
        <f>D14*F14</f>
        <v/>
      </c>
      <c r="I14">
        <f>E14*G14</f>
        <v/>
      </c>
      <c r="J14">
        <f>H14-I14</f>
        <v/>
      </c>
      <c r="K14" t="n">
        <v>0.1</v>
      </c>
      <c r="L14" t="n">
        <v>7083.089920043945</v>
      </c>
      <c r="M14" t="n">
        <v>-4703.532684326172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LABU</t>
        </is>
      </c>
      <c r="C15" t="inlineStr">
        <is>
          <t>XBI</t>
        </is>
      </c>
      <c r="D15" t="n">
        <v>86.69483947753906</v>
      </c>
      <c r="E15" t="n">
        <v>155.5668334960938</v>
      </c>
      <c r="F15" t="n">
        <v>3391</v>
      </c>
      <c r="G15" t="n">
        <v>-638</v>
      </c>
      <c r="H15">
        <f>D15*F15</f>
        <v/>
      </c>
      <c r="I15">
        <f>E15*G15</f>
        <v/>
      </c>
      <c r="J15">
        <f>H15-I15</f>
        <v/>
      </c>
      <c r="K15" t="n">
        <v>0.1</v>
      </c>
      <c r="L15" t="n">
        <v>573.4368515014648</v>
      </c>
      <c r="M15" t="n">
        <v>-1002.540832519531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LABU</t>
        </is>
      </c>
      <c r="C16" t="inlineStr">
        <is>
          <t>XBI</t>
        </is>
      </c>
      <c r="D16" t="n">
        <v>88.34597015380859</v>
      </c>
      <c r="E16" t="n">
        <v>165.1915435791016</v>
      </c>
      <c r="F16" t="n">
        <v>3391</v>
      </c>
      <c r="G16" t="n">
        <v>-638</v>
      </c>
      <c r="H16">
        <f>D16*F16</f>
        <v/>
      </c>
      <c r="I16">
        <f>E16*G16</f>
        <v/>
      </c>
      <c r="J16">
        <f>H16-I16</f>
        <v/>
      </c>
      <c r="K16" t="n">
        <v>0.1</v>
      </c>
      <c r="L16" t="n">
        <v>5598.98412322998</v>
      </c>
      <c r="M16" t="n">
        <v>-6140.565032958984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LABU</t>
        </is>
      </c>
      <c r="C17" t="inlineStr">
        <is>
          <t>XBI</t>
        </is>
      </c>
      <c r="D17" t="n">
        <v>88.42552947998047</v>
      </c>
      <c r="E17" t="n">
        <v>164.2094116210938</v>
      </c>
      <c r="F17" t="n">
        <v>3391</v>
      </c>
      <c r="G17" t="n">
        <v>-638</v>
      </c>
      <c r="H17">
        <f>D17*F17</f>
        <v/>
      </c>
      <c r="I17">
        <f>E17*G17</f>
        <v/>
      </c>
      <c r="J17">
        <f>H17-I17</f>
        <v/>
      </c>
      <c r="K17" t="n">
        <v>0.1</v>
      </c>
      <c r="L17" t="n">
        <v>269.7856750488281</v>
      </c>
      <c r="M17" t="n">
        <v>626.6001892089844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LABU</t>
        </is>
      </c>
      <c r="C18" t="inlineStr">
        <is>
          <t>XBI</t>
        </is>
      </c>
      <c r="D18" t="n">
        <v>88.1171875</v>
      </c>
      <c r="E18" t="n">
        <v>162.8345184326172</v>
      </c>
      <c r="F18" t="n">
        <v>3391</v>
      </c>
      <c r="G18" t="n">
        <v>-638</v>
      </c>
      <c r="H18">
        <f>D18*F18</f>
        <v/>
      </c>
      <c r="I18">
        <f>E18*G18</f>
        <v/>
      </c>
      <c r="J18">
        <f>H18-I18</f>
        <v/>
      </c>
      <c r="K18" t="n">
        <v>0.1</v>
      </c>
      <c r="L18" t="n">
        <v>-1045.58765411377</v>
      </c>
      <c r="M18" t="n">
        <v>877.1818542480469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LABU</t>
        </is>
      </c>
      <c r="C19" t="inlineStr">
        <is>
          <t>XBI</t>
        </is>
      </c>
      <c r="D19" t="n">
        <v>88.91291809082031</v>
      </c>
      <c r="E19" t="n">
        <v>167.15576171875</v>
      </c>
      <c r="F19" t="n">
        <v>3391</v>
      </c>
      <c r="G19" t="n">
        <v>-638</v>
      </c>
      <c r="H19">
        <f>D19*F19</f>
        <v/>
      </c>
      <c r="I19">
        <f>E19*G19</f>
        <v/>
      </c>
      <c r="J19">
        <f>H19-I19</f>
        <v/>
      </c>
      <c r="K19" t="n">
        <v>0.1</v>
      </c>
      <c r="L19" t="n">
        <v>2698.32243347168</v>
      </c>
      <c r="M19" t="n">
        <v>-2756.953216552734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LABU</t>
        </is>
      </c>
      <c r="C20" t="inlineStr">
        <is>
          <t>XBI</t>
        </is>
      </c>
      <c r="D20" t="n">
        <v>86.63513946533203</v>
      </c>
      <c r="E20" t="n">
        <v>154.584716796875</v>
      </c>
      <c r="F20" t="n">
        <v>3537</v>
      </c>
      <c r="G20" t="n">
        <v>-630</v>
      </c>
      <c r="H20">
        <f>D20*F20</f>
        <v/>
      </c>
      <c r="I20">
        <f>E20*G20</f>
        <v/>
      </c>
      <c r="J20">
        <f>H20-I20</f>
        <v/>
      </c>
      <c r="K20" t="n">
        <v>0.1</v>
      </c>
      <c r="L20" t="n">
        <v>-8056.502998352051</v>
      </c>
      <c r="M20" t="n">
        <v>7919.75830078125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LABU</t>
        </is>
      </c>
      <c r="C21" t="inlineStr">
        <is>
          <t>XBI</t>
        </is>
      </c>
      <c r="D21" t="n">
        <v>88.42552947998047</v>
      </c>
      <c r="E21" t="n">
        <v>164.0130157470703</v>
      </c>
      <c r="F21" t="n">
        <v>3537</v>
      </c>
      <c r="G21" t="n">
        <v>-630</v>
      </c>
      <c r="H21">
        <f>D21*F21</f>
        <v/>
      </c>
      <c r="I21">
        <f>E21*G21</f>
        <v/>
      </c>
      <c r="J21">
        <f>H21-I21</f>
        <v/>
      </c>
      <c r="K21" t="n">
        <v>0.1</v>
      </c>
      <c r="L21" t="n">
        <v>6332.609481811523</v>
      </c>
      <c r="M21" t="n">
        <v>-5939.828338623047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XLE Price</t>
        </is>
      </c>
      <c r="E1" t="inlineStr">
        <is>
          <t>ERX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ERX</t>
        </is>
      </c>
      <c r="C2" t="inlineStr">
        <is>
          <t>XLE</t>
        </is>
      </c>
      <c r="D2" t="n">
        <v>37.8776741027832</v>
      </c>
      <c r="E2" t="n">
        <v>56.53576278686522</v>
      </c>
      <c r="F2" t="n">
        <v>1856</v>
      </c>
      <c r="G2" t="n">
        <v>-625</v>
      </c>
      <c r="H2">
        <f>D2*F2</f>
        <v/>
      </c>
      <c r="I2">
        <f>E2*G2</f>
        <v/>
      </c>
      <c r="J2">
        <f>H2-I2</f>
        <v/>
      </c>
      <c r="K2" t="n">
        <v>0.12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ERX</t>
        </is>
      </c>
      <c r="C3" t="inlineStr">
        <is>
          <t>XLE</t>
        </is>
      </c>
      <c r="D3" t="n">
        <v>37.87318801879883</v>
      </c>
      <c r="E3" t="n">
        <v>56.59069061279297</v>
      </c>
      <c r="F3" t="n">
        <v>1856</v>
      </c>
      <c r="G3" t="n">
        <v>-625</v>
      </c>
      <c r="H3">
        <f>D3*F3</f>
        <v/>
      </c>
      <c r="I3">
        <f>E3*G3</f>
        <v/>
      </c>
      <c r="J3">
        <f>H3-I3</f>
        <v/>
      </c>
      <c r="K3" t="n">
        <v>0.12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ERX</t>
        </is>
      </c>
      <c r="C4" t="inlineStr">
        <is>
          <t>XLE</t>
        </is>
      </c>
      <c r="D4" t="n">
        <v>38.5643196105957</v>
      </c>
      <c r="E4" t="n">
        <v>58.78803253173828</v>
      </c>
      <c r="F4" t="n">
        <v>1856</v>
      </c>
      <c r="G4" t="n">
        <v>-625</v>
      </c>
      <c r="H4">
        <f>D4*F4</f>
        <v/>
      </c>
      <c r="I4">
        <f>E4*G4</f>
        <v/>
      </c>
      <c r="J4">
        <f>H4-I4</f>
        <v/>
      </c>
      <c r="K4" t="n">
        <v>0.12</v>
      </c>
      <c r="L4" t="n">
        <v>1282.740234375</v>
      </c>
      <c r="M4" t="n">
        <v>-1373.33869934082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ERX</t>
        </is>
      </c>
      <c r="C5" t="inlineStr">
        <is>
          <t>XLE</t>
        </is>
      </c>
      <c r="D5" t="n">
        <v>39.29584121704102</v>
      </c>
      <c r="E5" t="n">
        <v>60.7747917175293</v>
      </c>
      <c r="F5" t="n">
        <v>1856</v>
      </c>
      <c r="G5" t="n">
        <v>-625</v>
      </c>
      <c r="H5">
        <f>D5*F5</f>
        <v/>
      </c>
      <c r="I5">
        <f>E5*G5</f>
        <v/>
      </c>
      <c r="J5">
        <f>H5-I5</f>
        <v/>
      </c>
      <c r="K5" t="n">
        <v>0.12</v>
      </c>
      <c r="L5" t="n">
        <v>1357.7041015625</v>
      </c>
      <c r="M5" t="n">
        <v>-1241.724491119385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ERX</t>
        </is>
      </c>
      <c r="C6" t="inlineStr">
        <is>
          <t>XLE</t>
        </is>
      </c>
      <c r="D6" t="n">
        <v>39.15672302246094</v>
      </c>
      <c r="E6" t="n">
        <v>60.42688369750978</v>
      </c>
      <c r="F6" t="n">
        <v>1856</v>
      </c>
      <c r="G6" t="n">
        <v>-604</v>
      </c>
      <c r="H6">
        <f>D6*F6</f>
        <v/>
      </c>
      <c r="I6">
        <f>E6*G6</f>
        <v/>
      </c>
      <c r="J6">
        <f>H6-I6</f>
        <v/>
      </c>
      <c r="K6" t="n">
        <v>0.12</v>
      </c>
      <c r="L6" t="n">
        <v>-258.203369140625</v>
      </c>
      <c r="M6" t="n">
        <v>210.1364440917969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ERX</t>
        </is>
      </c>
      <c r="C7" t="inlineStr">
        <is>
          <t>XLE</t>
        </is>
      </c>
      <c r="D7" t="n">
        <v>39.43496704101562</v>
      </c>
      <c r="E7" t="n">
        <v>61.25090026855469</v>
      </c>
      <c r="F7" t="n">
        <v>1856</v>
      </c>
      <c r="G7" t="n">
        <v>-604</v>
      </c>
      <c r="H7">
        <f>D7*F7</f>
        <v/>
      </c>
      <c r="I7">
        <f>E7*G7</f>
        <v/>
      </c>
      <c r="J7">
        <f>H7-I7</f>
        <v/>
      </c>
      <c r="K7" t="n">
        <v>0.12</v>
      </c>
      <c r="L7" t="n">
        <v>516.4208984375</v>
      </c>
      <c r="M7" t="n">
        <v>-497.7060089111328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ERX</t>
        </is>
      </c>
      <c r="C8" t="inlineStr">
        <is>
          <t>XLE</t>
        </is>
      </c>
      <c r="D8" t="n">
        <v>39.5561408996582</v>
      </c>
      <c r="E8" t="n">
        <v>61.54387283325195</v>
      </c>
      <c r="F8" t="n">
        <v>1856</v>
      </c>
      <c r="G8" t="n">
        <v>-604</v>
      </c>
      <c r="H8">
        <f>D8*F8</f>
        <v/>
      </c>
      <c r="I8">
        <f>E8*G8</f>
        <v/>
      </c>
      <c r="J8">
        <f>H8-I8</f>
        <v/>
      </c>
      <c r="K8" t="n">
        <v>0.12</v>
      </c>
      <c r="L8" t="n">
        <v>224.898681640625</v>
      </c>
      <c r="M8" t="n">
        <v>-176.9554290771484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ERX</t>
        </is>
      </c>
      <c r="C9" t="inlineStr">
        <is>
          <t>XLE</t>
        </is>
      </c>
      <c r="D9" t="n">
        <v>40.31010818481445</v>
      </c>
      <c r="E9" t="n">
        <v>63.88770294189453</v>
      </c>
      <c r="F9" t="n">
        <v>1856</v>
      </c>
      <c r="G9" t="n">
        <v>-604</v>
      </c>
      <c r="H9">
        <f>D9*F9</f>
        <v/>
      </c>
      <c r="I9">
        <f>E9*G9</f>
        <v/>
      </c>
      <c r="J9">
        <f>H9-I9</f>
        <v/>
      </c>
      <c r="K9" t="n">
        <v>0.12</v>
      </c>
      <c r="L9" t="n">
        <v>1399.36328125</v>
      </c>
      <c r="M9" t="n">
        <v>-1415.673385620117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ERX</t>
        </is>
      </c>
      <c r="C10" t="inlineStr">
        <is>
          <t>XLE</t>
        </is>
      </c>
      <c r="D10" t="n">
        <v>40.36844253540039</v>
      </c>
      <c r="E10" t="n">
        <v>64.10742950439453</v>
      </c>
      <c r="F10" t="n">
        <v>1856</v>
      </c>
      <c r="G10" t="n">
        <v>-604</v>
      </c>
      <c r="H10">
        <f>D10*F10</f>
        <v/>
      </c>
      <c r="I10">
        <f>E10*G10</f>
        <v/>
      </c>
      <c r="J10">
        <f>H10-I10</f>
        <v/>
      </c>
      <c r="K10" t="n">
        <v>0.12</v>
      </c>
      <c r="L10" t="n">
        <v>108.2685546875</v>
      </c>
      <c r="M10" t="n">
        <v>-132.71484375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ERX</t>
        </is>
      </c>
      <c r="C11" t="inlineStr">
        <is>
          <t>XLE</t>
        </is>
      </c>
      <c r="D11" t="n">
        <v>40.45372009277344</v>
      </c>
      <c r="E11" t="n">
        <v>64.272216796875</v>
      </c>
      <c r="F11" t="n">
        <v>1882</v>
      </c>
      <c r="G11" t="n">
        <v>-596</v>
      </c>
      <c r="H11">
        <f>D11*F11</f>
        <v/>
      </c>
      <c r="I11">
        <f>E11*G11</f>
        <v/>
      </c>
      <c r="J11">
        <f>H11-I11</f>
        <v/>
      </c>
      <c r="K11" t="n">
        <v>0.12</v>
      </c>
      <c r="L11" t="n">
        <v>160.4923629760742</v>
      </c>
      <c r="M11" t="n">
        <v>-98.21322631835938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ERX</t>
        </is>
      </c>
      <c r="C12" t="inlineStr">
        <is>
          <t>XLE</t>
        </is>
      </c>
      <c r="D12" t="n">
        <v>39.71321487426758</v>
      </c>
      <c r="E12" t="n">
        <v>62.04741668701172</v>
      </c>
      <c r="F12" t="n">
        <v>1882</v>
      </c>
      <c r="G12" t="n">
        <v>-596</v>
      </c>
      <c r="H12">
        <f>D12*F12</f>
        <v/>
      </c>
      <c r="I12">
        <f>E12*G12</f>
        <v/>
      </c>
      <c r="J12">
        <f>H12-I12</f>
        <v/>
      </c>
      <c r="K12" t="n">
        <v>0.12</v>
      </c>
      <c r="L12" t="n">
        <v>-1393.630821228027</v>
      </c>
      <c r="M12" t="n">
        <v>1325.980865478516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ERX</t>
        </is>
      </c>
      <c r="C13" t="inlineStr">
        <is>
          <t>XLE</t>
        </is>
      </c>
      <c r="D13" t="n">
        <v>40.20687484741211</v>
      </c>
      <c r="E13" t="n">
        <v>63.41160583496094</v>
      </c>
      <c r="F13" t="n">
        <v>1882</v>
      </c>
      <c r="G13" t="n">
        <v>-596</v>
      </c>
      <c r="H13">
        <f>D13*F13</f>
        <v/>
      </c>
      <c r="I13">
        <f>E13*G13</f>
        <v/>
      </c>
      <c r="J13">
        <f>H13-I13</f>
        <v/>
      </c>
      <c r="K13" t="n">
        <v>0.12</v>
      </c>
      <c r="L13" t="n">
        <v>929.0680694580078</v>
      </c>
      <c r="M13" t="n">
        <v>-813.0567321777344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ERX</t>
        </is>
      </c>
      <c r="C14" t="inlineStr">
        <is>
          <t>XLE</t>
        </is>
      </c>
      <c r="D14" t="n">
        <v>40.60630416870117</v>
      </c>
      <c r="E14" t="n">
        <v>64.86734008789062</v>
      </c>
      <c r="F14" t="n">
        <v>1882</v>
      </c>
      <c r="G14" t="n">
        <v>-596</v>
      </c>
      <c r="H14">
        <f>D14*F14</f>
        <v/>
      </c>
      <c r="I14">
        <f>E14*G14</f>
        <v/>
      </c>
      <c r="J14">
        <f>H14-I14</f>
        <v/>
      </c>
      <c r="K14" t="n">
        <v>0.12</v>
      </c>
      <c r="L14" t="n">
        <v>751.7259826660156</v>
      </c>
      <c r="M14" t="n">
        <v>-867.6176147460938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ERX</t>
        </is>
      </c>
      <c r="C15" t="inlineStr">
        <is>
          <t>XLE</t>
        </is>
      </c>
      <c r="D15" t="n">
        <v>40.66016006469727</v>
      </c>
      <c r="E15" t="n">
        <v>64.81241607666016</v>
      </c>
      <c r="F15" t="n">
        <v>1882</v>
      </c>
      <c r="G15" t="n">
        <v>-596</v>
      </c>
      <c r="H15">
        <f>D15*F15</f>
        <v/>
      </c>
      <c r="I15">
        <f>E15*G15</f>
        <v/>
      </c>
      <c r="J15">
        <f>H15-I15</f>
        <v/>
      </c>
      <c r="K15" t="n">
        <v>0.12</v>
      </c>
      <c r="L15" t="n">
        <v>101.3567962646484</v>
      </c>
      <c r="M15" t="n">
        <v>32.73471069335938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ERX</t>
        </is>
      </c>
      <c r="C16" t="inlineStr">
        <is>
          <t>XLE</t>
        </is>
      </c>
      <c r="D16" t="n">
        <v>40.50307846069336</v>
      </c>
      <c r="E16" t="n">
        <v>64.48281097412109</v>
      </c>
      <c r="F16" t="n">
        <v>1882</v>
      </c>
      <c r="G16" t="n">
        <v>-596</v>
      </c>
      <c r="H16">
        <f>D16*F16</f>
        <v/>
      </c>
      <c r="I16">
        <f>E16*G16</f>
        <v/>
      </c>
      <c r="J16">
        <f>H16-I16</f>
        <v/>
      </c>
      <c r="K16" t="n">
        <v>0.12</v>
      </c>
      <c r="L16" t="n">
        <v>-295.6275787353516</v>
      </c>
      <c r="M16" t="n">
        <v>196.4446411132812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ERX</t>
        </is>
      </c>
      <c r="C17" t="inlineStr">
        <is>
          <t>XLE</t>
        </is>
      </c>
      <c r="D17" t="n">
        <v>40.50757217407227</v>
      </c>
      <c r="E17" t="n">
        <v>64.33632659912109</v>
      </c>
      <c r="F17" t="n">
        <v>1882</v>
      </c>
      <c r="G17" t="n">
        <v>-596</v>
      </c>
      <c r="H17">
        <f>D17*F17</f>
        <v/>
      </c>
      <c r="I17">
        <f>E17*G17</f>
        <v/>
      </c>
      <c r="J17">
        <f>H17-I17</f>
        <v/>
      </c>
      <c r="K17" t="n">
        <v>0.12</v>
      </c>
      <c r="L17" t="n">
        <v>8.457168579101562</v>
      </c>
      <c r="M17" t="n">
        <v>87.3046875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ERX</t>
        </is>
      </c>
      <c r="C18" t="inlineStr">
        <is>
          <t>XLE</t>
        </is>
      </c>
      <c r="D18" t="n">
        <v>41.78661346435547</v>
      </c>
      <c r="E18" t="n">
        <v>68.38307952880859</v>
      </c>
      <c r="F18" t="n">
        <v>1882</v>
      </c>
      <c r="G18" t="n">
        <v>-596</v>
      </c>
      <c r="H18">
        <f>D18*F18</f>
        <v/>
      </c>
      <c r="I18">
        <f>E18*G18</f>
        <v/>
      </c>
      <c r="J18">
        <f>H18-I18</f>
        <v/>
      </c>
      <c r="K18" t="n">
        <v>0.12</v>
      </c>
      <c r="L18" t="n">
        <v>2407.155708312988</v>
      </c>
      <c r="M18" t="n">
        <v>-2411.86474609375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ERX</t>
        </is>
      </c>
      <c r="C19" t="inlineStr">
        <is>
          <t>XLE</t>
        </is>
      </c>
      <c r="D19" t="n">
        <v>40.94289398193359</v>
      </c>
      <c r="E19" t="n">
        <v>65.69134521484375</v>
      </c>
      <c r="F19" t="n">
        <v>1882</v>
      </c>
      <c r="G19" t="n">
        <v>-596</v>
      </c>
      <c r="H19">
        <f>D19*F19</f>
        <v/>
      </c>
      <c r="I19">
        <f>E19*G19</f>
        <v/>
      </c>
      <c r="J19">
        <f>H19-I19</f>
        <v/>
      </c>
      <c r="K19" t="n">
        <v>0.12</v>
      </c>
      <c r="L19" t="n">
        <v>-1587.880065917969</v>
      </c>
      <c r="M19" t="n">
        <v>1604.273651123047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ERX</t>
        </is>
      </c>
      <c r="C20" t="inlineStr">
        <is>
          <t>XLE</t>
        </is>
      </c>
      <c r="D20" t="n">
        <v>40.00492477416992</v>
      </c>
      <c r="E20" t="n">
        <v>62.72493362426758</v>
      </c>
      <c r="F20" t="n">
        <v>1969</v>
      </c>
      <c r="G20" t="n">
        <v>-617</v>
      </c>
      <c r="H20">
        <f>D20*F20</f>
        <v/>
      </c>
      <c r="I20">
        <f>E20*G20</f>
        <v/>
      </c>
      <c r="J20">
        <f>H20-I20</f>
        <v/>
      </c>
      <c r="K20" t="n">
        <v>0.12</v>
      </c>
      <c r="L20" t="n">
        <v>-1846.86137008667</v>
      </c>
      <c r="M20" t="n">
        <v>1830.275951385498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ERX</t>
        </is>
      </c>
      <c r="C21" t="inlineStr">
        <is>
          <t>XLE</t>
        </is>
      </c>
      <c r="D21" t="n">
        <v>40.35947036743164</v>
      </c>
      <c r="E21" t="n">
        <v>63.6496467590332</v>
      </c>
      <c r="F21" t="n">
        <v>1969</v>
      </c>
      <c r="G21" t="n">
        <v>-617</v>
      </c>
      <c r="H21">
        <f>D21*F21</f>
        <v/>
      </c>
      <c r="I21">
        <f>E21*G21</f>
        <v/>
      </c>
      <c r="J21">
        <f>H21-I21</f>
        <v/>
      </c>
      <c r="K21" t="n">
        <v>0.12</v>
      </c>
      <c r="L21" t="n">
        <v>698.1002731323242</v>
      </c>
      <c r="M21" t="n">
        <v>-570.5480041503906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etf</t>
        </is>
      </c>
      <c r="C1" t="inlineStr">
        <is>
          <t>under</t>
        </is>
      </c>
      <c r="D1" t="inlineStr">
        <is>
          <t>XOP Price</t>
        </is>
      </c>
      <c r="E1" t="inlineStr">
        <is>
          <t>GUSH Price</t>
        </is>
      </c>
      <c r="F1" t="inlineStr">
        <is>
          <t>long_sh</t>
        </is>
      </c>
      <c r="G1" t="inlineStr">
        <is>
          <t>short_sh</t>
        </is>
      </c>
      <c r="H1" t="inlineStr">
        <is>
          <t>long_notional_usd</t>
        </is>
      </c>
      <c r="I1" t="inlineStr">
        <is>
          <t>short_notional_usd</t>
        </is>
      </c>
      <c r="J1" t="inlineStr">
        <is>
          <t>gross_notional_usd</t>
        </is>
      </c>
      <c r="K1" t="inlineStr">
        <is>
          <t>borrow_rate_annual</t>
        </is>
      </c>
      <c r="L1" t="inlineStr">
        <is>
          <t>daily_long_pnl_usd</t>
        </is>
      </c>
      <c r="M1" t="inlineStr">
        <is>
          <t>daily_short_pnl_usd</t>
        </is>
      </c>
      <c r="N1" t="inlineStr">
        <is>
          <t>daily_borrow_cost_usd</t>
        </is>
      </c>
      <c r="O1" t="inlineStr">
        <is>
          <t>is_rebal</t>
        </is>
      </c>
      <c r="P1" t="inlineStr">
        <is>
          <t>cum_borrow_cost_usd</t>
        </is>
      </c>
    </row>
    <row r="2">
      <c r="A2" s="1" t="n">
        <v>44929</v>
      </c>
      <c r="B2" t="inlineStr">
        <is>
          <t>GUSH</t>
        </is>
      </c>
      <c r="C2" t="inlineStr">
        <is>
          <t>XOP</t>
        </is>
      </c>
      <c r="D2" t="n">
        <v>118.3479843139648</v>
      </c>
      <c r="E2" t="n">
        <v>29.7099552154541</v>
      </c>
      <c r="F2" t="n">
        <v>3057</v>
      </c>
      <c r="G2" t="n">
        <v>-6059</v>
      </c>
      <c r="H2">
        <f>D2*F2</f>
        <v/>
      </c>
      <c r="I2">
        <f>E2*G2</f>
        <v/>
      </c>
      <c r="J2">
        <f>H2-I2</f>
        <v/>
      </c>
      <c r="K2" t="n">
        <v>-0.01</v>
      </c>
      <c r="L2" t="n">
        <v>0</v>
      </c>
      <c r="M2" t="n">
        <v>0</v>
      </c>
      <c r="N2">
        <f>-I2*K2/252</f>
        <v/>
      </c>
      <c r="O2" t="n">
        <v>1</v>
      </c>
      <c r="P2">
        <f>SUM($N$2:N2)</f>
        <v/>
      </c>
    </row>
    <row r="3">
      <c r="A3" s="1" t="n">
        <v>44930</v>
      </c>
      <c r="B3" t="inlineStr">
        <is>
          <t>GUSH</t>
        </is>
      </c>
      <c r="C3" t="inlineStr">
        <is>
          <t>XOP</t>
        </is>
      </c>
      <c r="D3" t="n">
        <v>118.7631225585938</v>
      </c>
      <c r="E3" t="n">
        <v>29.89154624938965</v>
      </c>
      <c r="F3" t="n">
        <v>3057</v>
      </c>
      <c r="G3" t="n">
        <v>-6059</v>
      </c>
      <c r="H3">
        <f>D3*F3</f>
        <v/>
      </c>
      <c r="I3">
        <f>E3*G3</f>
        <v/>
      </c>
      <c r="J3">
        <f>H3-I3</f>
        <v/>
      </c>
      <c r="K3" t="n">
        <v>-0.01</v>
      </c>
      <c r="L3" t="n">
        <v>0</v>
      </c>
      <c r="M3" t="n">
        <v>0</v>
      </c>
      <c r="N3">
        <f>-I3*K3/252</f>
        <v/>
      </c>
      <c r="O3" t="n">
        <v>0</v>
      </c>
      <c r="P3">
        <f>SUM($N$2:N3)</f>
        <v/>
      </c>
    </row>
    <row r="4">
      <c r="A4" s="1" t="n">
        <v>44931</v>
      </c>
      <c r="B4" t="inlineStr">
        <is>
          <t>GUSH</t>
        </is>
      </c>
      <c r="C4" t="inlineStr">
        <is>
          <t>XOP</t>
        </is>
      </c>
      <c r="D4" t="n">
        <v>118.9384155273438</v>
      </c>
      <c r="E4" t="n">
        <v>29.97429847717285</v>
      </c>
      <c r="F4" t="n">
        <v>3057</v>
      </c>
      <c r="G4" t="n">
        <v>-6059</v>
      </c>
      <c r="H4">
        <f>D4*F4</f>
        <v/>
      </c>
      <c r="I4">
        <f>E4*G4</f>
        <v/>
      </c>
      <c r="J4">
        <f>H4-I4</f>
        <v/>
      </c>
      <c r="K4" t="n">
        <v>-0.01</v>
      </c>
      <c r="L4" t="n">
        <v>535.87060546875</v>
      </c>
      <c r="M4" t="n">
        <v>-501.3957481384277</v>
      </c>
      <c r="N4">
        <f>-I4*K4/252</f>
        <v/>
      </c>
      <c r="O4" t="n">
        <v>0</v>
      </c>
      <c r="P4">
        <f>SUM($N$2:N4)</f>
        <v/>
      </c>
    </row>
    <row r="5">
      <c r="A5" s="1" t="n">
        <v>44932</v>
      </c>
      <c r="B5" t="inlineStr">
        <is>
          <t>GUSH</t>
        </is>
      </c>
      <c r="C5" t="inlineStr">
        <is>
          <t>XOP</t>
        </is>
      </c>
      <c r="D5" t="n">
        <v>121.3740386962891</v>
      </c>
      <c r="E5" t="n">
        <v>31.25464820861816</v>
      </c>
      <c r="F5" t="n">
        <v>3057</v>
      </c>
      <c r="G5" t="n">
        <v>-6059</v>
      </c>
      <c r="H5">
        <f>D5*F5</f>
        <v/>
      </c>
      <c r="I5">
        <f>E5*G5</f>
        <v/>
      </c>
      <c r="J5">
        <f>H5-I5</f>
        <v/>
      </c>
      <c r="K5" t="n">
        <v>-0.01</v>
      </c>
      <c r="L5" t="n">
        <v>7445.70002746582</v>
      </c>
      <c r="M5" t="n">
        <v>-7757.639022827148</v>
      </c>
      <c r="N5">
        <f>-I5*K5/252</f>
        <v/>
      </c>
      <c r="O5" t="n">
        <v>1</v>
      </c>
      <c r="P5">
        <f>SUM($N$2:N5)</f>
        <v/>
      </c>
    </row>
    <row r="6">
      <c r="A6" s="1" t="n">
        <v>44935</v>
      </c>
      <c r="B6" t="inlineStr">
        <is>
          <t>GUSH</t>
        </is>
      </c>
      <c r="C6" t="inlineStr">
        <is>
          <t>XOP</t>
        </is>
      </c>
      <c r="D6" t="n">
        <v>122.6102752685547</v>
      </c>
      <c r="E6" t="n">
        <v>31.85918807983398</v>
      </c>
      <c r="F6" t="n">
        <v>3057</v>
      </c>
      <c r="G6" t="n">
        <v>-6059</v>
      </c>
      <c r="H6">
        <f>D6*F6</f>
        <v/>
      </c>
      <c r="I6">
        <f>E6*G6</f>
        <v/>
      </c>
      <c r="J6">
        <f>H6-I6</f>
        <v/>
      </c>
      <c r="K6" t="n">
        <v>-0.01</v>
      </c>
      <c r="L6" t="n">
        <v>3779.175201416016</v>
      </c>
      <c r="M6" t="n">
        <v>-3662.907079696655</v>
      </c>
      <c r="N6">
        <f>-I6*K6/252</f>
        <v/>
      </c>
      <c r="O6" t="n">
        <v>0</v>
      </c>
      <c r="P6">
        <f>SUM($N$2:N6)</f>
        <v/>
      </c>
    </row>
    <row r="7">
      <c r="A7" s="1" t="n">
        <v>44936</v>
      </c>
      <c r="B7" t="inlineStr">
        <is>
          <t>GUSH</t>
        </is>
      </c>
      <c r="C7" t="inlineStr">
        <is>
          <t>XOP</t>
        </is>
      </c>
      <c r="D7" t="n">
        <v>123.0254592895508</v>
      </c>
      <c r="E7" t="n">
        <v>32.0292854309082</v>
      </c>
      <c r="F7" t="n">
        <v>3057</v>
      </c>
      <c r="G7" t="n">
        <v>-6059</v>
      </c>
      <c r="H7">
        <f>D7*F7</f>
        <v/>
      </c>
      <c r="I7">
        <f>E7*G7</f>
        <v/>
      </c>
      <c r="J7">
        <f>H7-I7</f>
        <v/>
      </c>
      <c r="K7" t="n">
        <v>-0.01</v>
      </c>
      <c r="L7" t="n">
        <v>1269.217552185059</v>
      </c>
      <c r="M7" t="n">
        <v>-1030.619850158691</v>
      </c>
      <c r="N7">
        <f>-I7*K7/252</f>
        <v/>
      </c>
      <c r="O7" t="n">
        <v>0</v>
      </c>
      <c r="P7">
        <f>SUM($N$2:N7)</f>
        <v/>
      </c>
    </row>
    <row r="8">
      <c r="A8" s="1" t="n">
        <v>44937</v>
      </c>
      <c r="B8" t="inlineStr">
        <is>
          <t>GUSH</t>
        </is>
      </c>
      <c r="C8" t="inlineStr">
        <is>
          <t>XOP</t>
        </is>
      </c>
      <c r="D8" t="n">
        <v>123.9849319458008</v>
      </c>
      <c r="E8" t="n">
        <v>32.53498077392578</v>
      </c>
      <c r="F8" t="n">
        <v>3057</v>
      </c>
      <c r="G8" t="n">
        <v>-6059</v>
      </c>
      <c r="H8">
        <f>D8*F8</f>
        <v/>
      </c>
      <c r="I8">
        <f>E8*G8</f>
        <v/>
      </c>
      <c r="J8">
        <f>H8-I8</f>
        <v/>
      </c>
      <c r="K8" t="n">
        <v>-0.01</v>
      </c>
      <c r="L8" t="n">
        <v>2933.10791015625</v>
      </c>
      <c r="M8" t="n">
        <v>-3064.008083343506</v>
      </c>
      <c r="N8">
        <f>-I8*K8/252</f>
        <v/>
      </c>
      <c r="O8" t="n">
        <v>0</v>
      </c>
      <c r="P8">
        <f>SUM($N$2:N8)</f>
        <v/>
      </c>
    </row>
    <row r="9">
      <c r="A9" s="1" t="n">
        <v>44938</v>
      </c>
      <c r="B9" t="inlineStr">
        <is>
          <t>GUSH</t>
        </is>
      </c>
      <c r="C9" t="inlineStr">
        <is>
          <t>XOP</t>
        </is>
      </c>
      <c r="D9" t="n">
        <v>127.6475372314453</v>
      </c>
      <c r="E9" t="n">
        <v>34.44285202026367</v>
      </c>
      <c r="F9" t="n">
        <v>3057</v>
      </c>
      <c r="G9" t="n">
        <v>-6059</v>
      </c>
      <c r="H9">
        <f>D9*F9</f>
        <v/>
      </c>
      <c r="I9">
        <f>E9*G9</f>
        <v/>
      </c>
      <c r="J9">
        <f>H9-I9</f>
        <v/>
      </c>
      <c r="K9" t="n">
        <v>-0.01</v>
      </c>
      <c r="L9" t="n">
        <v>11196.58435821533</v>
      </c>
      <c r="M9" t="n">
        <v>-11559.79188156128</v>
      </c>
      <c r="N9">
        <f>-I9*K9/252</f>
        <v/>
      </c>
      <c r="O9" t="n">
        <v>0</v>
      </c>
      <c r="P9">
        <f>SUM($N$2:N9)</f>
        <v/>
      </c>
    </row>
    <row r="10">
      <c r="A10" s="1" t="n">
        <v>44939</v>
      </c>
      <c r="B10" t="inlineStr">
        <is>
          <t>GUSH</t>
        </is>
      </c>
      <c r="C10" t="inlineStr">
        <is>
          <t>XOP</t>
        </is>
      </c>
      <c r="D10" t="n">
        <v>128.3210144042969</v>
      </c>
      <c r="E10" t="n">
        <v>34.81524276733398</v>
      </c>
      <c r="F10" t="n">
        <v>3057</v>
      </c>
      <c r="G10" t="n">
        <v>-6059</v>
      </c>
      <c r="H10">
        <f>D10*F10</f>
        <v/>
      </c>
      <c r="I10">
        <f>E10*G10</f>
        <v/>
      </c>
      <c r="J10">
        <f>H10-I10</f>
        <v/>
      </c>
      <c r="K10" t="n">
        <v>-0.01</v>
      </c>
      <c r="L10" t="n">
        <v>2058.819717407227</v>
      </c>
      <c r="M10" t="n">
        <v>-2256.315536499023</v>
      </c>
      <c r="N10">
        <f>-I10*K10/252</f>
        <v/>
      </c>
      <c r="O10" t="n">
        <v>1</v>
      </c>
      <c r="P10">
        <f>SUM($N$2:N10)</f>
        <v/>
      </c>
    </row>
    <row r="11">
      <c r="A11" s="1" t="n">
        <v>44943</v>
      </c>
      <c r="B11" t="inlineStr">
        <is>
          <t>GUSH</t>
        </is>
      </c>
      <c r="C11" t="inlineStr">
        <is>
          <t>XOP</t>
        </is>
      </c>
      <c r="D11" t="n">
        <v>128.9299621582031</v>
      </c>
      <c r="E11" t="n">
        <v>35.07498168945312</v>
      </c>
      <c r="F11" t="n">
        <v>3048</v>
      </c>
      <c r="G11" t="n">
        <v>-5589</v>
      </c>
      <c r="H11">
        <f>D11*F11</f>
        <v/>
      </c>
      <c r="I11">
        <f>E11*G11</f>
        <v/>
      </c>
      <c r="J11">
        <f>H11-I11</f>
        <v/>
      </c>
      <c r="K11" t="n">
        <v>-0.01</v>
      </c>
      <c r="L11" t="n">
        <v>1856.07275390625</v>
      </c>
      <c r="M11" t="n">
        <v>-1451.680835723877</v>
      </c>
      <c r="N11">
        <f>-I11*K11/252</f>
        <v/>
      </c>
      <c r="O11" t="n">
        <v>0</v>
      </c>
      <c r="P11">
        <f>SUM($N$2:N11)</f>
        <v/>
      </c>
    </row>
    <row r="12">
      <c r="A12" s="1" t="n">
        <v>44944</v>
      </c>
      <c r="B12" t="inlineStr">
        <is>
          <t>GUSH</t>
        </is>
      </c>
      <c r="C12" t="inlineStr">
        <is>
          <t>XOP</t>
        </is>
      </c>
      <c r="D12" t="n">
        <v>126.4113006591797</v>
      </c>
      <c r="E12" t="n">
        <v>33.75326919555664</v>
      </c>
      <c r="F12" t="n">
        <v>3048</v>
      </c>
      <c r="G12" t="n">
        <v>-5589</v>
      </c>
      <c r="H12">
        <f>D12*F12</f>
        <v/>
      </c>
      <c r="I12">
        <f>E12*G12</f>
        <v/>
      </c>
      <c r="J12">
        <f>H12-I12</f>
        <v/>
      </c>
      <c r="K12" t="n">
        <v>-0.01</v>
      </c>
      <c r="L12" t="n">
        <v>-7676.880249023438</v>
      </c>
      <c r="M12" t="n">
        <v>7387.051128387451</v>
      </c>
      <c r="N12">
        <f>-I12*K12/252</f>
        <v/>
      </c>
      <c r="O12" t="n">
        <v>0</v>
      </c>
      <c r="P12">
        <f>SUM($N$2:N12)</f>
        <v/>
      </c>
    </row>
    <row r="13">
      <c r="A13" s="1" t="n">
        <v>44945</v>
      </c>
      <c r="B13" t="inlineStr">
        <is>
          <t>GUSH</t>
        </is>
      </c>
      <c r="C13" t="inlineStr">
        <is>
          <t>XOP</t>
        </is>
      </c>
      <c r="D13" t="n">
        <v>128.8745727539062</v>
      </c>
      <c r="E13" t="n">
        <v>35.03131484985352</v>
      </c>
      <c r="F13" t="n">
        <v>3048</v>
      </c>
      <c r="G13" t="n">
        <v>-5589</v>
      </c>
      <c r="H13">
        <f>D13*F13</f>
        <v/>
      </c>
      <c r="I13">
        <f>E13*G13</f>
        <v/>
      </c>
      <c r="J13">
        <f>H13-I13</f>
        <v/>
      </c>
      <c r="K13" t="n">
        <v>-0.01</v>
      </c>
      <c r="L13" t="n">
        <v>7508.053344726562</v>
      </c>
      <c r="M13" t="n">
        <v>-7142.997161865234</v>
      </c>
      <c r="N13">
        <f>-I13*K13/252</f>
        <v/>
      </c>
      <c r="O13" t="n">
        <v>0</v>
      </c>
      <c r="P13">
        <f>SUM($N$2:N13)</f>
        <v/>
      </c>
    </row>
    <row r="14">
      <c r="A14" s="1" t="n">
        <v>44946</v>
      </c>
      <c r="B14" t="inlineStr">
        <is>
          <t>GUSH</t>
        </is>
      </c>
      <c r="C14" t="inlineStr">
        <is>
          <t>XOP</t>
        </is>
      </c>
      <c r="D14" t="n">
        <v>130.7289276123047</v>
      </c>
      <c r="E14" t="n">
        <v>36.04731369018555</v>
      </c>
      <c r="F14" t="n">
        <v>3048</v>
      </c>
      <c r="G14" t="n">
        <v>-5589</v>
      </c>
      <c r="H14">
        <f>D14*F14</f>
        <v/>
      </c>
      <c r="I14">
        <f>E14*G14</f>
        <v/>
      </c>
      <c r="J14">
        <f>H14-I14</f>
        <v/>
      </c>
      <c r="K14" t="n">
        <v>-0.01</v>
      </c>
      <c r="L14" t="n">
        <v>5652.073608398438</v>
      </c>
      <c r="M14" t="n">
        <v>-5678.417518615723</v>
      </c>
      <c r="N14">
        <f>-I14*K14/252</f>
        <v/>
      </c>
      <c r="O14" t="n">
        <v>1</v>
      </c>
      <c r="P14">
        <f>SUM($N$2:N14)</f>
        <v/>
      </c>
    </row>
    <row r="15">
      <c r="A15" s="1" t="n">
        <v>44949</v>
      </c>
      <c r="B15" t="inlineStr">
        <is>
          <t>GUSH</t>
        </is>
      </c>
      <c r="C15" t="inlineStr">
        <is>
          <t>XOP</t>
        </is>
      </c>
      <c r="D15" t="n">
        <v>132.6109924316406</v>
      </c>
      <c r="E15" t="n">
        <v>37.05412292480469</v>
      </c>
      <c r="F15" t="n">
        <v>3048</v>
      </c>
      <c r="G15" t="n">
        <v>-5589</v>
      </c>
      <c r="H15">
        <f>D15*F15</f>
        <v/>
      </c>
      <c r="I15">
        <f>E15*G15</f>
        <v/>
      </c>
      <c r="J15">
        <f>H15-I15</f>
        <v/>
      </c>
      <c r="K15" t="n">
        <v>-0.01</v>
      </c>
      <c r="L15" t="n">
        <v>5736.533569335938</v>
      </c>
      <c r="M15" t="n">
        <v>-5627.056812286377</v>
      </c>
      <c r="N15">
        <f>-I15*K15/252</f>
        <v/>
      </c>
      <c r="O15" t="n">
        <v>0</v>
      </c>
      <c r="P15">
        <f>SUM($N$2:N15)</f>
        <v/>
      </c>
    </row>
    <row r="16">
      <c r="A16" s="1" t="n">
        <v>44950</v>
      </c>
      <c r="B16" t="inlineStr">
        <is>
          <t>GUSH</t>
        </is>
      </c>
      <c r="C16" t="inlineStr">
        <is>
          <t>XOP</t>
        </is>
      </c>
      <c r="D16" t="n">
        <v>131.1809997558594</v>
      </c>
      <c r="E16" t="n">
        <v>36.27257919311523</v>
      </c>
      <c r="F16" t="n">
        <v>3048</v>
      </c>
      <c r="G16" t="n">
        <v>-5589</v>
      </c>
      <c r="H16">
        <f>D16*F16</f>
        <v/>
      </c>
      <c r="I16">
        <f>E16*G16</f>
        <v/>
      </c>
      <c r="J16">
        <f>H16-I16</f>
        <v/>
      </c>
      <c r="K16" t="n">
        <v>-0.01</v>
      </c>
      <c r="L16" t="n">
        <v>-4358.61767578125</v>
      </c>
      <c r="M16" t="n">
        <v>4368.047916412354</v>
      </c>
      <c r="N16">
        <f>-I16*K16/252</f>
        <v/>
      </c>
      <c r="O16" t="n">
        <v>0</v>
      </c>
      <c r="P16">
        <f>SUM($N$2:N16)</f>
        <v/>
      </c>
    </row>
    <row r="17">
      <c r="A17" s="1" t="n">
        <v>44951</v>
      </c>
      <c r="B17" t="inlineStr">
        <is>
          <t>GUSH</t>
        </is>
      </c>
      <c r="C17" t="inlineStr">
        <is>
          <t>XOP</t>
        </is>
      </c>
      <c r="D17" t="n">
        <v>131.0426330566406</v>
      </c>
      <c r="E17" t="n">
        <v>36.16684341430664</v>
      </c>
      <c r="F17" t="n">
        <v>3048</v>
      </c>
      <c r="G17" t="n">
        <v>-5589</v>
      </c>
      <c r="H17">
        <f>D17*F17</f>
        <v/>
      </c>
      <c r="I17">
        <f>E17*G17</f>
        <v/>
      </c>
      <c r="J17">
        <f>H17-I17</f>
        <v/>
      </c>
      <c r="K17" t="n">
        <v>-0.01</v>
      </c>
      <c r="L17" t="n">
        <v>-421.74169921875</v>
      </c>
      <c r="M17" t="n">
        <v>590.9572677612305</v>
      </c>
      <c r="N17">
        <f>-I17*K17/252</f>
        <v/>
      </c>
      <c r="O17" t="n">
        <v>0</v>
      </c>
      <c r="P17">
        <f>SUM($N$2:N17)</f>
        <v/>
      </c>
    </row>
    <row r="18">
      <c r="A18" s="1" t="n">
        <v>44952</v>
      </c>
      <c r="B18" t="inlineStr">
        <is>
          <t>GUSH</t>
        </is>
      </c>
      <c r="C18" t="inlineStr">
        <is>
          <t>XOP</t>
        </is>
      </c>
      <c r="D18" t="n">
        <v>134.1885986328125</v>
      </c>
      <c r="E18" t="n">
        <v>37.95059204101562</v>
      </c>
      <c r="F18" t="n">
        <v>3048</v>
      </c>
      <c r="G18" t="n">
        <v>-5589</v>
      </c>
      <c r="H18">
        <f>D18*F18</f>
        <v/>
      </c>
      <c r="I18">
        <f>E18*G18</f>
        <v/>
      </c>
      <c r="J18">
        <f>H18-I18</f>
        <v/>
      </c>
      <c r="K18" t="n">
        <v>-0.01</v>
      </c>
      <c r="L18" t="n">
        <v>9588.903076171875</v>
      </c>
      <c r="M18" t="n">
        <v>-9969.371074676514</v>
      </c>
      <c r="N18">
        <f>-I18*K18/252</f>
        <v/>
      </c>
      <c r="O18" t="n">
        <v>0</v>
      </c>
      <c r="P18">
        <f>SUM($N$2:N18)</f>
        <v/>
      </c>
    </row>
    <row r="19">
      <c r="A19" s="1" t="n">
        <v>44953</v>
      </c>
      <c r="B19" t="inlineStr">
        <is>
          <t>GUSH</t>
        </is>
      </c>
      <c r="C19" t="inlineStr">
        <is>
          <t>XOP</t>
        </is>
      </c>
      <c r="D19" t="n">
        <v>132.3619079589844</v>
      </c>
      <c r="E19" t="n">
        <v>36.82195281982422</v>
      </c>
      <c r="F19" t="n">
        <v>3048</v>
      </c>
      <c r="G19" t="n">
        <v>-5589</v>
      </c>
      <c r="H19">
        <f>D19*F19</f>
        <v/>
      </c>
      <c r="I19">
        <f>E19*G19</f>
        <v/>
      </c>
      <c r="J19">
        <f>H19-I19</f>
        <v/>
      </c>
      <c r="K19" t="n">
        <v>-0.01</v>
      </c>
      <c r="L19" t="n">
        <v>-5567.753173828125</v>
      </c>
      <c r="M19" t="n">
        <v>6307.96460723877</v>
      </c>
      <c r="N19">
        <f>-I19*K19/252</f>
        <v/>
      </c>
      <c r="O19" t="n">
        <v>1</v>
      </c>
      <c r="P19">
        <f>SUM($N$2:N19)</f>
        <v/>
      </c>
    </row>
    <row r="20">
      <c r="A20" s="1" t="n">
        <v>44956</v>
      </c>
      <c r="B20" t="inlineStr">
        <is>
          <t>GUSH</t>
        </is>
      </c>
      <c r="C20" t="inlineStr">
        <is>
          <t>XOP</t>
        </is>
      </c>
      <c r="D20" t="n">
        <v>128.0811767578125</v>
      </c>
      <c r="E20" t="n">
        <v>34.48883056640625</v>
      </c>
      <c r="F20" t="n">
        <v>3135</v>
      </c>
      <c r="G20" t="n">
        <v>-5607</v>
      </c>
      <c r="H20">
        <f>D20*F20</f>
        <v/>
      </c>
      <c r="I20">
        <f>E20*G20</f>
        <v/>
      </c>
      <c r="J20">
        <f>H20-I20</f>
        <v/>
      </c>
      <c r="K20" t="n">
        <v>-0.01</v>
      </c>
      <c r="L20" t="n">
        <v>-13420.09231567383</v>
      </c>
      <c r="M20" t="n">
        <v>13081.81647491455</v>
      </c>
      <c r="N20">
        <f>-I20*K20/252</f>
        <v/>
      </c>
      <c r="O20" t="n">
        <v>0</v>
      </c>
      <c r="P20">
        <f>SUM($N$2:N20)</f>
        <v/>
      </c>
    </row>
    <row r="21">
      <c r="A21" s="1" t="n">
        <v>44957</v>
      </c>
      <c r="B21" t="inlineStr">
        <is>
          <t>GUSH</t>
        </is>
      </c>
      <c r="C21" t="inlineStr">
        <is>
          <t>XOP</t>
        </is>
      </c>
      <c r="D21" t="n">
        <v>130.0554809570312</v>
      </c>
      <c r="E21" t="n">
        <v>35.57609558105469</v>
      </c>
      <c r="F21" t="n">
        <v>3135</v>
      </c>
      <c r="G21" t="n">
        <v>-5607</v>
      </c>
      <c r="H21">
        <f>D21*F21</f>
        <v/>
      </c>
      <c r="I21">
        <f>E21*G21</f>
        <v/>
      </c>
      <c r="J21">
        <f>H21-I21</f>
        <v/>
      </c>
      <c r="K21" t="n">
        <v>-0.01</v>
      </c>
      <c r="L21" t="n">
        <v>6189.443664550781</v>
      </c>
      <c r="M21" t="n">
        <v>-6096.294937133789</v>
      </c>
      <c r="N21">
        <f>-I21*K21/252</f>
        <v/>
      </c>
      <c r="O21" t="n">
        <v>0</v>
      </c>
      <c r="P21">
        <f>SUM($N$2:N21)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total_long_notional_usd</t>
        </is>
      </c>
      <c r="C1" t="inlineStr">
        <is>
          <t>benchmark_rate_annual</t>
        </is>
      </c>
      <c r="D1" t="inlineStr">
        <is>
          <t>margin_spread_annual</t>
        </is>
      </c>
      <c r="E1" t="inlineStr">
        <is>
          <t>effective_margin_rate_annual</t>
        </is>
      </c>
      <c r="F1" t="inlineStr">
        <is>
          <t>daily_portfolio_margin_usd</t>
        </is>
      </c>
      <c r="G1" t="inlineStr">
        <is>
          <t>daily_txn_pairs_sum_usd</t>
        </is>
      </c>
      <c r="H1" t="inlineStr">
        <is>
          <t>book_daily_txn_cost_usd</t>
        </is>
      </c>
      <c r="I1" t="inlineStr">
        <is>
          <t>book_daily_net_margin_usd</t>
        </is>
      </c>
      <c r="J1" t="inlineStr">
        <is>
          <t>book_txn_plus_net_margin_usd</t>
        </is>
      </c>
      <c r="K1" t="inlineStr">
        <is>
          <t>sum_pair_daily_net_pnl_usd</t>
        </is>
      </c>
      <c r="L1" t="inlineStr">
        <is>
          <t>net_after_portfolio_margin_and_pair_txn_usd</t>
        </is>
      </c>
      <c r="M1" t="inlineStr">
        <is>
          <t>fund_daily_pnl_usd</t>
        </is>
      </c>
      <c r="N1" t="inlineStr">
        <is>
          <t>diff_model_net_minus_fund_usd</t>
        </is>
      </c>
    </row>
    <row r="2">
      <c r="A2" s="1" t="n">
        <v>44929</v>
      </c>
      <c r="B2">
        <f>SUMIFS(ALL_PAIRS!$H:$H,ALL_PAIRS!$A:$A,$A2)</f>
        <v/>
      </c>
      <c r="C2">
        <f>AVERAGEIFS(ALL_PAIRS!$Q:$Q,ALL_PAIRS!$A:$A,$A2)</f>
        <v/>
      </c>
      <c r="D2" t="n">
        <v>0.0045</v>
      </c>
      <c r="E2">
        <f>C2+D2</f>
        <v/>
      </c>
      <c r="F2">
        <f>B2*E2/252</f>
        <v/>
      </c>
      <c r="G2">
        <f>SUMIFS(ALL_PAIRS!$R:$R,ALL_PAIRS!$A:$A,$A2)</f>
        <v/>
      </c>
      <c r="H2" t="n">
        <v>52426.7052171898</v>
      </c>
      <c r="I2" t="n">
        <v>0</v>
      </c>
      <c r="J2">
        <f>H2+I2</f>
        <v/>
      </c>
      <c r="K2">
        <f>SUMIFS(ALL_PAIRS!$S:$S,ALL_PAIRS!$A:$A,$A2)</f>
        <v/>
      </c>
      <c r="L2">
        <f>K2-F2-G2</f>
        <v/>
      </c>
      <c r="M2" t="n">
        <v>-52427.3731307643</v>
      </c>
      <c r="N2" t="n">
        <v>52577.4524781063</v>
      </c>
    </row>
    <row r="3">
      <c r="A3" s="1" t="n">
        <v>44930</v>
      </c>
      <c r="B3">
        <f>SUMIFS(ALL_PAIRS!$H:$H,ALL_PAIRS!$A:$A,$A3)</f>
        <v/>
      </c>
      <c r="C3">
        <f>AVERAGEIFS(ALL_PAIRS!$Q:$Q,ALL_PAIRS!$A:$A,$A3)</f>
        <v/>
      </c>
      <c r="D3" t="n">
        <v>0.0045</v>
      </c>
      <c r="E3">
        <f>C3+D3</f>
        <v/>
      </c>
      <c r="F3">
        <f>B3*E3/252</f>
        <v/>
      </c>
      <c r="G3">
        <f>SUMIFS(ALL_PAIRS!$R:$R,ALL_PAIRS!$A:$A,$A3)</f>
        <v/>
      </c>
      <c r="H3" t="n">
        <v>0</v>
      </c>
      <c r="I3" t="n">
        <v>0</v>
      </c>
      <c r="J3">
        <f>H3+I3</f>
        <v/>
      </c>
      <c r="K3">
        <f>SUMIFS(ALL_PAIRS!$S:$S,ALL_PAIRS!$A:$A,$A3)</f>
        <v/>
      </c>
      <c r="L3">
        <f>K3-F3-G3</f>
        <v/>
      </c>
      <c r="M3" t="n">
        <v>258659.35</v>
      </c>
      <c r="N3" t="n">
        <v>-258478.6642830825</v>
      </c>
    </row>
    <row r="4">
      <c r="A4" s="1" t="n">
        <v>44931</v>
      </c>
      <c r="B4">
        <f>SUMIFS(ALL_PAIRS!$H:$H,ALL_PAIRS!$A:$A,$A4)</f>
        <v/>
      </c>
      <c r="C4">
        <f>AVERAGEIFS(ALL_PAIRS!$Q:$Q,ALL_PAIRS!$A:$A,$A4)</f>
        <v/>
      </c>
      <c r="D4" t="n">
        <v>0.0045</v>
      </c>
      <c r="E4">
        <f>C4+D4</f>
        <v/>
      </c>
      <c r="F4">
        <f>B4*E4/252</f>
        <v/>
      </c>
      <c r="G4">
        <f>SUMIFS(ALL_PAIRS!$R:$R,ALL_PAIRS!$A:$A,$A4)</f>
        <v/>
      </c>
      <c r="H4" t="n">
        <v>0</v>
      </c>
      <c r="I4" t="n">
        <v>0</v>
      </c>
      <c r="J4">
        <f>H4+I4</f>
        <v/>
      </c>
      <c r="K4">
        <f>SUMIFS(ALL_PAIRS!$S:$S,ALL_PAIRS!$A:$A,$A4)</f>
        <v/>
      </c>
      <c r="L4">
        <f>K4-F4-G4</f>
        <v/>
      </c>
      <c r="M4" t="n">
        <v>-177017.7</v>
      </c>
      <c r="N4" t="n">
        <v>3177.989659122861</v>
      </c>
    </row>
    <row r="5">
      <c r="A5" s="1" t="n">
        <v>44932</v>
      </c>
      <c r="B5">
        <f>SUMIFS(ALL_PAIRS!$H:$H,ALL_PAIRS!$A:$A,$A5)</f>
        <v/>
      </c>
      <c r="C5">
        <f>AVERAGEIFS(ALL_PAIRS!$Q:$Q,ALL_PAIRS!$A:$A,$A5)</f>
        <v/>
      </c>
      <c r="D5" t="n">
        <v>0.0045</v>
      </c>
      <c r="E5">
        <f>C5+D5</f>
        <v/>
      </c>
      <c r="F5">
        <f>B5*E5/252</f>
        <v/>
      </c>
      <c r="G5">
        <f>SUMIFS(ALL_PAIRS!$R:$R,ALL_PAIRS!$A:$A,$A5)</f>
        <v/>
      </c>
      <c r="H5" t="n">
        <v>574.6478561029435</v>
      </c>
      <c r="I5" t="n">
        <v>0</v>
      </c>
      <c r="J5">
        <f>H5+I5</f>
        <v/>
      </c>
      <c r="K5">
        <f>SUMIFS(ALL_PAIRS!$S:$S,ALL_PAIRS!$A:$A,$A5)</f>
        <v/>
      </c>
      <c r="L5">
        <f>K5-F5-G5</f>
        <v/>
      </c>
      <c r="M5" t="n">
        <v>137451.17</v>
      </c>
      <c r="N5" t="n">
        <v>3826.1757854764</v>
      </c>
    </row>
    <row r="6">
      <c r="A6" s="1" t="n">
        <v>44935</v>
      </c>
      <c r="B6">
        <f>SUMIFS(ALL_PAIRS!$H:$H,ALL_PAIRS!$A:$A,$A6)</f>
        <v/>
      </c>
      <c r="C6">
        <f>AVERAGEIFS(ALL_PAIRS!$Q:$Q,ALL_PAIRS!$A:$A,$A6)</f>
        <v/>
      </c>
      <c r="D6" t="n">
        <v>0.0045</v>
      </c>
      <c r="E6">
        <f>C6+D6</f>
        <v/>
      </c>
      <c r="F6">
        <f>B6*E6/252</f>
        <v/>
      </c>
      <c r="G6">
        <f>SUMIFS(ALL_PAIRS!$R:$R,ALL_PAIRS!$A:$A,$A6)</f>
        <v/>
      </c>
      <c r="H6" t="n">
        <v>0</v>
      </c>
      <c r="I6" t="n">
        <v>0</v>
      </c>
      <c r="J6">
        <f>H6+I6</f>
        <v/>
      </c>
      <c r="K6">
        <f>SUMIFS(ALL_PAIRS!$S:$S,ALL_PAIRS!$A:$A,$A6)</f>
        <v/>
      </c>
      <c r="L6">
        <f>K6-F6-G6</f>
        <v/>
      </c>
      <c r="M6" t="n">
        <v>162639.96</v>
      </c>
      <c r="N6" t="n">
        <v>3438.270362866053</v>
      </c>
    </row>
    <row r="7">
      <c r="A7" s="1" t="n">
        <v>44936</v>
      </c>
      <c r="B7">
        <f>SUMIFS(ALL_PAIRS!$H:$H,ALL_PAIRS!$A:$A,$A7)</f>
        <v/>
      </c>
      <c r="C7">
        <f>AVERAGEIFS(ALL_PAIRS!$Q:$Q,ALL_PAIRS!$A:$A,$A7)</f>
        <v/>
      </c>
      <c r="D7" t="n">
        <v>0.0045</v>
      </c>
      <c r="E7">
        <f>C7+D7</f>
        <v/>
      </c>
      <c r="F7">
        <f>B7*E7/252</f>
        <v/>
      </c>
      <c r="G7">
        <f>SUMIFS(ALL_PAIRS!$R:$R,ALL_PAIRS!$A:$A,$A7)</f>
        <v/>
      </c>
      <c r="H7" t="n">
        <v>0</v>
      </c>
      <c r="I7" t="n">
        <v>0</v>
      </c>
      <c r="J7">
        <f>H7+I7</f>
        <v/>
      </c>
      <c r="K7">
        <f>SUMIFS(ALL_PAIRS!$S:$S,ALL_PAIRS!$A:$A,$A7)</f>
        <v/>
      </c>
      <c r="L7">
        <f>K7-F7-G7</f>
        <v/>
      </c>
      <c r="M7" t="n">
        <v>196102.83</v>
      </c>
      <c r="N7" t="n">
        <v>3647.923394139769</v>
      </c>
    </row>
    <row r="8">
      <c r="A8" s="1" t="n">
        <v>44937</v>
      </c>
      <c r="B8">
        <f>SUMIFS(ALL_PAIRS!$H:$H,ALL_PAIRS!$A:$A,$A8)</f>
        <v/>
      </c>
      <c r="C8">
        <f>AVERAGEIFS(ALL_PAIRS!$Q:$Q,ALL_PAIRS!$A:$A,$A8)</f>
        <v/>
      </c>
      <c r="D8" t="n">
        <v>0.0045</v>
      </c>
      <c r="E8">
        <f>C8+D8</f>
        <v/>
      </c>
      <c r="F8">
        <f>B8*E8/252</f>
        <v/>
      </c>
      <c r="G8">
        <f>SUMIFS(ALL_PAIRS!$R:$R,ALL_PAIRS!$A:$A,$A8)</f>
        <v/>
      </c>
      <c r="H8" t="n">
        <v>0</v>
      </c>
      <c r="I8" t="n">
        <v>0</v>
      </c>
      <c r="J8">
        <f>H8+I8</f>
        <v/>
      </c>
      <c r="K8">
        <f>SUMIFS(ALL_PAIRS!$S:$S,ALL_PAIRS!$A:$A,$A8)</f>
        <v/>
      </c>
      <c r="L8">
        <f>K8-F8-G8</f>
        <v/>
      </c>
      <c r="M8" t="n">
        <v>71240.64999999999</v>
      </c>
      <c r="N8" t="n">
        <v>3707.261150325314</v>
      </c>
    </row>
    <row r="9">
      <c r="A9" s="1" t="n">
        <v>44938</v>
      </c>
      <c r="B9">
        <f>SUMIFS(ALL_PAIRS!$H:$H,ALL_PAIRS!$A:$A,$A9)</f>
        <v/>
      </c>
      <c r="C9">
        <f>AVERAGEIFS(ALL_PAIRS!$Q:$Q,ALL_PAIRS!$A:$A,$A9)</f>
        <v/>
      </c>
      <c r="D9" t="n">
        <v>0.0045</v>
      </c>
      <c r="E9">
        <f>C9+D9</f>
        <v/>
      </c>
      <c r="F9">
        <f>B9*E9/252</f>
        <v/>
      </c>
      <c r="G9">
        <f>SUMIFS(ALL_PAIRS!$R:$R,ALL_PAIRS!$A:$A,$A9)</f>
        <v/>
      </c>
      <c r="H9" t="n">
        <v>0</v>
      </c>
      <c r="I9" t="n">
        <v>0</v>
      </c>
      <c r="J9">
        <f>H9+I9</f>
        <v/>
      </c>
      <c r="K9">
        <f>SUMIFS(ALL_PAIRS!$S:$S,ALL_PAIRS!$A:$A,$A9)</f>
        <v/>
      </c>
      <c r="L9">
        <f>K9-F9-G9</f>
        <v/>
      </c>
      <c r="M9" t="n">
        <v>110098.36</v>
      </c>
      <c r="N9" t="n">
        <v>3882.892392675654</v>
      </c>
    </row>
    <row r="10">
      <c r="A10" s="1" t="n">
        <v>44939</v>
      </c>
      <c r="B10">
        <f>SUMIFS(ALL_PAIRS!$H:$H,ALL_PAIRS!$A:$A,$A10)</f>
        <v/>
      </c>
      <c r="C10">
        <f>AVERAGEIFS(ALL_PAIRS!$Q:$Q,ALL_PAIRS!$A:$A,$A10)</f>
        <v/>
      </c>
      <c r="D10" t="n">
        <v>0.0045</v>
      </c>
      <c r="E10">
        <f>C10+D10</f>
        <v/>
      </c>
      <c r="F10">
        <f>B10*E10/252</f>
        <v/>
      </c>
      <c r="G10">
        <f>SUMIFS(ALL_PAIRS!$R:$R,ALL_PAIRS!$A:$A,$A10)</f>
        <v/>
      </c>
      <c r="H10" t="n">
        <v>6627.647327860832</v>
      </c>
      <c r="I10" t="n">
        <v>0</v>
      </c>
      <c r="J10">
        <f>H10+I10</f>
        <v/>
      </c>
      <c r="K10">
        <f>SUMIFS(ALL_PAIRS!$S:$S,ALL_PAIRS!$A:$A,$A10)</f>
        <v/>
      </c>
      <c r="L10">
        <f>K10-F10-G10</f>
        <v/>
      </c>
      <c r="M10" t="n">
        <v>95583.98</v>
      </c>
      <c r="N10" t="n">
        <v>10625.18973965495</v>
      </c>
    </row>
    <row r="11">
      <c r="A11" s="1" t="n">
        <v>44943</v>
      </c>
      <c r="B11">
        <f>SUMIFS(ALL_PAIRS!$H:$H,ALL_PAIRS!$A:$A,$A11)</f>
        <v/>
      </c>
      <c r="C11">
        <f>AVERAGEIFS(ALL_PAIRS!$Q:$Q,ALL_PAIRS!$A:$A,$A11)</f>
        <v/>
      </c>
      <c r="D11" t="n">
        <v>0.0045</v>
      </c>
      <c r="E11">
        <f>C11+D11</f>
        <v/>
      </c>
      <c r="F11">
        <f>B11*E11/252</f>
        <v/>
      </c>
      <c r="G11">
        <f>SUMIFS(ALL_PAIRS!$R:$R,ALL_PAIRS!$A:$A,$A11)</f>
        <v/>
      </c>
      <c r="H11" t="n">
        <v>0</v>
      </c>
      <c r="I11" t="n">
        <v>0</v>
      </c>
      <c r="J11">
        <f>H11+I11</f>
        <v/>
      </c>
      <c r="K11">
        <f>SUMIFS(ALL_PAIRS!$S:$S,ALL_PAIRS!$A:$A,$A11)</f>
        <v/>
      </c>
      <c r="L11">
        <f>K11-F11-G11</f>
        <v/>
      </c>
      <c r="M11" t="n">
        <v>121405.74</v>
      </c>
      <c r="N11" t="n">
        <v>3424.841469884836</v>
      </c>
    </row>
    <row r="12">
      <c r="A12" s="1" t="n">
        <v>44944</v>
      </c>
      <c r="B12">
        <f>SUMIFS(ALL_PAIRS!$H:$H,ALL_PAIRS!$A:$A,$A12)</f>
        <v/>
      </c>
      <c r="C12">
        <f>AVERAGEIFS(ALL_PAIRS!$Q:$Q,ALL_PAIRS!$A:$A,$A12)</f>
        <v/>
      </c>
      <c r="D12" t="n">
        <v>0.0045</v>
      </c>
      <c r="E12">
        <f>C12+D12</f>
        <v/>
      </c>
      <c r="F12">
        <f>B12*E12/252</f>
        <v/>
      </c>
      <c r="G12">
        <f>SUMIFS(ALL_PAIRS!$R:$R,ALL_PAIRS!$A:$A,$A12)</f>
        <v/>
      </c>
      <c r="H12" t="n">
        <v>0</v>
      </c>
      <c r="I12" t="n">
        <v>0</v>
      </c>
      <c r="J12">
        <f>H12+I12</f>
        <v/>
      </c>
      <c r="K12">
        <f>SUMIFS(ALL_PAIRS!$S:$S,ALL_PAIRS!$A:$A,$A12)</f>
        <v/>
      </c>
      <c r="L12">
        <f>K12-F12-G12</f>
        <v/>
      </c>
      <c r="M12" t="n">
        <v>-124165.81</v>
      </c>
      <c r="N12" t="n">
        <v>3424.960832924276</v>
      </c>
    </row>
    <row r="13">
      <c r="A13" s="1" t="n">
        <v>44945</v>
      </c>
      <c r="B13">
        <f>SUMIFS(ALL_PAIRS!$H:$H,ALL_PAIRS!$A:$A,$A13)</f>
        <v/>
      </c>
      <c r="C13">
        <f>AVERAGEIFS(ALL_PAIRS!$Q:$Q,ALL_PAIRS!$A:$A,$A13)</f>
        <v/>
      </c>
      <c r="D13" t="n">
        <v>0.0045</v>
      </c>
      <c r="E13">
        <f>C13+D13</f>
        <v/>
      </c>
      <c r="F13">
        <f>B13*E13/252</f>
        <v/>
      </c>
      <c r="G13">
        <f>SUMIFS(ALL_PAIRS!$R:$R,ALL_PAIRS!$A:$A,$A13)</f>
        <v/>
      </c>
      <c r="H13" t="n">
        <v>0</v>
      </c>
      <c r="I13" t="n">
        <v>0</v>
      </c>
      <c r="J13">
        <f>H13+I13</f>
        <v/>
      </c>
      <c r="K13">
        <f>SUMIFS(ALL_PAIRS!$S:$S,ALL_PAIRS!$A:$A,$A13)</f>
        <v/>
      </c>
      <c r="L13">
        <f>K13-F13-G13</f>
        <v/>
      </c>
      <c r="M13" t="n">
        <v>-41244.9</v>
      </c>
      <c r="N13" t="n">
        <v>3376.423472299277</v>
      </c>
    </row>
    <row r="14">
      <c r="A14" s="1" t="n">
        <v>44946</v>
      </c>
      <c r="B14">
        <f>SUMIFS(ALL_PAIRS!$H:$H,ALL_PAIRS!$A:$A,$A14)</f>
        <v/>
      </c>
      <c r="C14">
        <f>AVERAGEIFS(ALL_PAIRS!$Q:$Q,ALL_PAIRS!$A:$A,$A14)</f>
        <v/>
      </c>
      <c r="D14" t="n">
        <v>0.0045</v>
      </c>
      <c r="E14">
        <f>C14+D14</f>
        <v/>
      </c>
      <c r="F14">
        <f>B14*E14/252</f>
        <v/>
      </c>
      <c r="G14">
        <f>SUMIFS(ALL_PAIRS!$R:$R,ALL_PAIRS!$A:$A,$A14)</f>
        <v/>
      </c>
      <c r="H14" t="n">
        <v>188.8748328151705</v>
      </c>
      <c r="I14" t="n">
        <v>0</v>
      </c>
      <c r="J14">
        <f>H14+I14</f>
        <v/>
      </c>
      <c r="K14">
        <f>SUMIFS(ALL_PAIRS!$S:$S,ALL_PAIRS!$A:$A,$A14)</f>
        <v/>
      </c>
      <c r="L14">
        <f>K14-F14-G14</f>
        <v/>
      </c>
      <c r="M14" t="n">
        <v>309925.66</v>
      </c>
      <c r="N14" t="n">
        <v>3758.945934854099</v>
      </c>
    </row>
    <row r="15">
      <c r="A15" s="1" t="n">
        <v>44949</v>
      </c>
      <c r="B15">
        <f>SUMIFS(ALL_PAIRS!$H:$H,ALL_PAIRS!$A:$A,$A15)</f>
        <v/>
      </c>
      <c r="C15">
        <f>AVERAGEIFS(ALL_PAIRS!$Q:$Q,ALL_PAIRS!$A:$A,$A15)</f>
        <v/>
      </c>
      <c r="D15" t="n">
        <v>0.0045</v>
      </c>
      <c r="E15">
        <f>C15+D15</f>
        <v/>
      </c>
      <c r="F15">
        <f>B15*E15/252</f>
        <v/>
      </c>
      <c r="G15">
        <f>SUMIFS(ALL_PAIRS!$R:$R,ALL_PAIRS!$A:$A,$A15)</f>
        <v/>
      </c>
      <c r="H15" t="n">
        <v>0</v>
      </c>
      <c r="I15" t="n">
        <v>0</v>
      </c>
      <c r="J15">
        <f>H15+I15</f>
        <v/>
      </c>
      <c r="K15">
        <f>SUMIFS(ALL_PAIRS!$S:$S,ALL_PAIRS!$A:$A,$A15)</f>
        <v/>
      </c>
      <c r="L15">
        <f>K15-F15-G15</f>
        <v/>
      </c>
      <c r="M15" t="n">
        <v>186626.52</v>
      </c>
      <c r="N15" t="n">
        <v>3623.920680281299</v>
      </c>
    </row>
    <row r="16">
      <c r="A16" s="1" t="n">
        <v>44950</v>
      </c>
      <c r="B16">
        <f>SUMIFS(ALL_PAIRS!$H:$H,ALL_PAIRS!$A:$A,$A16)</f>
        <v/>
      </c>
      <c r="C16">
        <f>AVERAGEIFS(ALL_PAIRS!$Q:$Q,ALL_PAIRS!$A:$A,$A16)</f>
        <v/>
      </c>
      <c r="D16" t="n">
        <v>0.0045</v>
      </c>
      <c r="E16">
        <f>C16+D16</f>
        <v/>
      </c>
      <c r="F16">
        <f>B16*E16/252</f>
        <v/>
      </c>
      <c r="G16">
        <f>SUMIFS(ALL_PAIRS!$R:$R,ALL_PAIRS!$A:$A,$A16)</f>
        <v/>
      </c>
      <c r="H16" t="n">
        <v>0</v>
      </c>
      <c r="I16" t="n">
        <v>0</v>
      </c>
      <c r="J16">
        <f>H16+I16</f>
        <v/>
      </c>
      <c r="K16">
        <f>SUMIFS(ALL_PAIRS!$S:$S,ALL_PAIRS!$A:$A,$A16)</f>
        <v/>
      </c>
      <c r="L16">
        <f>K16-F16-G16</f>
        <v/>
      </c>
      <c r="M16" t="n">
        <v>-80588.47</v>
      </c>
      <c r="N16" t="n">
        <v>3640.103344539792</v>
      </c>
    </row>
    <row r="17">
      <c r="A17" s="1" t="n">
        <v>44951</v>
      </c>
      <c r="B17">
        <f>SUMIFS(ALL_PAIRS!$H:$H,ALL_PAIRS!$A:$A,$A17)</f>
        <v/>
      </c>
      <c r="C17">
        <f>AVERAGEIFS(ALL_PAIRS!$Q:$Q,ALL_PAIRS!$A:$A,$A17)</f>
        <v/>
      </c>
      <c r="D17" t="n">
        <v>0.0045</v>
      </c>
      <c r="E17">
        <f>C17+D17</f>
        <v/>
      </c>
      <c r="F17">
        <f>B17*E17/252</f>
        <v/>
      </c>
      <c r="G17">
        <f>SUMIFS(ALL_PAIRS!$R:$R,ALL_PAIRS!$A:$A,$A17)</f>
        <v/>
      </c>
      <c r="H17" t="n">
        <v>0</v>
      </c>
      <c r="I17" t="n">
        <v>0</v>
      </c>
      <c r="J17">
        <f>H17+I17</f>
        <v/>
      </c>
      <c r="K17">
        <f>SUMIFS(ALL_PAIRS!$S:$S,ALL_PAIRS!$A:$A,$A17)</f>
        <v/>
      </c>
      <c r="L17">
        <f>K17-F17-G17</f>
        <v/>
      </c>
      <c r="M17" t="n">
        <v>-31680.71</v>
      </c>
      <c r="N17" t="n">
        <v>3648.3890437921</v>
      </c>
    </row>
    <row r="18">
      <c r="A18" s="1" t="n">
        <v>44952</v>
      </c>
      <c r="B18">
        <f>SUMIFS(ALL_PAIRS!$H:$H,ALL_PAIRS!$A:$A,$A18)</f>
        <v/>
      </c>
      <c r="C18">
        <f>AVERAGEIFS(ALL_PAIRS!$Q:$Q,ALL_PAIRS!$A:$A,$A18)</f>
        <v/>
      </c>
      <c r="D18" t="n">
        <v>0.0045</v>
      </c>
      <c r="E18">
        <f>C18+D18</f>
        <v/>
      </c>
      <c r="F18">
        <f>B18*E18/252</f>
        <v/>
      </c>
      <c r="G18">
        <f>SUMIFS(ALL_PAIRS!$R:$R,ALL_PAIRS!$A:$A,$A18)</f>
        <v/>
      </c>
      <c r="H18" t="n">
        <v>0</v>
      </c>
      <c r="I18" t="n">
        <v>0</v>
      </c>
      <c r="J18">
        <f>H18+I18</f>
        <v/>
      </c>
      <c r="K18">
        <f>SUMIFS(ALL_PAIRS!$S:$S,ALL_PAIRS!$A:$A,$A18)</f>
        <v/>
      </c>
      <c r="L18">
        <f>K18-F18-G18</f>
        <v/>
      </c>
      <c r="M18" t="n">
        <v>112812.23</v>
      </c>
      <c r="N18" t="n">
        <v>3590.118642619345</v>
      </c>
    </row>
    <row r="19">
      <c r="A19" s="1" t="n">
        <v>44953</v>
      </c>
      <c r="B19">
        <f>SUMIFS(ALL_PAIRS!$H:$H,ALL_PAIRS!$A:$A,$A19)</f>
        <v/>
      </c>
      <c r="C19">
        <f>AVERAGEIFS(ALL_PAIRS!$Q:$Q,ALL_PAIRS!$A:$A,$A19)</f>
        <v/>
      </c>
      <c r="D19" t="n">
        <v>0.0045</v>
      </c>
      <c r="E19">
        <f>C19+D19</f>
        <v/>
      </c>
      <c r="F19">
        <f>B19*E19/252</f>
        <v/>
      </c>
      <c r="G19">
        <f>SUMIFS(ALL_PAIRS!$R:$R,ALL_PAIRS!$A:$A,$A19)</f>
        <v/>
      </c>
      <c r="H19" t="n">
        <v>6125.635589772224</v>
      </c>
      <c r="I19" t="n">
        <v>0</v>
      </c>
      <c r="J19">
        <f>H19+I19</f>
        <v/>
      </c>
      <c r="K19">
        <f>SUMIFS(ALL_PAIRS!$S:$S,ALL_PAIRS!$A:$A,$A19)</f>
        <v/>
      </c>
      <c r="L19">
        <f>K19-F19-G19</f>
        <v/>
      </c>
      <c r="M19" t="n">
        <v>208143</v>
      </c>
      <c r="N19" t="n">
        <v>10001.25905453105</v>
      </c>
    </row>
    <row r="20">
      <c r="A20" s="1" t="n">
        <v>44956</v>
      </c>
      <c r="B20">
        <f>SUMIFS(ALL_PAIRS!$H:$H,ALL_PAIRS!$A:$A,$A20)</f>
        <v/>
      </c>
      <c r="C20">
        <f>AVERAGEIFS(ALL_PAIRS!$Q:$Q,ALL_PAIRS!$A:$A,$A20)</f>
        <v/>
      </c>
      <c r="D20" t="n">
        <v>0.0045</v>
      </c>
      <c r="E20">
        <f>C20+D20</f>
        <v/>
      </c>
      <c r="F20">
        <f>B20*E20/252</f>
        <v/>
      </c>
      <c r="G20">
        <f>SUMIFS(ALL_PAIRS!$R:$R,ALL_PAIRS!$A:$A,$A20)</f>
        <v/>
      </c>
      <c r="H20" t="n">
        <v>0</v>
      </c>
      <c r="I20" t="n">
        <v>0</v>
      </c>
      <c r="J20">
        <f>H20+I20</f>
        <v/>
      </c>
      <c r="K20">
        <f>SUMIFS(ALL_PAIRS!$S:$S,ALL_PAIRS!$A:$A,$A20)</f>
        <v/>
      </c>
      <c r="L20">
        <f>K20-F20-G20</f>
        <v/>
      </c>
      <c r="M20" t="n">
        <v>-260217.76</v>
      </c>
      <c r="N20" t="n">
        <v>3482.258127139678</v>
      </c>
    </row>
    <row r="21">
      <c r="A21" s="1" t="n">
        <v>44957</v>
      </c>
      <c r="B21">
        <f>SUMIFS(ALL_PAIRS!$H:$H,ALL_PAIRS!$A:$A,$A21)</f>
        <v/>
      </c>
      <c r="C21">
        <f>AVERAGEIFS(ALL_PAIRS!$Q:$Q,ALL_PAIRS!$A:$A,$A21)</f>
        <v/>
      </c>
      <c r="D21" t="n">
        <v>0.0045</v>
      </c>
      <c r="E21">
        <f>C21+D21</f>
        <v/>
      </c>
      <c r="F21">
        <f>B21*E21/252</f>
        <v/>
      </c>
      <c r="G21">
        <f>SUMIFS(ALL_PAIRS!$R:$R,ALL_PAIRS!$A:$A,$A21)</f>
        <v/>
      </c>
      <c r="H21" t="n">
        <v>0</v>
      </c>
      <c r="I21" t="n">
        <v>0</v>
      </c>
      <c r="J21">
        <f>H21+I21</f>
        <v/>
      </c>
      <c r="K21">
        <f>SUMIFS(ALL_PAIRS!$S:$S,ALL_PAIRS!$A:$A,$A21)</f>
        <v/>
      </c>
      <c r="L21">
        <f>K21-F21-G21</f>
        <v/>
      </c>
      <c r="M21" t="n">
        <v>174193.43</v>
      </c>
      <c r="N21" t="n">
        <v>3493.464158675983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2026-04-21T16:55:21Z</dcterms:created>
  <dcterms:modified xmlns:dcterms="http://purl.org/dc/terms/" xmlns:xsi="http://www.w3.org/2001/XMLSchema-instance" xsi:type="dcterms:W3CDTF">2026-04-21T16:55:21Z</dcterms:modified>
</cp:coreProperties>
</file>