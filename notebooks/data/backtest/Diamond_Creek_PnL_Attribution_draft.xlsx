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rdn\Downloads\"/>
    </mc:Choice>
  </mc:AlternateContent>
  <xr:revisionPtr revIDLastSave="0" documentId="13_ncr:1_{2D19A0D7-5552-4BD7-BEEA-74EA6FB4B506}" xr6:coauthVersionLast="47" xr6:coauthVersionMax="47" xr10:uidLastSave="{00000000-0000-0000-0000-000000000000}"/>
  <bookViews>
    <workbookView xWindow="2580" yWindow="2920" windowWidth="19980" windowHeight="10720" xr2:uid="{00000000-000D-0000-FFFF-FFFF00000000}"/>
  </bookViews>
  <sheets>
    <sheet name="monthly_attribution" sheetId="1" r:id="rId1"/>
    <sheet name="summary" sheetId="2" r:id="rId2"/>
    <sheet name="daily_pnl_active_pairs" sheetId="3" r:id="rId3"/>
  </sheets>
  <definedNames>
    <definedName name="_xlnm._FilterDatabase" localSheetId="2" hidden="1">daily_pnl_active_pairs!$B$1:$B$815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L2" i="2"/>
  <c r="K2" i="2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2" i="1"/>
  <c r="O3" i="1"/>
  <c r="O4" i="1"/>
  <c r="B815" i="3"/>
  <c r="H2" i="2"/>
  <c r="G2" i="2"/>
  <c r="F2" i="2"/>
  <c r="E2" i="2"/>
  <c r="D2" i="2"/>
  <c r="I3" i="2" s="1"/>
  <c r="C2" i="2"/>
  <c r="B2" i="2"/>
  <c r="P41" i="1"/>
  <c r="N41" i="1"/>
  <c r="M41" i="1"/>
  <c r="O41" i="1" s="1"/>
  <c r="J41" i="1"/>
  <c r="I41" i="1"/>
  <c r="H41" i="1"/>
  <c r="G41" i="1"/>
  <c r="F41" i="1"/>
  <c r="E41" i="1"/>
  <c r="D41" i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M2" i="2" l="1"/>
  <c r="I2" i="2"/>
  <c r="J2" i="2" s="1"/>
  <c r="N2" i="2" s="1"/>
  <c r="R2" i="1"/>
  <c r="L2" i="1"/>
  <c r="L41" i="1" s="1"/>
  <c r="K41" i="1"/>
</calcChain>
</file>

<file path=xl/sharedStrings.xml><?xml version="1.0" encoding="utf-8"?>
<sst xmlns="http://schemas.openxmlformats.org/spreadsheetml/2006/main" count="113" uniqueCount="63">
  <si>
    <t>portfolio</t>
  </si>
  <si>
    <t>month</t>
  </si>
  <si>
    <t>benchmark_rate</t>
  </si>
  <si>
    <t>long_trading_pnl</t>
  </si>
  <si>
    <t>short_trading_pnl</t>
  </si>
  <si>
    <t>txn_costs</t>
  </si>
  <si>
    <t>borrow_costs</t>
  </si>
  <si>
    <t>margin_interest</t>
  </si>
  <si>
    <t>base_total_costs</t>
  </si>
  <si>
    <t>reconciliation_other_costs</t>
  </si>
  <si>
    <t>total_costs</t>
  </si>
  <si>
    <t>net_pnl</t>
  </si>
  <si>
    <t>lp_mgmt_fee_2_20</t>
  </si>
  <si>
    <t>lp_perf_fee_2_20</t>
  </si>
  <si>
    <t>lp_total_fees</t>
  </si>
  <si>
    <t>fee_compounding_drag</t>
  </si>
  <si>
    <t>Diamond Creek Fund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</si>
  <si>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</si>
  <si>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</si>
  <si>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</si>
  <si>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</si>
  <si>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</si>
  <si>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</si>
  <si>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</si>
  <si>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</si>
  <si>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</si>
  <si>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</si>
  <si>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</si>
  <si>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</si>
  <si>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</si>
  <si>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</si>
  <si>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</si>
  <si>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</si>
  <si>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</si>
  <si>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</si>
  <si>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</si>
  <si>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</si>
  <si>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</si>
  <si>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</si>
  <si>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</si>
  <si>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</si>
  <si>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</si>
  <si>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</si>
  <si>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</si>
  <si>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</si>
  <si>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</si>
  <si>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</si>
  <si>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</si>
  <si>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</si>
  <si>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</si>
  <si>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</si>
  <si>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</si>
  <si>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</si>
  <si>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</si>
  <si>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</si>
  <si>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</si>
  <si>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txn_costs_paid</t>
  </si>
  <si>
    <t>borrow_and_short_sale_rebate</t>
  </si>
  <si>
    <t>lp_total_fee_2_20</t>
  </si>
  <si>
    <t>net_pnl_after_2_20</t>
  </si>
  <si>
    <t>date</t>
  </si>
  <si>
    <t>net_pnl_before_lp_fees</t>
  </si>
  <si>
    <t>active_pairs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</si>
</sst>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topLeftCell="D1" zoomScale="80" workbookViewId="0">
      <selection activeCell="K5" sqref="K5"/>
    </sheetView>
  </sheetViews>
  <sheetFormatPr defaultRowHeight="14.5" x14ac:dyDescent="0.35"/>
  <cols>
    <col min="1" max="1" width="18.453125" bestFit="1" customWidth="1"/>
    <col min="2" max="2" width="7.453125" bestFit="1" customWidth="1"/>
    <col min="3" max="3" width="14.81640625" bestFit="1" customWidth="1"/>
    <col min="4" max="4" width="15.08984375" bestFit="1" customWidth="1"/>
    <col min="5" max="5" width="16" bestFit="1" customWidth="1"/>
    <col min="6" max="6" width="13.54296875" bestFit="1" customWidth="1"/>
    <col min="7" max="7" width="12.26953125" bestFit="1" customWidth="1"/>
    <col min="8" max="8" width="14.26953125" bestFit="1" customWidth="1"/>
    <col min="9" max="9" width="15.08984375" bestFit="1" customWidth="1"/>
    <col min="10" max="10" width="23.26953125" bestFit="1" customWidth="1"/>
    <col min="11" max="11" width="10.453125" bestFit="1" customWidth="1"/>
    <col min="12" max="12" width="10.81640625" bestFit="1" customWidth="1"/>
    <col min="13" max="13" width="11.90625" bestFit="1" customWidth="1"/>
    <col min="14" max="14" width="10.453125" bestFit="1" customWidth="1"/>
    <col min="15" max="16" width="11.81640625" bestFit="1" customWidth="1"/>
    <col min="17" max="17" width="20.8164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</v>
      </c>
      <c r="Q1" s="1" t="s">
        <v>15</v>
      </c>
    </row>
    <row r="2" spans="1:18" x14ac:dyDescent="0.35">
      <c r="A2" t="s">
        <v>16</v>
      </c>
      <c r="B2" t="s">
        <v>17</v>
      </c>
      <c r="C2">
        <v>4.3200000000000002E-2</v>
      </c>
      <c r="D2">
        <v>6175027.7300000004</v>
      </c>
      <c r="E2">
        <v>-4928985.34</v>
      </c>
      <c r="F2">
        <v>13517.74</v>
      </c>
      <c r="G2">
        <v>10515.61313076487</v>
      </c>
      <c r="H2">
        <v>53870.58</v>
      </c>
      <c r="I2">
        <v>77903.94</v>
      </c>
      <c r="J2">
        <v>-261829.08</v>
      </c>
      <c r="K2">
        <f t="shared" ref="K2:K40" si="0">F2+G2+H2+J2</f>
        <v>-183925.14686923512</v>
      </c>
      <c r="L2">
        <f t="shared" ref="L2:L40" si="1">D2+E2-K2</f>
        <v>1429967.5368692358</v>
      </c>
      <c r="M2">
        <v>0</v>
      </c>
      <c r="N2">
        <v>0</v>
      </c>
      <c r="O2">
        <f t="shared" ref="O2:O41" si="2">M2+N2</f>
        <v>0</v>
      </c>
      <c r="P2">
        <v>1437503.99</v>
      </c>
      <c r="Q2">
        <v>-7536.46</v>
      </c>
      <c r="R2">
        <f>D2+E2-K2</f>
        <v>1429967.5368692358</v>
      </c>
    </row>
    <row r="3" spans="1:18" x14ac:dyDescent="0.35">
      <c r="A3" t="s">
        <v>16</v>
      </c>
      <c r="B3" t="s">
        <v>18</v>
      </c>
      <c r="C3">
        <v>4.5699999999999998E-2</v>
      </c>
      <c r="D3">
        <v>1025707.23</v>
      </c>
      <c r="E3">
        <v>-462037.04</v>
      </c>
      <c r="F3">
        <v>2805.43</v>
      </c>
      <c r="G3">
        <v>10769.092436107339</v>
      </c>
      <c r="H3">
        <v>59607.03</v>
      </c>
      <c r="I3">
        <v>73181.539999999994</v>
      </c>
      <c r="J3">
        <v>0</v>
      </c>
      <c r="K3">
        <f t="shared" si="0"/>
        <v>73181.552436107333</v>
      </c>
      <c r="L3">
        <f t="shared" si="1"/>
        <v>490488.63756389264</v>
      </c>
      <c r="M3">
        <v>0</v>
      </c>
      <c r="N3">
        <v>0</v>
      </c>
      <c r="O3">
        <f t="shared" si="2"/>
        <v>0</v>
      </c>
      <c r="P3">
        <v>493073.7</v>
      </c>
      <c r="Q3">
        <v>-2585.0500000000002</v>
      </c>
    </row>
    <row r="4" spans="1:18" x14ac:dyDescent="0.35">
      <c r="A4" t="s">
        <v>16</v>
      </c>
      <c r="B4" t="s">
        <v>19</v>
      </c>
      <c r="C4">
        <v>4.82E-2</v>
      </c>
      <c r="D4">
        <v>4277165.07</v>
      </c>
      <c r="E4">
        <v>-3408038.41</v>
      </c>
      <c r="F4">
        <v>14776.34</v>
      </c>
      <c r="G4">
        <v>13421.04818385842</v>
      </c>
      <c r="H4">
        <v>76475.039999999994</v>
      </c>
      <c r="I4">
        <v>104672.43</v>
      </c>
      <c r="J4">
        <v>0</v>
      </c>
      <c r="K4">
        <f t="shared" si="0"/>
        <v>104672.42818385841</v>
      </c>
      <c r="L4">
        <f t="shared" si="1"/>
        <v>764454.23181614175</v>
      </c>
      <c r="M4">
        <v>50000</v>
      </c>
      <c r="N4">
        <v>389277</v>
      </c>
      <c r="O4">
        <f>M4+N4</f>
        <v>439277</v>
      </c>
      <c r="P4">
        <v>315055.71999999997</v>
      </c>
      <c r="Q4">
        <v>-51761.82</v>
      </c>
    </row>
    <row r="5" spans="1:18" x14ac:dyDescent="0.35">
      <c r="A5" t="s">
        <v>16</v>
      </c>
      <c r="B5" t="s">
        <v>20</v>
      </c>
      <c r="C5">
        <v>4.8099999999999997E-2</v>
      </c>
      <c r="D5">
        <v>-377747.97</v>
      </c>
      <c r="E5">
        <v>522858.91</v>
      </c>
      <c r="F5">
        <v>1740.26</v>
      </c>
      <c r="G5">
        <v>10789.462650930551</v>
      </c>
      <c r="H5">
        <v>68438.98</v>
      </c>
      <c r="I5">
        <v>80968.710000000006</v>
      </c>
      <c r="J5">
        <v>-0.02</v>
      </c>
      <c r="K5">
        <f t="shared" si="0"/>
        <v>80968.682650930539</v>
      </c>
      <c r="L5">
        <f t="shared" si="1"/>
        <v>64142.257349069463</v>
      </c>
      <c r="M5">
        <v>0</v>
      </c>
      <c r="N5">
        <v>0</v>
      </c>
      <c r="O5">
        <f t="shared" si="2"/>
        <v>0</v>
      </c>
      <c r="P5">
        <v>638.91999999999996</v>
      </c>
      <c r="Q5">
        <v>63503.32</v>
      </c>
    </row>
    <row r="6" spans="1:18" x14ac:dyDescent="0.35">
      <c r="A6" t="s">
        <v>16</v>
      </c>
      <c r="B6" t="s">
        <v>21</v>
      </c>
      <c r="C6">
        <v>5.0700000000000002E-2</v>
      </c>
      <c r="D6">
        <v>4177917.47</v>
      </c>
      <c r="E6">
        <v>-3020017.6</v>
      </c>
      <c r="F6">
        <v>2089.41</v>
      </c>
      <c r="G6">
        <v>12230.270008278179</v>
      </c>
      <c r="H6">
        <v>86318.25</v>
      </c>
      <c r="I6">
        <v>100637.93</v>
      </c>
      <c r="J6">
        <v>0</v>
      </c>
      <c r="K6">
        <f t="shared" si="0"/>
        <v>100637.93000827818</v>
      </c>
      <c r="L6">
        <f t="shared" si="1"/>
        <v>1057261.9399917219</v>
      </c>
      <c r="M6">
        <v>0</v>
      </c>
      <c r="N6">
        <v>0</v>
      </c>
      <c r="O6">
        <f t="shared" si="2"/>
        <v>0</v>
      </c>
      <c r="P6">
        <v>1019760.56</v>
      </c>
      <c r="Q6">
        <v>37501.379999999997</v>
      </c>
    </row>
    <row r="7" spans="1:18" x14ac:dyDescent="0.35">
      <c r="A7" t="s">
        <v>16</v>
      </c>
      <c r="B7" t="s">
        <v>22</v>
      </c>
      <c r="C7">
        <v>5.0700000000000002E-2</v>
      </c>
      <c r="D7">
        <v>3089532.94</v>
      </c>
      <c r="E7">
        <v>-2282650.67</v>
      </c>
      <c r="F7">
        <v>12564.01</v>
      </c>
      <c r="G7">
        <v>13833.451405381489</v>
      </c>
      <c r="H7">
        <v>88452.93</v>
      </c>
      <c r="I7">
        <v>114850.4</v>
      </c>
      <c r="J7">
        <v>-0.02</v>
      </c>
      <c r="K7">
        <f t="shared" si="0"/>
        <v>114850.37140538148</v>
      </c>
      <c r="L7">
        <f t="shared" si="1"/>
        <v>692031.89859461854</v>
      </c>
      <c r="M7">
        <v>63177.83</v>
      </c>
      <c r="N7">
        <v>362006.86</v>
      </c>
      <c r="O7">
        <f t="shared" si="2"/>
        <v>425184.69</v>
      </c>
      <c r="P7">
        <v>367851.91</v>
      </c>
      <c r="Q7">
        <v>-37133.08</v>
      </c>
    </row>
    <row r="8" spans="1:18" x14ac:dyDescent="0.35">
      <c r="A8" t="s">
        <v>16</v>
      </c>
      <c r="B8" t="s">
        <v>23</v>
      </c>
      <c r="C8">
        <v>5.3199999999999997E-2</v>
      </c>
      <c r="D8">
        <v>4655036.32</v>
      </c>
      <c r="E8">
        <v>-3620840.6</v>
      </c>
      <c r="F8">
        <v>9830.9500000000007</v>
      </c>
      <c r="G8">
        <v>15332.878294548251</v>
      </c>
      <c r="H8">
        <v>90902.94</v>
      </c>
      <c r="I8">
        <v>116066.77</v>
      </c>
      <c r="J8">
        <v>-0.01</v>
      </c>
      <c r="K8">
        <f t="shared" si="0"/>
        <v>116066.75829454826</v>
      </c>
      <c r="L8">
        <f t="shared" si="1"/>
        <v>918128.96170545195</v>
      </c>
      <c r="M8">
        <v>0</v>
      </c>
      <c r="N8">
        <v>0</v>
      </c>
      <c r="O8">
        <f t="shared" si="2"/>
        <v>0</v>
      </c>
      <c r="P8">
        <v>794017.05</v>
      </c>
      <c r="Q8">
        <v>124111.91</v>
      </c>
    </row>
    <row r="9" spans="1:18" x14ac:dyDescent="0.35">
      <c r="A9" t="s">
        <v>16</v>
      </c>
      <c r="B9" t="s">
        <v>24</v>
      </c>
      <c r="C9">
        <v>5.3199999999999997E-2</v>
      </c>
      <c r="D9">
        <v>-1574959.47</v>
      </c>
      <c r="E9">
        <v>1462011.9</v>
      </c>
      <c r="F9">
        <v>7841</v>
      </c>
      <c r="G9">
        <v>15891.271539560241</v>
      </c>
      <c r="H9">
        <v>103551.64</v>
      </c>
      <c r="I9">
        <v>127283.91</v>
      </c>
      <c r="J9">
        <v>0.01</v>
      </c>
      <c r="K9">
        <f t="shared" si="0"/>
        <v>127283.92153956024</v>
      </c>
      <c r="L9">
        <f t="shared" si="1"/>
        <v>-240231.49153956032</v>
      </c>
      <c r="M9">
        <v>0</v>
      </c>
      <c r="N9">
        <v>0</v>
      </c>
      <c r="O9">
        <f t="shared" si="2"/>
        <v>0</v>
      </c>
      <c r="P9">
        <v>-225593.94</v>
      </c>
      <c r="Q9">
        <v>-14637.55</v>
      </c>
    </row>
    <row r="10" spans="1:18" x14ac:dyDescent="0.35">
      <c r="A10" t="s">
        <v>16</v>
      </c>
      <c r="B10" t="s">
        <v>25</v>
      </c>
      <c r="C10">
        <v>5.3199999999999997E-2</v>
      </c>
      <c r="D10">
        <v>-2650360.6</v>
      </c>
      <c r="E10">
        <v>2388335.4300000002</v>
      </c>
      <c r="F10">
        <v>12320.72</v>
      </c>
      <c r="G10">
        <v>14686.00828946519</v>
      </c>
      <c r="H10">
        <v>98059.74</v>
      </c>
      <c r="I10">
        <v>125066.46</v>
      </c>
      <c r="J10">
        <v>-3201.85</v>
      </c>
      <c r="K10">
        <f t="shared" si="0"/>
        <v>121864.61828946519</v>
      </c>
      <c r="L10">
        <f t="shared" si="1"/>
        <v>-383889.78828946513</v>
      </c>
      <c r="M10">
        <v>71885.98</v>
      </c>
      <c r="N10">
        <v>51919.49</v>
      </c>
      <c r="O10">
        <f t="shared" si="2"/>
        <v>123805.47</v>
      </c>
      <c r="P10">
        <v>-398220.9</v>
      </c>
      <c r="Q10">
        <v>-95088.15</v>
      </c>
    </row>
    <row r="11" spans="1:18" x14ac:dyDescent="0.35">
      <c r="A11" t="s">
        <v>16</v>
      </c>
      <c r="B11" t="s">
        <v>26</v>
      </c>
      <c r="C11">
        <v>5.3199999999999997E-2</v>
      </c>
      <c r="D11">
        <v>-1089517.08</v>
      </c>
      <c r="E11">
        <v>1165627.6200000001</v>
      </c>
      <c r="F11">
        <v>5396.02</v>
      </c>
      <c r="G11">
        <v>15364.67393488543</v>
      </c>
      <c r="H11">
        <v>103212.84</v>
      </c>
      <c r="I11">
        <v>123973.53</v>
      </c>
      <c r="J11">
        <v>-785.89</v>
      </c>
      <c r="K11">
        <f t="shared" si="0"/>
        <v>123187.64393488543</v>
      </c>
      <c r="L11">
        <f t="shared" si="1"/>
        <v>-47077.103934885396</v>
      </c>
      <c r="M11">
        <v>0</v>
      </c>
      <c r="N11">
        <v>0</v>
      </c>
      <c r="O11">
        <f t="shared" si="2"/>
        <v>0</v>
      </c>
      <c r="P11">
        <v>-112888.14</v>
      </c>
      <c r="Q11">
        <v>65811.039999999994</v>
      </c>
    </row>
    <row r="12" spans="1:18" x14ac:dyDescent="0.35">
      <c r="A12" t="s">
        <v>16</v>
      </c>
      <c r="B12" t="s">
        <v>27</v>
      </c>
      <c r="C12">
        <v>5.3199999999999997E-2</v>
      </c>
      <c r="D12">
        <v>6656629.5099999998</v>
      </c>
      <c r="E12">
        <v>-5301135.22</v>
      </c>
      <c r="F12">
        <v>16198.97</v>
      </c>
      <c r="G12">
        <v>20683.130336452708</v>
      </c>
      <c r="H12">
        <v>102585.16</v>
      </c>
      <c r="I12">
        <v>139467.26</v>
      </c>
      <c r="J12">
        <v>0.02</v>
      </c>
      <c r="K12">
        <f t="shared" si="0"/>
        <v>139467.28033645271</v>
      </c>
      <c r="L12">
        <f t="shared" si="1"/>
        <v>1216027.0096635474</v>
      </c>
      <c r="M12">
        <v>0</v>
      </c>
      <c r="N12">
        <v>0</v>
      </c>
      <c r="O12">
        <f t="shared" si="2"/>
        <v>0</v>
      </c>
      <c r="P12">
        <v>1133127.22</v>
      </c>
      <c r="Q12">
        <v>82899.789999999994</v>
      </c>
    </row>
    <row r="13" spans="1:18" x14ac:dyDescent="0.35">
      <c r="A13" t="s">
        <v>16</v>
      </c>
      <c r="B13" t="s">
        <v>28</v>
      </c>
      <c r="C13">
        <v>5.3199999999999997E-2</v>
      </c>
      <c r="D13">
        <v>3916545.9</v>
      </c>
      <c r="E13">
        <v>-2929109.4</v>
      </c>
      <c r="F13">
        <v>11133.69</v>
      </c>
      <c r="G13">
        <v>22636.559352310142</v>
      </c>
      <c r="H13">
        <v>102413.47</v>
      </c>
      <c r="I13">
        <v>136183.72</v>
      </c>
      <c r="J13">
        <v>0</v>
      </c>
      <c r="K13">
        <f t="shared" si="0"/>
        <v>136183.71935231015</v>
      </c>
      <c r="L13">
        <f t="shared" si="1"/>
        <v>851252.78064768983</v>
      </c>
      <c r="M13">
        <v>72982.28</v>
      </c>
      <c r="N13">
        <v>463660.22</v>
      </c>
      <c r="O13">
        <f t="shared" si="2"/>
        <v>536642.5</v>
      </c>
      <c r="P13">
        <v>463321.1</v>
      </c>
      <c r="Q13">
        <v>-13300.61</v>
      </c>
    </row>
    <row r="14" spans="1:18" x14ac:dyDescent="0.35">
      <c r="A14" t="s">
        <v>16</v>
      </c>
      <c r="B14" t="s">
        <v>29</v>
      </c>
      <c r="C14">
        <v>5.3199999999999997E-2</v>
      </c>
      <c r="D14">
        <v>-305043.63</v>
      </c>
      <c r="E14">
        <v>667084.87</v>
      </c>
      <c r="F14">
        <v>11515.75</v>
      </c>
      <c r="G14">
        <v>20199.38080784812</v>
      </c>
      <c r="H14">
        <v>106895.75</v>
      </c>
      <c r="I14">
        <v>138610.89000000001</v>
      </c>
      <c r="J14">
        <v>2611.7199999999998</v>
      </c>
      <c r="K14">
        <f t="shared" si="0"/>
        <v>141222.60080784812</v>
      </c>
      <c r="L14">
        <f t="shared" si="1"/>
        <v>220818.63919215187</v>
      </c>
      <c r="M14">
        <v>0</v>
      </c>
      <c r="N14">
        <v>0</v>
      </c>
      <c r="O14">
        <f t="shared" si="2"/>
        <v>0</v>
      </c>
      <c r="P14">
        <v>123973</v>
      </c>
      <c r="Q14">
        <v>96845.63</v>
      </c>
    </row>
    <row r="15" spans="1:18" x14ac:dyDescent="0.35">
      <c r="A15" t="s">
        <v>16</v>
      </c>
      <c r="B15" t="s">
        <v>30</v>
      </c>
      <c r="C15">
        <v>5.3199999999999997E-2</v>
      </c>
      <c r="D15">
        <v>8245604.1399999997</v>
      </c>
      <c r="E15">
        <v>-7645741.0899999999</v>
      </c>
      <c r="F15">
        <v>26281.45</v>
      </c>
      <c r="G15">
        <v>21206.120823632231</v>
      </c>
      <c r="H15">
        <v>107740.45</v>
      </c>
      <c r="I15">
        <v>155228.01999999999</v>
      </c>
      <c r="J15">
        <v>0.01</v>
      </c>
      <c r="K15">
        <f t="shared" si="0"/>
        <v>155228.03082363223</v>
      </c>
      <c r="L15">
        <f t="shared" si="1"/>
        <v>444635.01917636755</v>
      </c>
      <c r="M15">
        <v>0</v>
      </c>
      <c r="N15">
        <v>0</v>
      </c>
      <c r="O15">
        <f t="shared" si="2"/>
        <v>0</v>
      </c>
      <c r="P15">
        <v>403543.2</v>
      </c>
      <c r="Q15">
        <v>41091.82</v>
      </c>
    </row>
    <row r="16" spans="1:18" x14ac:dyDescent="0.35">
      <c r="A16" t="s">
        <v>16</v>
      </c>
      <c r="B16" t="s">
        <v>31</v>
      </c>
      <c r="C16">
        <v>5.33E-2</v>
      </c>
      <c r="D16">
        <v>3593427.33</v>
      </c>
      <c r="E16">
        <v>-3152038.85</v>
      </c>
      <c r="F16">
        <v>15965.61</v>
      </c>
      <c r="G16">
        <v>22340.274561138769</v>
      </c>
      <c r="H16">
        <v>110988</v>
      </c>
      <c r="I16">
        <v>149293.89000000001</v>
      </c>
      <c r="J16">
        <v>-565.82000000000005</v>
      </c>
      <c r="K16">
        <f t="shared" si="0"/>
        <v>148728.06456113874</v>
      </c>
      <c r="L16">
        <f t="shared" si="1"/>
        <v>292660.41543886124</v>
      </c>
      <c r="M16">
        <v>82570.06</v>
      </c>
      <c r="N16">
        <v>234414.22000000003</v>
      </c>
      <c r="O16">
        <f t="shared" si="2"/>
        <v>316984.28000000003</v>
      </c>
      <c r="P16">
        <v>113613.59</v>
      </c>
      <c r="Q16">
        <v>-54763.27</v>
      </c>
    </row>
    <row r="17" spans="1:17" x14ac:dyDescent="0.35">
      <c r="A17" t="s">
        <v>16</v>
      </c>
      <c r="B17" t="s">
        <v>32</v>
      </c>
      <c r="C17">
        <v>5.3199999999999997E-2</v>
      </c>
      <c r="D17">
        <v>-2559264.42</v>
      </c>
      <c r="E17">
        <v>2796273.01</v>
      </c>
      <c r="F17">
        <v>21663.200000000001</v>
      </c>
      <c r="G17">
        <v>23861.372107807401</v>
      </c>
      <c r="H17">
        <v>125650.76</v>
      </c>
      <c r="I17">
        <v>171175.33</v>
      </c>
      <c r="J17">
        <v>97.43</v>
      </c>
      <c r="K17">
        <f t="shared" si="0"/>
        <v>171272.76210780739</v>
      </c>
      <c r="L17">
        <f t="shared" si="1"/>
        <v>65735.827892192465</v>
      </c>
      <c r="M17">
        <v>0</v>
      </c>
      <c r="N17">
        <v>0</v>
      </c>
      <c r="O17">
        <f t="shared" si="2"/>
        <v>0</v>
      </c>
      <c r="P17">
        <v>-20842.59</v>
      </c>
      <c r="Q17">
        <v>86578.41</v>
      </c>
    </row>
    <row r="18" spans="1:17" x14ac:dyDescent="0.35">
      <c r="A18" t="s">
        <v>16</v>
      </c>
      <c r="B18" t="s">
        <v>33</v>
      </c>
      <c r="C18">
        <v>5.3199999999999997E-2</v>
      </c>
      <c r="D18">
        <v>4718214.1500000004</v>
      </c>
      <c r="E18">
        <v>-4321509.58</v>
      </c>
      <c r="F18">
        <v>13282.7</v>
      </c>
      <c r="G18">
        <v>22366.82865922997</v>
      </c>
      <c r="H18">
        <v>123884.55</v>
      </c>
      <c r="I18">
        <v>159534.07999999999</v>
      </c>
      <c r="J18">
        <v>0.01</v>
      </c>
      <c r="K18">
        <f t="shared" si="0"/>
        <v>159534.08865922998</v>
      </c>
      <c r="L18">
        <f t="shared" si="1"/>
        <v>237170.48134077032</v>
      </c>
      <c r="M18">
        <v>0</v>
      </c>
      <c r="N18">
        <v>0</v>
      </c>
      <c r="O18">
        <f t="shared" si="2"/>
        <v>0</v>
      </c>
      <c r="P18">
        <v>212151.21</v>
      </c>
      <c r="Q18">
        <v>25019.279999999999</v>
      </c>
    </row>
    <row r="19" spans="1:17" x14ac:dyDescent="0.35">
      <c r="A19" t="s">
        <v>16</v>
      </c>
      <c r="B19" t="s">
        <v>34</v>
      </c>
      <c r="C19">
        <v>5.3199999999999997E-2</v>
      </c>
      <c r="D19">
        <v>2280404.56</v>
      </c>
      <c r="E19">
        <v>-1978972.46</v>
      </c>
      <c r="F19">
        <v>8838.5400000000009</v>
      </c>
      <c r="G19">
        <v>19925.005168509961</v>
      </c>
      <c r="H19">
        <v>109417.03</v>
      </c>
      <c r="I19">
        <v>138180.57</v>
      </c>
      <c r="J19">
        <v>-157.68</v>
      </c>
      <c r="K19">
        <f t="shared" si="0"/>
        <v>138022.89516850997</v>
      </c>
      <c r="L19">
        <f t="shared" si="1"/>
        <v>163409.20483149012</v>
      </c>
      <c r="M19">
        <v>86853.83</v>
      </c>
      <c r="N19">
        <v>107275.77</v>
      </c>
      <c r="O19">
        <f t="shared" si="2"/>
        <v>194129.6</v>
      </c>
      <c r="P19">
        <v>80877.31</v>
      </c>
      <c r="Q19">
        <v>-69289.2</v>
      </c>
    </row>
    <row r="20" spans="1:17" x14ac:dyDescent="0.35">
      <c r="A20" t="s">
        <v>16</v>
      </c>
      <c r="B20" t="s">
        <v>35</v>
      </c>
      <c r="C20">
        <v>5.3199999999999997E-2</v>
      </c>
      <c r="D20">
        <v>695755.12</v>
      </c>
      <c r="E20">
        <v>-373424.44</v>
      </c>
      <c r="F20">
        <v>26372.91</v>
      </c>
      <c r="G20">
        <v>23430.909752873991</v>
      </c>
      <c r="H20">
        <v>123110.31</v>
      </c>
      <c r="I20">
        <v>172914.13</v>
      </c>
      <c r="J20">
        <v>-560.83000000000004</v>
      </c>
      <c r="K20">
        <f t="shared" si="0"/>
        <v>172353.29975287401</v>
      </c>
      <c r="L20">
        <f t="shared" si="1"/>
        <v>149977.38024712598</v>
      </c>
      <c r="M20">
        <v>0</v>
      </c>
      <c r="N20">
        <v>0</v>
      </c>
      <c r="O20">
        <f t="shared" si="2"/>
        <v>0</v>
      </c>
      <c r="P20">
        <v>51944.75</v>
      </c>
      <c r="Q20">
        <v>98032.63</v>
      </c>
    </row>
    <row r="21" spans="1:17" x14ac:dyDescent="0.35">
      <c r="A21" t="s">
        <v>16</v>
      </c>
      <c r="B21" t="s">
        <v>36</v>
      </c>
      <c r="C21">
        <v>5.3199999999999997E-2</v>
      </c>
      <c r="D21">
        <v>-1324725.54</v>
      </c>
      <c r="E21">
        <v>1851536.77</v>
      </c>
      <c r="F21">
        <v>27729.06</v>
      </c>
      <c r="G21">
        <v>22236.834253435842</v>
      </c>
      <c r="H21">
        <v>123891.94</v>
      </c>
      <c r="I21">
        <v>173857.84</v>
      </c>
      <c r="J21">
        <v>-0.01</v>
      </c>
      <c r="K21">
        <f t="shared" si="0"/>
        <v>173857.82425343583</v>
      </c>
      <c r="L21">
        <f t="shared" si="1"/>
        <v>352953.40574656415</v>
      </c>
      <c r="M21">
        <v>0</v>
      </c>
      <c r="N21">
        <v>0</v>
      </c>
      <c r="O21">
        <f t="shared" si="2"/>
        <v>0</v>
      </c>
      <c r="P21">
        <v>312880.5</v>
      </c>
      <c r="Q21">
        <v>40072.9</v>
      </c>
    </row>
    <row r="22" spans="1:17" x14ac:dyDescent="0.35">
      <c r="A22" t="s">
        <v>16</v>
      </c>
      <c r="B22" t="s">
        <v>37</v>
      </c>
      <c r="C22">
        <v>4.8300000000000003E-2</v>
      </c>
      <c r="D22">
        <v>3424784.47</v>
      </c>
      <c r="E22">
        <v>-3627815.7</v>
      </c>
      <c r="F22">
        <v>41410.51</v>
      </c>
      <c r="G22">
        <v>24228.07714728377</v>
      </c>
      <c r="H22">
        <v>112899.22</v>
      </c>
      <c r="I22">
        <v>178537.81</v>
      </c>
      <c r="J22">
        <v>-801.99</v>
      </c>
      <c r="K22">
        <f t="shared" si="0"/>
        <v>177735.81714728379</v>
      </c>
      <c r="L22">
        <f t="shared" si="1"/>
        <v>-380767.0471472838</v>
      </c>
      <c r="M22">
        <v>88693.98</v>
      </c>
      <c r="N22">
        <v>11481.800000000003</v>
      </c>
      <c r="O22">
        <f t="shared" si="2"/>
        <v>100175.78</v>
      </c>
      <c r="P22">
        <v>-342837.3</v>
      </c>
      <c r="Q22">
        <v>-131898.23000000001</v>
      </c>
    </row>
    <row r="23" spans="1:17" x14ac:dyDescent="0.35">
      <c r="A23" t="s">
        <v>16</v>
      </c>
      <c r="B23" t="s">
        <v>38</v>
      </c>
      <c r="C23">
        <v>4.8300000000000003E-2</v>
      </c>
      <c r="D23">
        <v>-204473.58</v>
      </c>
      <c r="E23">
        <v>715956.85</v>
      </c>
      <c r="F23">
        <v>24169.34</v>
      </c>
      <c r="G23">
        <v>53111.210109515232</v>
      </c>
      <c r="H23">
        <v>107694.03</v>
      </c>
      <c r="I23">
        <v>184974.58</v>
      </c>
      <c r="J23">
        <v>-632.87</v>
      </c>
      <c r="K23">
        <f t="shared" si="0"/>
        <v>184341.71010951523</v>
      </c>
      <c r="L23">
        <f t="shared" si="1"/>
        <v>327141.55989048479</v>
      </c>
      <c r="M23">
        <v>0</v>
      </c>
      <c r="N23">
        <v>0</v>
      </c>
      <c r="O23">
        <f t="shared" si="2"/>
        <v>0</v>
      </c>
      <c r="P23">
        <v>207340.25</v>
      </c>
      <c r="Q23">
        <v>119801.31</v>
      </c>
    </row>
    <row r="24" spans="1:17" x14ac:dyDescent="0.35">
      <c r="A24" t="s">
        <v>16</v>
      </c>
      <c r="B24" t="s">
        <v>39</v>
      </c>
      <c r="C24">
        <v>4.58E-2</v>
      </c>
      <c r="D24">
        <v>4461537.6500000004</v>
      </c>
      <c r="E24">
        <v>-4097912.81</v>
      </c>
      <c r="F24">
        <v>33600.370000000003</v>
      </c>
      <c r="G24">
        <v>49473.935936520284</v>
      </c>
      <c r="H24">
        <v>89737.51</v>
      </c>
      <c r="I24">
        <v>172811.81</v>
      </c>
      <c r="J24">
        <v>-549.28</v>
      </c>
      <c r="K24">
        <f t="shared" si="0"/>
        <v>172262.53593652029</v>
      </c>
      <c r="L24">
        <f t="shared" si="1"/>
        <v>191362.30406348003</v>
      </c>
      <c r="M24">
        <v>0</v>
      </c>
      <c r="N24">
        <v>0</v>
      </c>
      <c r="O24">
        <f t="shared" si="2"/>
        <v>0</v>
      </c>
      <c r="P24">
        <v>168732.48</v>
      </c>
      <c r="Q24">
        <v>22629.82</v>
      </c>
    </row>
    <row r="25" spans="1:17" x14ac:dyDescent="0.35">
      <c r="A25" t="s">
        <v>16</v>
      </c>
      <c r="B25" t="s">
        <v>40</v>
      </c>
      <c r="C25">
        <v>4.3299999999999998E-2</v>
      </c>
      <c r="D25">
        <v>441552.01</v>
      </c>
      <c r="E25">
        <v>565375.94999999995</v>
      </c>
      <c r="F25">
        <v>22602.55</v>
      </c>
      <c r="G25">
        <v>54435.335663630161</v>
      </c>
      <c r="H25">
        <v>92236.84</v>
      </c>
      <c r="I25">
        <v>169274.73</v>
      </c>
      <c r="J25">
        <v>-2538.23</v>
      </c>
      <c r="K25">
        <f t="shared" si="0"/>
        <v>166736.49566363016</v>
      </c>
      <c r="L25">
        <f t="shared" si="1"/>
        <v>840191.46433636977</v>
      </c>
      <c r="M25">
        <v>88843.38</v>
      </c>
      <c r="N25">
        <v>369980.57</v>
      </c>
      <c r="O25">
        <f t="shared" si="2"/>
        <v>458823.95</v>
      </c>
      <c r="P25">
        <v>523798.64</v>
      </c>
      <c r="Q25">
        <v>11599.81</v>
      </c>
    </row>
    <row r="26" spans="1:17" x14ac:dyDescent="0.35">
      <c r="A26" t="s">
        <v>16</v>
      </c>
      <c r="B26" t="s">
        <v>41</v>
      </c>
      <c r="C26">
        <v>4.3299999999999998E-2</v>
      </c>
      <c r="D26">
        <v>1576619.23</v>
      </c>
      <c r="E26">
        <v>-679472.51</v>
      </c>
      <c r="F26">
        <v>28622.83</v>
      </c>
      <c r="G26">
        <v>55217.322220046313</v>
      </c>
      <c r="H26">
        <v>90787.1</v>
      </c>
      <c r="I26">
        <v>174627.25</v>
      </c>
      <c r="J26">
        <v>-1001.95</v>
      </c>
      <c r="K26">
        <f t="shared" si="0"/>
        <v>173625.30222004632</v>
      </c>
      <c r="L26">
        <f t="shared" si="1"/>
        <v>723521.41777995368</v>
      </c>
      <c r="M26">
        <v>0</v>
      </c>
      <c r="N26">
        <v>0</v>
      </c>
      <c r="O26">
        <f t="shared" si="2"/>
        <v>0</v>
      </c>
      <c r="P26">
        <v>541211.37</v>
      </c>
      <c r="Q26">
        <v>182310.05</v>
      </c>
    </row>
    <row r="27" spans="1:17" x14ac:dyDescent="0.35">
      <c r="A27" t="s">
        <v>16</v>
      </c>
      <c r="B27" t="s">
        <v>42</v>
      </c>
      <c r="C27">
        <v>4.3299999999999998E-2</v>
      </c>
      <c r="D27">
        <v>-3504685.87</v>
      </c>
      <c r="E27">
        <v>3741178.42</v>
      </c>
      <c r="F27">
        <v>28137.360000000001</v>
      </c>
      <c r="G27">
        <v>54017.390066214262</v>
      </c>
      <c r="H27">
        <v>87863.2</v>
      </c>
      <c r="I27">
        <v>170017.95</v>
      </c>
      <c r="J27">
        <v>0.83</v>
      </c>
      <c r="K27">
        <f t="shared" si="0"/>
        <v>170018.78006621424</v>
      </c>
      <c r="L27">
        <f t="shared" si="1"/>
        <v>66473.769933785574</v>
      </c>
      <c r="M27">
        <v>0</v>
      </c>
      <c r="N27">
        <v>0</v>
      </c>
      <c r="O27">
        <f t="shared" si="2"/>
        <v>0</v>
      </c>
      <c r="P27">
        <v>57589.81</v>
      </c>
      <c r="Q27">
        <v>8883.9599999999991</v>
      </c>
    </row>
    <row r="28" spans="1:17" x14ac:dyDescent="0.35">
      <c r="A28" t="s">
        <v>16</v>
      </c>
      <c r="B28" t="s">
        <v>43</v>
      </c>
      <c r="C28">
        <v>4.3299999999999998E-2</v>
      </c>
      <c r="D28">
        <v>-5059946.96</v>
      </c>
      <c r="E28">
        <v>6724029.9699999997</v>
      </c>
      <c r="F28">
        <v>28796.69</v>
      </c>
      <c r="G28">
        <v>62849.953557252767</v>
      </c>
      <c r="H28">
        <v>98471.62</v>
      </c>
      <c r="I28">
        <v>190118.26</v>
      </c>
      <c r="J28">
        <v>-165.35</v>
      </c>
      <c r="K28">
        <f t="shared" si="0"/>
        <v>189952.91355725276</v>
      </c>
      <c r="L28">
        <f t="shared" si="1"/>
        <v>1474130.0964427469</v>
      </c>
      <c r="M28">
        <v>94960</v>
      </c>
      <c r="N28">
        <v>643255.98</v>
      </c>
      <c r="O28">
        <f t="shared" si="2"/>
        <v>738215.98</v>
      </c>
      <c r="P28">
        <v>927108.12</v>
      </c>
      <c r="Q28">
        <v>103802.05</v>
      </c>
    </row>
    <row r="29" spans="1:17" x14ac:dyDescent="0.35">
      <c r="A29" t="s">
        <v>16</v>
      </c>
      <c r="B29" t="s">
        <v>44</v>
      </c>
      <c r="C29">
        <v>4.3299999999999998E-2</v>
      </c>
      <c r="D29">
        <v>2487733.96</v>
      </c>
      <c r="E29">
        <v>-836488.32</v>
      </c>
      <c r="F29">
        <v>50582.7</v>
      </c>
      <c r="G29">
        <v>78432.928051653202</v>
      </c>
      <c r="H29">
        <v>114404.09</v>
      </c>
      <c r="I29">
        <v>243419.72</v>
      </c>
      <c r="J29">
        <v>400.39</v>
      </c>
      <c r="K29">
        <f t="shared" si="0"/>
        <v>243820.10805165319</v>
      </c>
      <c r="L29">
        <f t="shared" si="1"/>
        <v>1407425.5319483469</v>
      </c>
      <c r="M29">
        <v>0</v>
      </c>
      <c r="N29">
        <v>0</v>
      </c>
      <c r="O29">
        <f t="shared" si="2"/>
        <v>0</v>
      </c>
      <c r="P29">
        <v>1097636.9099999999</v>
      </c>
      <c r="Q29">
        <v>309788.62</v>
      </c>
    </row>
    <row r="30" spans="1:17" x14ac:dyDescent="0.35">
      <c r="A30" t="s">
        <v>16</v>
      </c>
      <c r="B30" t="s">
        <v>45</v>
      </c>
      <c r="C30">
        <v>4.3299999999999998E-2</v>
      </c>
      <c r="D30">
        <v>10004106.77</v>
      </c>
      <c r="E30">
        <v>-9758738.2899999991</v>
      </c>
      <c r="F30">
        <v>40042.68</v>
      </c>
      <c r="G30">
        <v>89184.156632769271</v>
      </c>
      <c r="H30">
        <v>121321.04</v>
      </c>
      <c r="I30">
        <v>250547.88</v>
      </c>
      <c r="J30">
        <v>-199.03</v>
      </c>
      <c r="K30">
        <f t="shared" si="0"/>
        <v>250348.84663276924</v>
      </c>
      <c r="L30">
        <f t="shared" si="1"/>
        <v>-4980.366632768797</v>
      </c>
      <c r="M30">
        <v>0</v>
      </c>
      <c r="N30">
        <v>0</v>
      </c>
      <c r="O30">
        <f t="shared" si="2"/>
        <v>0</v>
      </c>
      <c r="P30">
        <v>-4214.1000000000004</v>
      </c>
      <c r="Q30">
        <v>-766.27</v>
      </c>
    </row>
    <row r="31" spans="1:17" x14ac:dyDescent="0.35">
      <c r="A31" t="s">
        <v>16</v>
      </c>
      <c r="B31" t="s">
        <v>46</v>
      </c>
      <c r="C31">
        <v>4.3299999999999998E-2</v>
      </c>
      <c r="D31">
        <v>6350444.3099999996</v>
      </c>
      <c r="E31">
        <v>-5997270.46</v>
      </c>
      <c r="F31">
        <v>26890.45</v>
      </c>
      <c r="G31">
        <v>89062.862595692044</v>
      </c>
      <c r="H31">
        <v>117292.03</v>
      </c>
      <c r="I31">
        <v>233245.34</v>
      </c>
      <c r="J31">
        <v>208.22</v>
      </c>
      <c r="K31">
        <f t="shared" si="0"/>
        <v>233453.56259569203</v>
      </c>
      <c r="L31">
        <f t="shared" si="1"/>
        <v>119720.2874043076</v>
      </c>
      <c r="M31">
        <v>105363.5</v>
      </c>
      <c r="N31">
        <v>449174.66</v>
      </c>
      <c r="O31">
        <f t="shared" si="2"/>
        <v>554538.15999999992</v>
      </c>
      <c r="P31">
        <v>-125795.53</v>
      </c>
      <c r="Q31">
        <v>-85807.99</v>
      </c>
    </row>
    <row r="32" spans="1:17" x14ac:dyDescent="0.35">
      <c r="A32" t="s">
        <v>16</v>
      </c>
      <c r="B32" t="s">
        <v>47</v>
      </c>
      <c r="C32">
        <v>4.3299999999999998E-2</v>
      </c>
      <c r="D32">
        <v>4374080.37</v>
      </c>
      <c r="E32">
        <v>-3817486.09</v>
      </c>
      <c r="F32">
        <v>28258.639999999999</v>
      </c>
      <c r="G32">
        <v>111659.73065192789</v>
      </c>
      <c r="H32">
        <v>128042.04</v>
      </c>
      <c r="I32">
        <v>267960.40999999997</v>
      </c>
      <c r="J32">
        <v>-293.64999999999998</v>
      </c>
      <c r="K32">
        <f t="shared" si="0"/>
        <v>267666.76065192785</v>
      </c>
      <c r="L32">
        <f t="shared" si="1"/>
        <v>288927.51934807241</v>
      </c>
      <c r="M32">
        <v>0</v>
      </c>
      <c r="N32">
        <v>0</v>
      </c>
      <c r="O32">
        <f t="shared" si="2"/>
        <v>0</v>
      </c>
      <c r="P32">
        <v>142385.42000000001</v>
      </c>
      <c r="Q32">
        <v>146542.1</v>
      </c>
    </row>
    <row r="33" spans="1:17" x14ac:dyDescent="0.35">
      <c r="A33" t="s">
        <v>16</v>
      </c>
      <c r="B33" t="s">
        <v>48</v>
      </c>
      <c r="C33">
        <v>4.3299999999999998E-2</v>
      </c>
      <c r="D33">
        <v>999695.34</v>
      </c>
      <c r="E33">
        <v>-443623.88</v>
      </c>
      <c r="F33">
        <v>40123.360000000001</v>
      </c>
      <c r="G33">
        <v>125572.56686782491</v>
      </c>
      <c r="H33">
        <v>123292.1</v>
      </c>
      <c r="I33">
        <v>288988.03000000003</v>
      </c>
      <c r="J33">
        <v>1658.5</v>
      </c>
      <c r="K33">
        <f t="shared" si="0"/>
        <v>290646.52686782496</v>
      </c>
      <c r="L33">
        <f t="shared" si="1"/>
        <v>265424.93313217501</v>
      </c>
      <c r="M33">
        <v>0</v>
      </c>
      <c r="N33">
        <v>0</v>
      </c>
      <c r="O33">
        <f t="shared" si="2"/>
        <v>0</v>
      </c>
      <c r="P33">
        <v>220906.61</v>
      </c>
      <c r="Q33">
        <v>44518.32</v>
      </c>
    </row>
    <row r="34" spans="1:17" x14ac:dyDescent="0.35">
      <c r="A34" t="s">
        <v>16</v>
      </c>
      <c r="B34" t="s">
        <v>49</v>
      </c>
      <c r="C34">
        <v>4.0899999999999999E-2</v>
      </c>
      <c r="D34">
        <v>8087797.54</v>
      </c>
      <c r="E34">
        <v>-7949086.6100000003</v>
      </c>
      <c r="F34">
        <v>42384.93</v>
      </c>
      <c r="G34">
        <v>144200.90752135779</v>
      </c>
      <c r="H34">
        <v>126036.89</v>
      </c>
      <c r="I34">
        <v>312622.73</v>
      </c>
      <c r="J34">
        <v>-9348.67</v>
      </c>
      <c r="K34">
        <f t="shared" si="0"/>
        <v>303274.05752135778</v>
      </c>
      <c r="L34">
        <f t="shared" si="1"/>
        <v>-164563.12752135808</v>
      </c>
      <c r="M34">
        <v>112113.57</v>
      </c>
      <c r="N34">
        <v>94864.98000000001</v>
      </c>
      <c r="O34">
        <f t="shared" si="2"/>
        <v>206978.55000000002</v>
      </c>
      <c r="P34">
        <v>-180481.26</v>
      </c>
      <c r="Q34">
        <v>-139497.28</v>
      </c>
    </row>
    <row r="35" spans="1:17" x14ac:dyDescent="0.35">
      <c r="A35" t="s">
        <v>16</v>
      </c>
      <c r="B35" t="s">
        <v>50</v>
      </c>
      <c r="C35">
        <v>3.8600000000000002E-2</v>
      </c>
      <c r="D35">
        <v>4672756.24</v>
      </c>
      <c r="E35">
        <v>-3804205.15</v>
      </c>
      <c r="F35">
        <v>46003.25</v>
      </c>
      <c r="G35">
        <v>166871.20456116021</v>
      </c>
      <c r="H35">
        <v>135079.91</v>
      </c>
      <c r="I35">
        <v>347954.37</v>
      </c>
      <c r="J35">
        <v>325.39999999999998</v>
      </c>
      <c r="K35">
        <f t="shared" si="0"/>
        <v>348279.76456116023</v>
      </c>
      <c r="L35">
        <f t="shared" si="1"/>
        <v>520271.32543884008</v>
      </c>
      <c r="M35">
        <v>0</v>
      </c>
      <c r="N35">
        <v>0</v>
      </c>
      <c r="O35">
        <f t="shared" si="2"/>
        <v>0</v>
      </c>
      <c r="P35">
        <v>330903.11</v>
      </c>
      <c r="Q35">
        <v>189368.21</v>
      </c>
    </row>
    <row r="36" spans="1:17" x14ac:dyDescent="0.35">
      <c r="A36" t="s">
        <v>16</v>
      </c>
      <c r="B36" t="s">
        <v>51</v>
      </c>
      <c r="C36">
        <v>3.8800000000000001E-2</v>
      </c>
      <c r="D36">
        <v>-6080078.4000000004</v>
      </c>
      <c r="E36">
        <v>6055509.3399999999</v>
      </c>
      <c r="F36">
        <v>61881.17</v>
      </c>
      <c r="G36">
        <v>141044.47445653839</v>
      </c>
      <c r="H36">
        <v>105049.7</v>
      </c>
      <c r="I36">
        <v>307975.34000000003</v>
      </c>
      <c r="J36">
        <v>-905</v>
      </c>
      <c r="K36">
        <f t="shared" si="0"/>
        <v>307070.34445653838</v>
      </c>
      <c r="L36">
        <f t="shared" si="1"/>
        <v>-331639.4044565389</v>
      </c>
      <c r="M36">
        <v>0</v>
      </c>
      <c r="N36">
        <v>0</v>
      </c>
      <c r="O36">
        <f t="shared" si="2"/>
        <v>0</v>
      </c>
      <c r="P36">
        <v>-274032.84999999998</v>
      </c>
      <c r="Q36">
        <v>-57606.55</v>
      </c>
    </row>
    <row r="37" spans="1:17" x14ac:dyDescent="0.35">
      <c r="A37" t="s">
        <v>16</v>
      </c>
      <c r="B37" t="s">
        <v>52</v>
      </c>
      <c r="C37">
        <v>3.6499999999999998E-2</v>
      </c>
      <c r="D37">
        <v>-1913918.5</v>
      </c>
      <c r="E37">
        <v>3140999.57</v>
      </c>
      <c r="F37">
        <v>27938.99</v>
      </c>
      <c r="G37">
        <v>170297.81747345001</v>
      </c>
      <c r="H37">
        <v>122551.96</v>
      </c>
      <c r="I37">
        <v>320788.77</v>
      </c>
      <c r="J37">
        <v>-878.57</v>
      </c>
      <c r="K37">
        <f t="shared" si="0"/>
        <v>319910.19747344998</v>
      </c>
      <c r="L37">
        <f t="shared" si="1"/>
        <v>907170.87252654985</v>
      </c>
      <c r="M37">
        <v>113407.12</v>
      </c>
      <c r="N37">
        <v>331342.25</v>
      </c>
      <c r="O37">
        <f t="shared" si="2"/>
        <v>444749.37</v>
      </c>
      <c r="P37">
        <v>594183.16</v>
      </c>
      <c r="Q37">
        <v>44947.66</v>
      </c>
    </row>
    <row r="38" spans="1:17" x14ac:dyDescent="0.35">
      <c r="A38" t="s">
        <v>16</v>
      </c>
      <c r="B38" t="s">
        <v>53</v>
      </c>
      <c r="C38">
        <v>3.6299999999999999E-2</v>
      </c>
      <c r="D38">
        <v>1304487.55</v>
      </c>
      <c r="E38">
        <v>-481610.9</v>
      </c>
      <c r="F38">
        <v>47763</v>
      </c>
      <c r="G38">
        <v>168851.19705897031</v>
      </c>
      <c r="H38">
        <v>115562.54</v>
      </c>
      <c r="I38">
        <v>332176.73</v>
      </c>
      <c r="J38">
        <v>-844.5</v>
      </c>
      <c r="K38">
        <f t="shared" si="0"/>
        <v>331332.23705897032</v>
      </c>
      <c r="L38">
        <f t="shared" si="1"/>
        <v>491544.4129410297</v>
      </c>
      <c r="M38">
        <v>0</v>
      </c>
      <c r="N38">
        <v>0</v>
      </c>
      <c r="O38">
        <f t="shared" si="2"/>
        <v>0</v>
      </c>
      <c r="P38">
        <v>298832.06</v>
      </c>
      <c r="Q38">
        <v>192712.36</v>
      </c>
    </row>
    <row r="39" spans="1:17" x14ac:dyDescent="0.35">
      <c r="A39" t="s">
        <v>16</v>
      </c>
      <c r="B39" t="s">
        <v>54</v>
      </c>
      <c r="C39">
        <v>3.6299999999999999E-2</v>
      </c>
      <c r="D39">
        <v>-4563005.99</v>
      </c>
      <c r="E39">
        <v>7133382.21</v>
      </c>
      <c r="F39">
        <v>48338.03</v>
      </c>
      <c r="G39">
        <v>185410.3384364722</v>
      </c>
      <c r="H39">
        <v>112975.26</v>
      </c>
      <c r="I39">
        <v>346723.63</v>
      </c>
      <c r="J39">
        <v>-947.65</v>
      </c>
      <c r="K39">
        <f t="shared" si="0"/>
        <v>345775.97843647219</v>
      </c>
      <c r="L39">
        <f t="shared" si="1"/>
        <v>2224600.2415635274</v>
      </c>
      <c r="M39">
        <v>0</v>
      </c>
      <c r="N39">
        <v>0</v>
      </c>
      <c r="O39">
        <f t="shared" si="2"/>
        <v>0</v>
      </c>
      <c r="P39">
        <v>1815196.59</v>
      </c>
      <c r="Q39">
        <v>409403.66</v>
      </c>
    </row>
    <row r="40" spans="1:17" x14ac:dyDescent="0.35">
      <c r="A40" t="s">
        <v>16</v>
      </c>
      <c r="B40" t="s">
        <v>55</v>
      </c>
      <c r="C40">
        <v>3.6400000000000002E-2</v>
      </c>
      <c r="D40">
        <v>-2959797.87</v>
      </c>
      <c r="E40">
        <v>4491161.67</v>
      </c>
      <c r="F40">
        <v>48535.58</v>
      </c>
      <c r="G40">
        <v>251282.0053085922</v>
      </c>
      <c r="H40">
        <v>142831.65</v>
      </c>
      <c r="I40">
        <v>442649.23</v>
      </c>
      <c r="J40">
        <v>36.08</v>
      </c>
      <c r="K40">
        <f t="shared" si="0"/>
        <v>442685.31530859222</v>
      </c>
      <c r="L40">
        <f t="shared" si="1"/>
        <v>1088678.4846914075</v>
      </c>
      <c r="M40">
        <v>118026.44</v>
      </c>
      <c r="N40">
        <v>684444.22</v>
      </c>
      <c r="O40">
        <f t="shared" si="2"/>
        <v>802470.65999999992</v>
      </c>
      <c r="P40">
        <v>888323.84</v>
      </c>
      <c r="Q40">
        <v>82328.2</v>
      </c>
    </row>
    <row r="41" spans="1:17" x14ac:dyDescent="0.35">
      <c r="D41">
        <f t="shared" ref="D41:P41" si="3">SUM(D2:D40)</f>
        <v>67525037.029999986</v>
      </c>
      <c r="E41">
        <f t="shared" si="3"/>
        <v>-41496888.929999985</v>
      </c>
      <c r="F41">
        <f t="shared" si="3"/>
        <v>977946.19000000018</v>
      </c>
      <c r="G41">
        <f t="shared" si="3"/>
        <v>2426923.6000138903</v>
      </c>
      <c r="H41">
        <f t="shared" si="3"/>
        <v>4109596.12</v>
      </c>
      <c r="I41">
        <f t="shared" si="3"/>
        <v>7514465.9200000018</v>
      </c>
      <c r="J41">
        <f t="shared" si="3"/>
        <v>-280869.33</v>
      </c>
      <c r="K41">
        <f t="shared" si="3"/>
        <v>7233596.5800138898</v>
      </c>
      <c r="L41">
        <f t="shared" si="3"/>
        <v>18794551.519986112</v>
      </c>
      <c r="M41">
        <f t="shared" si="3"/>
        <v>1148877.9700000002</v>
      </c>
      <c r="N41">
        <f t="shared" si="3"/>
        <v>4193098.0200000005</v>
      </c>
      <c r="O41">
        <f t="shared" si="2"/>
        <v>5341975.99</v>
      </c>
      <c r="P41">
        <f t="shared" si="3"/>
        <v>13452575.49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H3" sqref="H3"/>
    </sheetView>
  </sheetViews>
  <sheetFormatPr defaultRowHeight="14.5" x14ac:dyDescent="0.35"/>
  <cols>
    <col min="1" max="1" width="18.453125" bestFit="1" customWidth="1"/>
    <col min="2" max="2" width="18.453125" customWidth="1"/>
    <col min="3" max="3" width="15.08984375" bestFit="1" customWidth="1"/>
    <col min="4" max="4" width="13.54296875" bestFit="1" customWidth="1"/>
    <col min="5" max="5" width="27.81640625" bestFit="1" customWidth="1"/>
    <col min="6" max="6" width="29.453125" bestFit="1" customWidth="1"/>
    <col min="7" max="7" width="15.08984375" bestFit="1" customWidth="1"/>
    <col min="8" max="8" width="23.26953125" bestFit="1" customWidth="1"/>
    <col min="9" max="10" width="10.81640625" bestFit="1" customWidth="1"/>
    <col min="11" max="11" width="17.08984375" bestFit="1" customWidth="1"/>
    <col min="12" max="12" width="15.54296875" bestFit="1" customWidth="1"/>
    <col min="13" max="13" width="16.08984375" bestFit="1" customWidth="1"/>
    <col min="14" max="14" width="17.54296875" bestFit="1" customWidth="1"/>
  </cols>
  <sheetData>
    <row r="1" spans="1:14" x14ac:dyDescent="0.35">
      <c r="A1" s="1" t="s">
        <v>0</v>
      </c>
      <c r="B1" s="1" t="s">
        <v>3</v>
      </c>
      <c r="C1" s="1" t="s">
        <v>4</v>
      </c>
      <c r="D1" s="1" t="s">
        <v>56</v>
      </c>
      <c r="E1" s="1" t="s">
        <v>57</v>
      </c>
      <c r="F1" s="1" t="s">
        <v>7</v>
      </c>
      <c r="G1" s="1" t="s">
        <v>10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58</v>
      </c>
      <c r="N1" s="1" t="s">
        <v>59</v>
      </c>
    </row>
    <row r="2" spans="1:14" x14ac:dyDescent="0.35">
      <c r="A2" t="s">
        <v>16</v>
      </c>
      <c r="B2">
        <f>SUM(monthly_attribution!D2:D40)</f>
        <v>67525037.029999986</v>
      </c>
      <c r="C2">
        <f>SUM(monthly_attribution!E2:E40)</f>
        <v>-41496888.929999985</v>
      </c>
      <c r="D2">
        <f>SUM(monthly_attribution!F2:F40)</f>
        <v>977946.19000000018</v>
      </c>
      <c r="E2">
        <f>SUM(monthly_attribution!G2:G40)</f>
        <v>2426923.6000138903</v>
      </c>
      <c r="F2">
        <f>SUM(monthly_attribution!H2:H40)</f>
        <v>4109596.12</v>
      </c>
      <c r="G2">
        <f>SUM(monthly_attribution!I2:I40)</f>
        <v>7514465.9200000018</v>
      </c>
      <c r="H2">
        <f>SUM(monthly_attribution!J2:J40)</f>
        <v>-280869.33</v>
      </c>
      <c r="I2">
        <f>SUM(monthly_attribution!K2:K40)</f>
        <v>7233596.5800138898</v>
      </c>
      <c r="J2">
        <f>B2+C2-I2</f>
        <v>18794551.519986112</v>
      </c>
      <c r="K2">
        <f>SUM(monthly_attribution!M2:M40)</f>
        <v>1148877.9700000002</v>
      </c>
      <c r="L2">
        <f>SUM(monthly_attribution!N2:N40)</f>
        <v>4193098.0200000005</v>
      </c>
      <c r="M2">
        <f>K2+L2</f>
        <v>5341975.99</v>
      </c>
      <c r="N2">
        <f>J2-M2</f>
        <v>13452575.529986111</v>
      </c>
    </row>
    <row r="3" spans="1:14" x14ac:dyDescent="0.35">
      <c r="I3">
        <f>D2+E2+F2+H2</f>
        <v>7233596.5800138908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5"/>
  <sheetViews>
    <sheetView topLeftCell="A9" workbookViewId="0">
      <selection activeCell="D22" sqref="D22"/>
    </sheetView>
  </sheetViews>
  <sheetFormatPr defaultRowHeight="14.5" x14ac:dyDescent="0.35"/>
  <cols>
    <col min="1" max="1" width="8.453125" bestFit="1" customWidth="1"/>
    <col min="2" max="2" width="21.08984375" bestFit="1" customWidth="1"/>
    <col min="3" max="3" width="10.81640625" bestFit="1" customWidth="1"/>
  </cols>
  <sheetData>
    <row r="1" spans="1:3" x14ac:dyDescent="0.35">
      <c r="A1" s="1" t="s">
        <v>60</v>
      </c>
      <c r="B1" s="1" t="s">
        <v>61</v>
      </c>
      <c r="C1" s="1" t="s">
        <v>62</v>
      </c>
    </row>
    <row r="2" spans="1:3" x14ac:dyDescent="0.35">
      <c r="A2" s="2">
        <v>44929</v>
      </c>
      <c r="B2">
        <v>0</v>
      </c>
      <c r="C2">
        <v>26</v>
      </c>
    </row>
    <row r="3" spans="1:3" x14ac:dyDescent="0.35">
      <c r="A3" s="2">
        <v>44930</v>
      </c>
      <c r="B3">
        <v>258659.35</v>
      </c>
      <c r="C3">
        <v>26</v>
      </c>
    </row>
    <row r="4" spans="1:3" x14ac:dyDescent="0.35">
      <c r="A4" s="2">
        <v>44931</v>
      </c>
      <c r="B4">
        <v>-177017.7</v>
      </c>
      <c r="C4">
        <v>26</v>
      </c>
    </row>
    <row r="5" spans="1:3" x14ac:dyDescent="0.35">
      <c r="A5" s="2">
        <v>44932</v>
      </c>
      <c r="B5">
        <v>137451.17000000001</v>
      </c>
      <c r="C5">
        <v>26</v>
      </c>
    </row>
    <row r="6" spans="1:3" x14ac:dyDescent="0.35">
      <c r="A6" s="2">
        <v>44935</v>
      </c>
      <c r="B6">
        <v>162639.96</v>
      </c>
      <c r="C6">
        <v>26</v>
      </c>
    </row>
    <row r="7" spans="1:3" x14ac:dyDescent="0.35">
      <c r="A7" s="2">
        <v>44936</v>
      </c>
      <c r="B7">
        <v>196102.83</v>
      </c>
      <c r="C7">
        <v>26</v>
      </c>
    </row>
    <row r="8" spans="1:3" x14ac:dyDescent="0.35">
      <c r="A8" s="2">
        <v>44937</v>
      </c>
      <c r="B8">
        <v>71240.649999999994</v>
      </c>
      <c r="C8">
        <v>26</v>
      </c>
    </row>
    <row r="9" spans="1:3" x14ac:dyDescent="0.35">
      <c r="A9" s="2">
        <v>44938</v>
      </c>
      <c r="B9">
        <v>110098.36</v>
      </c>
      <c r="C9">
        <v>26</v>
      </c>
    </row>
    <row r="10" spans="1:3" x14ac:dyDescent="0.35">
      <c r="A10" s="2">
        <v>44939</v>
      </c>
      <c r="B10">
        <v>95583.98</v>
      </c>
      <c r="C10">
        <v>26</v>
      </c>
    </row>
    <row r="11" spans="1:3" x14ac:dyDescent="0.35">
      <c r="A11" s="2">
        <v>44943</v>
      </c>
      <c r="B11">
        <v>121405.74</v>
      </c>
      <c r="C11">
        <v>26</v>
      </c>
    </row>
    <row r="12" spans="1:3" x14ac:dyDescent="0.35">
      <c r="A12" s="2">
        <v>44944</v>
      </c>
      <c r="B12">
        <v>-124165.81</v>
      </c>
      <c r="C12">
        <v>26</v>
      </c>
    </row>
    <row r="13" spans="1:3" x14ac:dyDescent="0.35">
      <c r="A13" s="2">
        <v>44945</v>
      </c>
      <c r="B13">
        <v>-41244.9</v>
      </c>
      <c r="C13">
        <v>26</v>
      </c>
    </row>
    <row r="14" spans="1:3" x14ac:dyDescent="0.35">
      <c r="A14" s="2">
        <v>44946</v>
      </c>
      <c r="B14">
        <v>309925.65999999997</v>
      </c>
      <c r="C14">
        <v>26</v>
      </c>
    </row>
    <row r="15" spans="1:3" x14ac:dyDescent="0.35">
      <c r="A15" s="2">
        <v>44949</v>
      </c>
      <c r="B15">
        <v>186626.52</v>
      </c>
      <c r="C15">
        <v>26</v>
      </c>
    </row>
    <row r="16" spans="1:3" x14ac:dyDescent="0.35">
      <c r="A16" s="2">
        <v>44950</v>
      </c>
      <c r="B16">
        <v>-80588.47</v>
      </c>
      <c r="C16">
        <v>26</v>
      </c>
    </row>
    <row r="17" spans="1:4" x14ac:dyDescent="0.35">
      <c r="A17" s="2">
        <v>44951</v>
      </c>
      <c r="B17">
        <v>-31680.71</v>
      </c>
      <c r="C17">
        <v>26</v>
      </c>
    </row>
    <row r="18" spans="1:4" x14ac:dyDescent="0.35">
      <c r="A18" s="2">
        <v>44952</v>
      </c>
      <c r="B18">
        <v>112812.23</v>
      </c>
      <c r="C18">
        <v>26</v>
      </c>
    </row>
    <row r="19" spans="1:4" x14ac:dyDescent="0.35">
      <c r="A19" s="2">
        <v>44953</v>
      </c>
      <c r="B19">
        <v>208143</v>
      </c>
      <c r="C19">
        <v>26</v>
      </c>
    </row>
    <row r="20" spans="1:4" x14ac:dyDescent="0.35">
      <c r="A20" s="2">
        <v>44956</v>
      </c>
      <c r="B20">
        <v>-260217.76</v>
      </c>
      <c r="C20">
        <v>26</v>
      </c>
    </row>
    <row r="21" spans="1:4" x14ac:dyDescent="0.35">
      <c r="A21" s="2">
        <v>44957</v>
      </c>
      <c r="B21">
        <v>174193.43</v>
      </c>
      <c r="C21">
        <v>26</v>
      </c>
    </row>
    <row r="22" spans="1:4" x14ac:dyDescent="0.35">
      <c r="A22" s="2">
        <v>44958</v>
      </c>
      <c r="B22">
        <v>270193.2</v>
      </c>
      <c r="C22">
        <v>26</v>
      </c>
      <c r="D22">
        <f>SUM(B2:B21)</f>
        <v>1429967.53</v>
      </c>
    </row>
    <row r="23" spans="1:4" x14ac:dyDescent="0.35">
      <c r="A23" s="2">
        <v>44959</v>
      </c>
      <c r="B23">
        <v>608836.25</v>
      </c>
      <c r="C23">
        <v>26</v>
      </c>
    </row>
    <row r="24" spans="1:4" x14ac:dyDescent="0.35">
      <c r="A24" s="2">
        <v>44960</v>
      </c>
      <c r="B24">
        <v>-186573.28</v>
      </c>
      <c r="C24">
        <v>26</v>
      </c>
    </row>
    <row r="25" spans="1:4" x14ac:dyDescent="0.35">
      <c r="A25" s="2">
        <v>44963</v>
      </c>
      <c r="B25">
        <v>-21297.39</v>
      </c>
      <c r="C25">
        <v>26</v>
      </c>
    </row>
    <row r="26" spans="1:4" x14ac:dyDescent="0.35">
      <c r="A26" s="2">
        <v>44964</v>
      </c>
      <c r="B26">
        <v>106372.46</v>
      </c>
      <c r="C26">
        <v>26</v>
      </c>
    </row>
    <row r="27" spans="1:4" x14ac:dyDescent="0.35">
      <c r="A27" s="2">
        <v>44965</v>
      </c>
      <c r="B27">
        <v>-142451.41</v>
      </c>
      <c r="C27">
        <v>26</v>
      </c>
    </row>
    <row r="28" spans="1:4" x14ac:dyDescent="0.35">
      <c r="A28" s="2">
        <v>44966</v>
      </c>
      <c r="B28">
        <v>-225808.82</v>
      </c>
      <c r="C28">
        <v>26</v>
      </c>
    </row>
    <row r="29" spans="1:4" x14ac:dyDescent="0.35">
      <c r="A29" s="2">
        <v>44967</v>
      </c>
      <c r="B29">
        <v>-107154.8</v>
      </c>
      <c r="C29">
        <v>26</v>
      </c>
    </row>
    <row r="30" spans="1:4" x14ac:dyDescent="0.35">
      <c r="A30" s="2">
        <v>44970</v>
      </c>
      <c r="B30">
        <v>67900.13</v>
      </c>
      <c r="C30">
        <v>26</v>
      </c>
    </row>
    <row r="31" spans="1:4" x14ac:dyDescent="0.35">
      <c r="A31" s="2">
        <v>44971</v>
      </c>
      <c r="B31">
        <v>111263.32</v>
      </c>
      <c r="C31">
        <v>26</v>
      </c>
    </row>
    <row r="32" spans="1:4" x14ac:dyDescent="0.35">
      <c r="A32" s="2">
        <v>44972</v>
      </c>
      <c r="B32">
        <v>159393.06</v>
      </c>
      <c r="C32">
        <v>26</v>
      </c>
    </row>
    <row r="33" spans="1:3" x14ac:dyDescent="0.35">
      <c r="A33" s="2">
        <v>44973</v>
      </c>
      <c r="B33">
        <v>-157287.65</v>
      </c>
      <c r="C33">
        <v>26</v>
      </c>
    </row>
    <row r="34" spans="1:3" x14ac:dyDescent="0.35">
      <c r="A34" s="2">
        <v>44974</v>
      </c>
      <c r="B34">
        <v>-60539.67</v>
      </c>
      <c r="C34">
        <v>26</v>
      </c>
    </row>
    <row r="35" spans="1:3" x14ac:dyDescent="0.35">
      <c r="A35" s="2">
        <v>44978</v>
      </c>
      <c r="B35">
        <v>-137996.29</v>
      </c>
      <c r="C35">
        <v>26</v>
      </c>
    </row>
    <row r="36" spans="1:3" x14ac:dyDescent="0.35">
      <c r="A36" s="2">
        <v>44979</v>
      </c>
      <c r="B36">
        <v>-16828.14</v>
      </c>
      <c r="C36">
        <v>26</v>
      </c>
    </row>
    <row r="37" spans="1:3" x14ac:dyDescent="0.35">
      <c r="A37" s="2">
        <v>44980</v>
      </c>
      <c r="B37">
        <v>226626.79</v>
      </c>
      <c r="C37">
        <v>26</v>
      </c>
    </row>
    <row r="38" spans="1:3" x14ac:dyDescent="0.35">
      <c r="A38" s="2">
        <v>44981</v>
      </c>
      <c r="B38">
        <v>-147608.25</v>
      </c>
      <c r="C38">
        <v>26</v>
      </c>
    </row>
    <row r="39" spans="1:3" x14ac:dyDescent="0.35">
      <c r="A39" s="2">
        <v>44984</v>
      </c>
      <c r="B39">
        <v>28790.17</v>
      </c>
      <c r="C39">
        <v>26</v>
      </c>
    </row>
    <row r="40" spans="1:3" x14ac:dyDescent="0.35">
      <c r="A40" s="2">
        <v>44985</v>
      </c>
      <c r="B40">
        <v>114658.97</v>
      </c>
      <c r="C40">
        <v>26</v>
      </c>
    </row>
    <row r="41" spans="1:3" x14ac:dyDescent="0.35">
      <c r="A41" s="2">
        <v>44986</v>
      </c>
      <c r="B41">
        <v>-97460.44</v>
      </c>
      <c r="C41">
        <v>26</v>
      </c>
    </row>
    <row r="42" spans="1:3" x14ac:dyDescent="0.35">
      <c r="A42" s="2">
        <v>44987</v>
      </c>
      <c r="B42">
        <v>60097.46</v>
      </c>
      <c r="C42">
        <v>26</v>
      </c>
    </row>
    <row r="43" spans="1:3" x14ac:dyDescent="0.35">
      <c r="A43" s="2">
        <v>44988</v>
      </c>
      <c r="B43">
        <v>180447.95</v>
      </c>
      <c r="C43">
        <v>26</v>
      </c>
    </row>
    <row r="44" spans="1:3" x14ac:dyDescent="0.35">
      <c r="A44" s="2">
        <v>44991</v>
      </c>
      <c r="B44">
        <v>-57283.64</v>
      </c>
      <c r="C44">
        <v>26</v>
      </c>
    </row>
    <row r="45" spans="1:3" x14ac:dyDescent="0.35">
      <c r="A45" s="2">
        <v>44992</v>
      </c>
      <c r="B45">
        <v>-60175.85</v>
      </c>
      <c r="C45">
        <v>26</v>
      </c>
    </row>
    <row r="46" spans="1:3" x14ac:dyDescent="0.35">
      <c r="A46" s="2">
        <v>44993</v>
      </c>
      <c r="B46">
        <v>80359.039999999994</v>
      </c>
      <c r="C46">
        <v>26</v>
      </c>
    </row>
    <row r="47" spans="1:3" x14ac:dyDescent="0.35">
      <c r="A47" s="2">
        <v>44994</v>
      </c>
      <c r="B47">
        <v>-206741.8</v>
      </c>
      <c r="C47">
        <v>26</v>
      </c>
    </row>
    <row r="48" spans="1:3" x14ac:dyDescent="0.35">
      <c r="A48" s="2">
        <v>44995</v>
      </c>
      <c r="B48">
        <v>-132267.31</v>
      </c>
      <c r="C48">
        <v>26</v>
      </c>
    </row>
    <row r="49" spans="1:3" x14ac:dyDescent="0.35">
      <c r="A49" s="2">
        <v>44998</v>
      </c>
      <c r="B49">
        <v>160915.25</v>
      </c>
      <c r="C49">
        <v>26</v>
      </c>
    </row>
    <row r="50" spans="1:3" x14ac:dyDescent="0.35">
      <c r="A50" s="2">
        <v>44999</v>
      </c>
      <c r="B50">
        <v>233264.49</v>
      </c>
      <c r="C50">
        <v>26</v>
      </c>
    </row>
    <row r="51" spans="1:3" x14ac:dyDescent="0.35">
      <c r="A51" s="2">
        <v>45000</v>
      </c>
      <c r="B51">
        <v>99963.49</v>
      </c>
      <c r="C51">
        <v>26</v>
      </c>
    </row>
    <row r="52" spans="1:3" x14ac:dyDescent="0.35">
      <c r="A52" s="2">
        <v>45001</v>
      </c>
      <c r="B52">
        <v>193456.35</v>
      </c>
      <c r="C52">
        <v>26</v>
      </c>
    </row>
    <row r="53" spans="1:3" x14ac:dyDescent="0.35">
      <c r="A53" s="2">
        <v>45002</v>
      </c>
      <c r="B53">
        <v>48275.57</v>
      </c>
      <c r="C53">
        <v>26</v>
      </c>
    </row>
    <row r="54" spans="1:3" x14ac:dyDescent="0.35">
      <c r="A54" s="2">
        <v>45005</v>
      </c>
      <c r="B54">
        <v>15465.3</v>
      </c>
      <c r="C54">
        <v>26</v>
      </c>
    </row>
    <row r="55" spans="1:3" x14ac:dyDescent="0.35">
      <c r="A55" s="2">
        <v>45006</v>
      </c>
      <c r="B55">
        <v>229697.73</v>
      </c>
      <c r="C55">
        <v>26</v>
      </c>
    </row>
    <row r="56" spans="1:3" x14ac:dyDescent="0.35">
      <c r="A56" s="2">
        <v>45007</v>
      </c>
      <c r="B56">
        <v>-142437.78</v>
      </c>
      <c r="C56">
        <v>26</v>
      </c>
    </row>
    <row r="57" spans="1:3" x14ac:dyDescent="0.35">
      <c r="A57" s="2">
        <v>45008</v>
      </c>
      <c r="B57">
        <v>-39890.86</v>
      </c>
      <c r="C57">
        <v>26</v>
      </c>
    </row>
    <row r="58" spans="1:3" x14ac:dyDescent="0.35">
      <c r="A58" s="2">
        <v>45009</v>
      </c>
      <c r="B58">
        <v>42652.37</v>
      </c>
      <c r="C58">
        <v>26</v>
      </c>
    </row>
    <row r="59" spans="1:3" x14ac:dyDescent="0.35">
      <c r="A59" s="2">
        <v>45012</v>
      </c>
      <c r="B59">
        <v>-125552.01</v>
      </c>
      <c r="C59">
        <v>26</v>
      </c>
    </row>
    <row r="60" spans="1:3" x14ac:dyDescent="0.35">
      <c r="A60" s="2">
        <v>45013</v>
      </c>
      <c r="B60">
        <v>-7682.14</v>
      </c>
      <c r="C60">
        <v>26</v>
      </c>
    </row>
    <row r="61" spans="1:3" x14ac:dyDescent="0.35">
      <c r="A61" s="2">
        <v>45014</v>
      </c>
      <c r="B61">
        <v>129440.69</v>
      </c>
      <c r="C61">
        <v>26</v>
      </c>
    </row>
    <row r="62" spans="1:3" x14ac:dyDescent="0.35">
      <c r="A62" s="2">
        <v>45015</v>
      </c>
      <c r="B62">
        <v>36884.14</v>
      </c>
      <c r="C62">
        <v>26</v>
      </c>
    </row>
    <row r="63" spans="1:3" x14ac:dyDescent="0.35">
      <c r="A63" s="2">
        <v>45016</v>
      </c>
      <c r="B63">
        <v>123026.23</v>
      </c>
      <c r="C63">
        <v>26</v>
      </c>
    </row>
    <row r="64" spans="1:3" x14ac:dyDescent="0.35">
      <c r="A64" s="2">
        <v>45019</v>
      </c>
      <c r="B64">
        <v>-62040.53</v>
      </c>
      <c r="C64">
        <v>26</v>
      </c>
    </row>
    <row r="65" spans="1:3" x14ac:dyDescent="0.35">
      <c r="A65" s="2">
        <v>45020</v>
      </c>
      <c r="B65">
        <v>-15330.23</v>
      </c>
      <c r="C65">
        <v>26</v>
      </c>
    </row>
    <row r="66" spans="1:3" x14ac:dyDescent="0.35">
      <c r="A66" s="2">
        <v>45021</v>
      </c>
      <c r="B66">
        <v>-112085.55</v>
      </c>
      <c r="C66">
        <v>26</v>
      </c>
    </row>
    <row r="67" spans="1:3" x14ac:dyDescent="0.35">
      <c r="A67" s="2">
        <v>45022</v>
      </c>
      <c r="B67">
        <v>120413.06</v>
      </c>
      <c r="C67">
        <v>26</v>
      </c>
    </row>
    <row r="68" spans="1:3" x14ac:dyDescent="0.35">
      <c r="A68" s="2">
        <v>45026</v>
      </c>
      <c r="B68">
        <v>55157.43</v>
      </c>
      <c r="C68">
        <v>26</v>
      </c>
    </row>
    <row r="69" spans="1:3" x14ac:dyDescent="0.35">
      <c r="A69" s="2">
        <v>45027</v>
      </c>
      <c r="B69">
        <v>-23180.54</v>
      </c>
      <c r="C69">
        <v>26</v>
      </c>
    </row>
    <row r="70" spans="1:3" x14ac:dyDescent="0.35">
      <c r="A70" s="2">
        <v>45028</v>
      </c>
      <c r="B70">
        <v>-76836.14</v>
      </c>
      <c r="C70">
        <v>26</v>
      </c>
    </row>
    <row r="71" spans="1:3" x14ac:dyDescent="0.35">
      <c r="A71" s="2">
        <v>45029</v>
      </c>
      <c r="B71">
        <v>137290.09</v>
      </c>
      <c r="C71">
        <v>26</v>
      </c>
    </row>
    <row r="72" spans="1:3" x14ac:dyDescent="0.35">
      <c r="A72" s="2">
        <v>45030</v>
      </c>
      <c r="B72">
        <v>33677.17</v>
      </c>
      <c r="C72">
        <v>26</v>
      </c>
    </row>
    <row r="73" spans="1:3" x14ac:dyDescent="0.35">
      <c r="A73" s="2">
        <v>45033</v>
      </c>
      <c r="B73">
        <v>-24502.14</v>
      </c>
      <c r="C73">
        <v>26</v>
      </c>
    </row>
    <row r="74" spans="1:3" x14ac:dyDescent="0.35">
      <c r="A74" s="2">
        <v>45034</v>
      </c>
      <c r="B74">
        <v>11261.88</v>
      </c>
      <c r="C74">
        <v>26</v>
      </c>
    </row>
    <row r="75" spans="1:3" x14ac:dyDescent="0.35">
      <c r="A75" s="2">
        <v>45035</v>
      </c>
      <c r="B75">
        <v>-22362.52</v>
      </c>
      <c r="C75">
        <v>26</v>
      </c>
    </row>
    <row r="76" spans="1:3" x14ac:dyDescent="0.35">
      <c r="A76" s="2">
        <v>45036</v>
      </c>
      <c r="B76">
        <v>-138912.71</v>
      </c>
      <c r="C76">
        <v>26</v>
      </c>
    </row>
    <row r="77" spans="1:3" x14ac:dyDescent="0.35">
      <c r="A77" s="2">
        <v>45037</v>
      </c>
      <c r="B77">
        <v>-557.67999999999995</v>
      </c>
      <c r="C77">
        <v>26</v>
      </c>
    </row>
    <row r="78" spans="1:3" x14ac:dyDescent="0.35">
      <c r="A78" s="2">
        <v>45040</v>
      </c>
      <c r="B78">
        <v>-76967.11</v>
      </c>
      <c r="C78">
        <v>26</v>
      </c>
    </row>
    <row r="79" spans="1:3" x14ac:dyDescent="0.35">
      <c r="A79" s="2">
        <v>45041</v>
      </c>
      <c r="B79">
        <v>-118565.59</v>
      </c>
      <c r="C79">
        <v>26</v>
      </c>
    </row>
    <row r="80" spans="1:3" x14ac:dyDescent="0.35">
      <c r="A80" s="2">
        <v>45042</v>
      </c>
      <c r="B80">
        <v>76150.429999999993</v>
      </c>
      <c r="C80">
        <v>26</v>
      </c>
    </row>
    <row r="81" spans="1:3" x14ac:dyDescent="0.35">
      <c r="A81" s="2">
        <v>45043</v>
      </c>
      <c r="B81">
        <v>297298.46999999997</v>
      </c>
      <c r="C81">
        <v>26</v>
      </c>
    </row>
    <row r="82" spans="1:3" x14ac:dyDescent="0.35">
      <c r="A82" s="2">
        <v>45044</v>
      </c>
      <c r="B82">
        <v>4234.45</v>
      </c>
      <c r="C82">
        <v>26</v>
      </c>
    </row>
    <row r="83" spans="1:3" x14ac:dyDescent="0.35">
      <c r="A83" s="2">
        <v>45047</v>
      </c>
      <c r="B83">
        <v>-4373.96</v>
      </c>
      <c r="C83">
        <v>26</v>
      </c>
    </row>
    <row r="84" spans="1:3" x14ac:dyDescent="0.35">
      <c r="A84" s="2">
        <v>45048</v>
      </c>
      <c r="B84">
        <v>-50557.31</v>
      </c>
      <c r="C84">
        <v>26</v>
      </c>
    </row>
    <row r="85" spans="1:3" x14ac:dyDescent="0.35">
      <c r="A85" s="2">
        <v>45049</v>
      </c>
      <c r="B85">
        <v>-78155.38</v>
      </c>
      <c r="C85">
        <v>26</v>
      </c>
    </row>
    <row r="86" spans="1:3" x14ac:dyDescent="0.35">
      <c r="A86" s="2">
        <v>45050</v>
      </c>
      <c r="B86">
        <v>-17047.759999999998</v>
      </c>
      <c r="C86">
        <v>26</v>
      </c>
    </row>
    <row r="87" spans="1:3" x14ac:dyDescent="0.35">
      <c r="A87" s="2">
        <v>45051</v>
      </c>
      <c r="B87">
        <v>280736.03999999998</v>
      </c>
      <c r="C87">
        <v>26</v>
      </c>
    </row>
    <row r="88" spans="1:3" x14ac:dyDescent="0.35">
      <c r="A88" s="2">
        <v>45054</v>
      </c>
      <c r="B88">
        <v>31964.03</v>
      </c>
      <c r="C88">
        <v>26</v>
      </c>
    </row>
    <row r="89" spans="1:3" x14ac:dyDescent="0.35">
      <c r="A89" s="2">
        <v>45055</v>
      </c>
      <c r="B89">
        <v>-11694.78</v>
      </c>
      <c r="C89">
        <v>26</v>
      </c>
    </row>
    <row r="90" spans="1:3" x14ac:dyDescent="0.35">
      <c r="A90" s="2">
        <v>45056</v>
      </c>
      <c r="B90">
        <v>126314.42</v>
      </c>
      <c r="C90">
        <v>26</v>
      </c>
    </row>
    <row r="91" spans="1:3" x14ac:dyDescent="0.35">
      <c r="A91" s="2">
        <v>45057</v>
      </c>
      <c r="B91">
        <v>2039.57</v>
      </c>
      <c r="C91">
        <v>26</v>
      </c>
    </row>
    <row r="92" spans="1:3" x14ac:dyDescent="0.35">
      <c r="A92" s="2">
        <v>45058</v>
      </c>
      <c r="B92">
        <v>-63457.03</v>
      </c>
      <c r="C92">
        <v>26</v>
      </c>
    </row>
    <row r="93" spans="1:3" x14ac:dyDescent="0.35">
      <c r="A93" s="2">
        <v>45061</v>
      </c>
      <c r="B93">
        <v>109514.51</v>
      </c>
      <c r="C93">
        <v>26</v>
      </c>
    </row>
    <row r="94" spans="1:3" x14ac:dyDescent="0.35">
      <c r="A94" s="2">
        <v>45062</v>
      </c>
      <c r="B94">
        <v>13692.67</v>
      </c>
      <c r="C94">
        <v>26</v>
      </c>
    </row>
    <row r="95" spans="1:3" x14ac:dyDescent="0.35">
      <c r="A95" s="2">
        <v>45063</v>
      </c>
      <c r="B95">
        <v>138233.71</v>
      </c>
      <c r="C95">
        <v>26</v>
      </c>
    </row>
    <row r="96" spans="1:3" x14ac:dyDescent="0.35">
      <c r="A96" s="2">
        <v>45064</v>
      </c>
      <c r="B96">
        <v>130736.95</v>
      </c>
      <c r="C96">
        <v>26</v>
      </c>
    </row>
    <row r="97" spans="1:3" x14ac:dyDescent="0.35">
      <c r="A97" s="2">
        <v>45065</v>
      </c>
      <c r="B97">
        <v>-73358.28</v>
      </c>
      <c r="C97">
        <v>26</v>
      </c>
    </row>
    <row r="98" spans="1:3" x14ac:dyDescent="0.35">
      <c r="A98" s="2">
        <v>45068</v>
      </c>
      <c r="B98">
        <v>82839.570000000007</v>
      </c>
      <c r="C98">
        <v>26</v>
      </c>
    </row>
    <row r="99" spans="1:3" x14ac:dyDescent="0.35">
      <c r="A99" s="2">
        <v>45069</v>
      </c>
      <c r="B99">
        <v>-101990.31</v>
      </c>
      <c r="C99">
        <v>26</v>
      </c>
    </row>
    <row r="100" spans="1:3" x14ac:dyDescent="0.35">
      <c r="A100" s="2">
        <v>45070</v>
      </c>
      <c r="B100">
        <v>-5922.06</v>
      </c>
      <c r="C100">
        <v>26</v>
      </c>
    </row>
    <row r="101" spans="1:3" x14ac:dyDescent="0.35">
      <c r="A101" s="2">
        <v>45071</v>
      </c>
      <c r="B101">
        <v>436426.33</v>
      </c>
      <c r="C101">
        <v>26</v>
      </c>
    </row>
    <row r="102" spans="1:3" x14ac:dyDescent="0.35">
      <c r="A102" s="2">
        <v>45072</v>
      </c>
      <c r="B102">
        <v>147316.59</v>
      </c>
      <c r="C102">
        <v>26</v>
      </c>
    </row>
    <row r="103" spans="1:3" x14ac:dyDescent="0.35">
      <c r="A103" s="2">
        <v>45076</v>
      </c>
      <c r="B103">
        <v>113655.17</v>
      </c>
      <c r="C103">
        <v>26</v>
      </c>
    </row>
    <row r="104" spans="1:3" x14ac:dyDescent="0.35">
      <c r="A104" s="2">
        <v>45077</v>
      </c>
      <c r="B104">
        <v>-149650.75</v>
      </c>
      <c r="C104">
        <v>26</v>
      </c>
    </row>
    <row r="105" spans="1:3" x14ac:dyDescent="0.35">
      <c r="A105" s="2">
        <v>45078</v>
      </c>
      <c r="B105">
        <v>265469.21000000002</v>
      </c>
      <c r="C105">
        <v>26</v>
      </c>
    </row>
    <row r="106" spans="1:3" x14ac:dyDescent="0.35">
      <c r="A106" s="2">
        <v>45079</v>
      </c>
      <c r="B106">
        <v>-3533.36</v>
      </c>
      <c r="C106">
        <v>26</v>
      </c>
    </row>
    <row r="107" spans="1:3" x14ac:dyDescent="0.35">
      <c r="A107" s="2">
        <v>45082</v>
      </c>
      <c r="B107">
        <v>-78955.19</v>
      </c>
      <c r="C107">
        <v>26</v>
      </c>
    </row>
    <row r="108" spans="1:3" x14ac:dyDescent="0.35">
      <c r="A108" s="2">
        <v>45083</v>
      </c>
      <c r="B108">
        <v>-164514.22</v>
      </c>
      <c r="C108">
        <v>26</v>
      </c>
    </row>
    <row r="109" spans="1:3" x14ac:dyDescent="0.35">
      <c r="A109" s="2">
        <v>45084</v>
      </c>
      <c r="B109">
        <v>-123333.3</v>
      </c>
      <c r="C109">
        <v>26</v>
      </c>
    </row>
    <row r="110" spans="1:3" x14ac:dyDescent="0.35">
      <c r="A110" s="2">
        <v>45085</v>
      </c>
      <c r="B110">
        <v>138407.06</v>
      </c>
      <c r="C110">
        <v>26</v>
      </c>
    </row>
    <row r="111" spans="1:3" x14ac:dyDescent="0.35">
      <c r="A111" s="2">
        <v>45086</v>
      </c>
      <c r="B111">
        <v>-34800.58</v>
      </c>
      <c r="C111">
        <v>26</v>
      </c>
    </row>
    <row r="112" spans="1:3" x14ac:dyDescent="0.35">
      <c r="A112" s="2">
        <v>45089</v>
      </c>
      <c r="B112">
        <v>52210.53</v>
      </c>
      <c r="C112">
        <v>26</v>
      </c>
    </row>
    <row r="113" spans="1:3" x14ac:dyDescent="0.35">
      <c r="A113" s="2">
        <v>45090</v>
      </c>
      <c r="B113">
        <v>100784.2</v>
      </c>
      <c r="C113">
        <v>26</v>
      </c>
    </row>
    <row r="114" spans="1:3" x14ac:dyDescent="0.35">
      <c r="A114" s="2">
        <v>45091</v>
      </c>
      <c r="B114">
        <v>109518.73</v>
      </c>
      <c r="C114">
        <v>26</v>
      </c>
    </row>
    <row r="115" spans="1:3" x14ac:dyDescent="0.35">
      <c r="A115" s="2">
        <v>45092</v>
      </c>
      <c r="B115">
        <v>86606.99</v>
      </c>
      <c r="C115">
        <v>26</v>
      </c>
    </row>
    <row r="116" spans="1:3" x14ac:dyDescent="0.35">
      <c r="A116" s="2">
        <v>45093</v>
      </c>
      <c r="B116">
        <v>-20215.36</v>
      </c>
      <c r="C116">
        <v>26</v>
      </c>
    </row>
    <row r="117" spans="1:3" x14ac:dyDescent="0.35">
      <c r="A117" s="2">
        <v>45097</v>
      </c>
      <c r="B117">
        <v>65496.07</v>
      </c>
      <c r="C117">
        <v>26</v>
      </c>
    </row>
    <row r="118" spans="1:3" x14ac:dyDescent="0.35">
      <c r="A118" s="2">
        <v>45098</v>
      </c>
      <c r="B118">
        <v>-28557.14</v>
      </c>
      <c r="C118">
        <v>26</v>
      </c>
    </row>
    <row r="119" spans="1:3" x14ac:dyDescent="0.35">
      <c r="A119" s="2">
        <v>45099</v>
      </c>
      <c r="B119">
        <v>95507.839999999997</v>
      </c>
      <c r="C119">
        <v>26</v>
      </c>
    </row>
    <row r="120" spans="1:3" x14ac:dyDescent="0.35">
      <c r="A120" s="2">
        <v>45100</v>
      </c>
      <c r="B120">
        <v>7911.73</v>
      </c>
      <c r="C120">
        <v>26</v>
      </c>
    </row>
    <row r="121" spans="1:3" x14ac:dyDescent="0.35">
      <c r="A121" s="2">
        <v>45103</v>
      </c>
      <c r="B121">
        <v>-145231.46</v>
      </c>
      <c r="C121">
        <v>26</v>
      </c>
    </row>
    <row r="122" spans="1:3" x14ac:dyDescent="0.35">
      <c r="A122" s="2">
        <v>45104</v>
      </c>
      <c r="B122">
        <v>267255.94</v>
      </c>
      <c r="C122">
        <v>26</v>
      </c>
    </row>
    <row r="123" spans="1:3" x14ac:dyDescent="0.35">
      <c r="A123" s="2">
        <v>45105</v>
      </c>
      <c r="B123">
        <v>-14903.63</v>
      </c>
      <c r="C123">
        <v>26</v>
      </c>
    </row>
    <row r="124" spans="1:3" x14ac:dyDescent="0.35">
      <c r="A124" s="2">
        <v>45106</v>
      </c>
      <c r="B124">
        <v>-2398.27</v>
      </c>
      <c r="C124">
        <v>26</v>
      </c>
    </row>
    <row r="125" spans="1:3" x14ac:dyDescent="0.35">
      <c r="A125" s="2">
        <v>45107</v>
      </c>
      <c r="B125">
        <v>119306.1</v>
      </c>
      <c r="C125">
        <v>26</v>
      </c>
    </row>
    <row r="126" spans="1:3" x14ac:dyDescent="0.35">
      <c r="A126" s="2">
        <v>45110</v>
      </c>
      <c r="B126">
        <v>101176.83</v>
      </c>
      <c r="C126">
        <v>26</v>
      </c>
    </row>
    <row r="127" spans="1:3" x14ac:dyDescent="0.35">
      <c r="A127" s="2">
        <v>45112</v>
      </c>
      <c r="B127">
        <v>23046.87</v>
      </c>
      <c r="C127">
        <v>26</v>
      </c>
    </row>
    <row r="128" spans="1:3" x14ac:dyDescent="0.35">
      <c r="A128" s="2">
        <v>45113</v>
      </c>
      <c r="B128">
        <v>-14079.11</v>
      </c>
      <c r="C128">
        <v>26</v>
      </c>
    </row>
    <row r="129" spans="1:3" x14ac:dyDescent="0.35">
      <c r="A129" s="2">
        <v>45114</v>
      </c>
      <c r="B129">
        <v>47537.01</v>
      </c>
      <c r="C129">
        <v>26</v>
      </c>
    </row>
    <row r="130" spans="1:3" x14ac:dyDescent="0.35">
      <c r="A130" s="2">
        <v>45117</v>
      </c>
      <c r="B130">
        <v>-15053.49</v>
      </c>
      <c r="C130">
        <v>26</v>
      </c>
    </row>
    <row r="131" spans="1:3" x14ac:dyDescent="0.35">
      <c r="A131" s="2">
        <v>45118</v>
      </c>
      <c r="B131">
        <v>171093.46</v>
      </c>
      <c r="C131">
        <v>26</v>
      </c>
    </row>
    <row r="132" spans="1:3" x14ac:dyDescent="0.35">
      <c r="A132" s="2">
        <v>45119</v>
      </c>
      <c r="B132">
        <v>58105.65</v>
      </c>
      <c r="C132">
        <v>26</v>
      </c>
    </row>
    <row r="133" spans="1:3" x14ac:dyDescent="0.35">
      <c r="A133" s="2">
        <v>45120</v>
      </c>
      <c r="B133">
        <v>493164.46</v>
      </c>
      <c r="C133">
        <v>26</v>
      </c>
    </row>
    <row r="134" spans="1:3" x14ac:dyDescent="0.35">
      <c r="A134" s="2">
        <v>45121</v>
      </c>
      <c r="B134">
        <v>-31578.82</v>
      </c>
      <c r="C134">
        <v>26</v>
      </c>
    </row>
    <row r="135" spans="1:3" x14ac:dyDescent="0.35">
      <c r="A135" s="2">
        <v>45124</v>
      </c>
      <c r="B135">
        <v>51590</v>
      </c>
      <c r="C135">
        <v>26</v>
      </c>
    </row>
    <row r="136" spans="1:3" x14ac:dyDescent="0.35">
      <c r="A136" s="2">
        <v>45125</v>
      </c>
      <c r="B136">
        <v>56061.84</v>
      </c>
      <c r="C136">
        <v>26</v>
      </c>
    </row>
    <row r="137" spans="1:3" x14ac:dyDescent="0.35">
      <c r="A137" s="2">
        <v>45126</v>
      </c>
      <c r="B137">
        <v>67784.39</v>
      </c>
      <c r="C137">
        <v>26</v>
      </c>
    </row>
    <row r="138" spans="1:3" x14ac:dyDescent="0.35">
      <c r="A138" s="2">
        <v>45127</v>
      </c>
      <c r="B138">
        <v>-283243.46999999997</v>
      </c>
      <c r="C138">
        <v>26</v>
      </c>
    </row>
    <row r="139" spans="1:3" x14ac:dyDescent="0.35">
      <c r="A139" s="2">
        <v>45128</v>
      </c>
      <c r="B139">
        <v>-80210.11</v>
      </c>
      <c r="C139">
        <v>26</v>
      </c>
    </row>
    <row r="140" spans="1:3" x14ac:dyDescent="0.35">
      <c r="A140" s="2">
        <v>45131</v>
      </c>
      <c r="B140">
        <v>-11069.92</v>
      </c>
      <c r="C140">
        <v>26</v>
      </c>
    </row>
    <row r="141" spans="1:3" x14ac:dyDescent="0.35">
      <c r="A141" s="2">
        <v>45132</v>
      </c>
      <c r="B141">
        <v>73216.27</v>
      </c>
      <c r="C141">
        <v>26</v>
      </c>
    </row>
    <row r="142" spans="1:3" x14ac:dyDescent="0.35">
      <c r="A142" s="2">
        <v>45133</v>
      </c>
      <c r="B142">
        <v>27014.67</v>
      </c>
      <c r="C142">
        <v>26</v>
      </c>
    </row>
    <row r="143" spans="1:3" x14ac:dyDescent="0.35">
      <c r="A143" s="2">
        <v>45134</v>
      </c>
      <c r="B143">
        <v>-38434.83</v>
      </c>
      <c r="C143">
        <v>26</v>
      </c>
    </row>
    <row r="144" spans="1:3" x14ac:dyDescent="0.35">
      <c r="A144" s="2">
        <v>45135</v>
      </c>
      <c r="B144">
        <v>213273.43</v>
      </c>
      <c r="C144">
        <v>26</v>
      </c>
    </row>
    <row r="145" spans="1:3" x14ac:dyDescent="0.35">
      <c r="A145" s="2">
        <v>45138</v>
      </c>
      <c r="B145">
        <v>8733.83</v>
      </c>
      <c r="C145">
        <v>26</v>
      </c>
    </row>
    <row r="146" spans="1:3" x14ac:dyDescent="0.35">
      <c r="A146" s="2">
        <v>45139</v>
      </c>
      <c r="B146">
        <v>-62567.24</v>
      </c>
      <c r="C146">
        <v>26</v>
      </c>
    </row>
    <row r="147" spans="1:3" x14ac:dyDescent="0.35">
      <c r="A147" s="2">
        <v>45140</v>
      </c>
      <c r="B147">
        <v>-250505.86</v>
      </c>
      <c r="C147">
        <v>26</v>
      </c>
    </row>
    <row r="148" spans="1:3" x14ac:dyDescent="0.35">
      <c r="A148" s="2">
        <v>45141</v>
      </c>
      <c r="B148">
        <v>47332</v>
      </c>
      <c r="C148">
        <v>26</v>
      </c>
    </row>
    <row r="149" spans="1:3" x14ac:dyDescent="0.35">
      <c r="A149" s="2">
        <v>45142</v>
      </c>
      <c r="B149">
        <v>-21807.7</v>
      </c>
      <c r="C149">
        <v>26</v>
      </c>
    </row>
    <row r="150" spans="1:3" x14ac:dyDescent="0.35">
      <c r="A150" s="2">
        <v>45145</v>
      </c>
      <c r="B150">
        <v>76421.600000000006</v>
      </c>
      <c r="C150">
        <v>26</v>
      </c>
    </row>
    <row r="151" spans="1:3" x14ac:dyDescent="0.35">
      <c r="A151" s="2">
        <v>45146</v>
      </c>
      <c r="B151">
        <v>-49684.24</v>
      </c>
      <c r="C151">
        <v>26</v>
      </c>
    </row>
    <row r="152" spans="1:3" x14ac:dyDescent="0.35">
      <c r="A152" s="2">
        <v>45147</v>
      </c>
      <c r="B152">
        <v>-194158.44</v>
      </c>
      <c r="C152">
        <v>26</v>
      </c>
    </row>
    <row r="153" spans="1:3" x14ac:dyDescent="0.35">
      <c r="A153" s="2">
        <v>45148</v>
      </c>
      <c r="B153">
        <v>3479.15</v>
      </c>
      <c r="C153">
        <v>26</v>
      </c>
    </row>
    <row r="154" spans="1:3" x14ac:dyDescent="0.35">
      <c r="A154" s="2">
        <v>45149</v>
      </c>
      <c r="B154">
        <v>-120668.25</v>
      </c>
      <c r="C154">
        <v>26</v>
      </c>
    </row>
    <row r="155" spans="1:3" x14ac:dyDescent="0.35">
      <c r="A155" s="2">
        <v>45152</v>
      </c>
      <c r="B155">
        <v>154621.92000000001</v>
      </c>
      <c r="C155">
        <v>26</v>
      </c>
    </row>
    <row r="156" spans="1:3" x14ac:dyDescent="0.35">
      <c r="A156" s="2">
        <v>45153</v>
      </c>
      <c r="B156">
        <v>-96746.72</v>
      </c>
      <c r="C156">
        <v>26</v>
      </c>
    </row>
    <row r="157" spans="1:3" x14ac:dyDescent="0.35">
      <c r="A157" s="2">
        <v>45154</v>
      </c>
      <c r="B157">
        <v>-101419.01</v>
      </c>
      <c r="C157">
        <v>26</v>
      </c>
    </row>
    <row r="158" spans="1:3" x14ac:dyDescent="0.35">
      <c r="A158" s="2">
        <v>45155</v>
      </c>
      <c r="B158">
        <v>-107595.26</v>
      </c>
      <c r="C158">
        <v>26</v>
      </c>
    </row>
    <row r="159" spans="1:3" x14ac:dyDescent="0.35">
      <c r="A159" s="2">
        <v>45156</v>
      </c>
      <c r="B159">
        <v>-80019.03</v>
      </c>
      <c r="C159">
        <v>26</v>
      </c>
    </row>
    <row r="160" spans="1:3" x14ac:dyDescent="0.35">
      <c r="A160" s="2">
        <v>45159</v>
      </c>
      <c r="B160">
        <v>256547.66</v>
      </c>
      <c r="C160">
        <v>26</v>
      </c>
    </row>
    <row r="161" spans="1:3" x14ac:dyDescent="0.35">
      <c r="A161" s="2">
        <v>45160</v>
      </c>
      <c r="B161">
        <v>-51784.02</v>
      </c>
      <c r="C161">
        <v>26</v>
      </c>
    </row>
    <row r="162" spans="1:3" x14ac:dyDescent="0.35">
      <c r="A162" s="2">
        <v>45161</v>
      </c>
      <c r="B162">
        <v>146224.39000000001</v>
      </c>
      <c r="C162">
        <v>26</v>
      </c>
    </row>
    <row r="163" spans="1:3" x14ac:dyDescent="0.35">
      <c r="A163" s="2">
        <v>45162</v>
      </c>
      <c r="B163">
        <v>-136872.32999999999</v>
      </c>
      <c r="C163">
        <v>26</v>
      </c>
    </row>
    <row r="164" spans="1:3" x14ac:dyDescent="0.35">
      <c r="A164" s="2">
        <v>45163</v>
      </c>
      <c r="B164">
        <v>11015.39</v>
      </c>
      <c r="C164">
        <v>26</v>
      </c>
    </row>
    <row r="165" spans="1:3" x14ac:dyDescent="0.35">
      <c r="A165" s="2">
        <v>45166</v>
      </c>
      <c r="B165">
        <v>40006.21</v>
      </c>
      <c r="C165">
        <v>26</v>
      </c>
    </row>
    <row r="166" spans="1:3" x14ac:dyDescent="0.35">
      <c r="A166" s="2">
        <v>45167</v>
      </c>
      <c r="B166">
        <v>333514.93</v>
      </c>
      <c r="C166">
        <v>26</v>
      </c>
    </row>
    <row r="167" spans="1:3" x14ac:dyDescent="0.35">
      <c r="A167" s="2">
        <v>45168</v>
      </c>
      <c r="B167">
        <v>3218.15</v>
      </c>
      <c r="C167">
        <v>26</v>
      </c>
    </row>
    <row r="168" spans="1:3" x14ac:dyDescent="0.35">
      <c r="A168" s="2">
        <v>45169</v>
      </c>
      <c r="B168">
        <v>-38784.79</v>
      </c>
      <c r="C168">
        <v>26</v>
      </c>
    </row>
    <row r="169" spans="1:3" x14ac:dyDescent="0.35">
      <c r="A169" s="2">
        <v>45170</v>
      </c>
      <c r="B169">
        <v>-16577.46</v>
      </c>
      <c r="C169">
        <v>27</v>
      </c>
    </row>
    <row r="170" spans="1:3" x14ac:dyDescent="0.35">
      <c r="A170" s="2">
        <v>45174</v>
      </c>
      <c r="B170">
        <v>16990.830000000002</v>
      </c>
      <c r="C170">
        <v>27</v>
      </c>
    </row>
    <row r="171" spans="1:3" x14ac:dyDescent="0.35">
      <c r="A171" s="2">
        <v>45175</v>
      </c>
      <c r="B171">
        <v>-78866.27</v>
      </c>
      <c r="C171">
        <v>27</v>
      </c>
    </row>
    <row r="172" spans="1:3" x14ac:dyDescent="0.35">
      <c r="A172" s="2">
        <v>45176</v>
      </c>
      <c r="B172">
        <v>28317.11</v>
      </c>
      <c r="C172">
        <v>27</v>
      </c>
    </row>
    <row r="173" spans="1:3" x14ac:dyDescent="0.35">
      <c r="A173" s="2">
        <v>45177</v>
      </c>
      <c r="B173">
        <v>253.36</v>
      </c>
      <c r="C173">
        <v>27</v>
      </c>
    </row>
    <row r="174" spans="1:3" x14ac:dyDescent="0.35">
      <c r="A174" s="2">
        <v>45180</v>
      </c>
      <c r="B174">
        <v>51636.84</v>
      </c>
      <c r="C174">
        <v>27</v>
      </c>
    </row>
    <row r="175" spans="1:3" x14ac:dyDescent="0.35">
      <c r="A175" s="2">
        <v>45181</v>
      </c>
      <c r="B175">
        <v>-57626.59</v>
      </c>
      <c r="C175">
        <v>27</v>
      </c>
    </row>
    <row r="176" spans="1:3" x14ac:dyDescent="0.35">
      <c r="A176" s="2">
        <v>45182</v>
      </c>
      <c r="B176">
        <v>47587.02</v>
      </c>
      <c r="C176">
        <v>27</v>
      </c>
    </row>
    <row r="177" spans="1:3" x14ac:dyDescent="0.35">
      <c r="A177" s="2">
        <v>45183</v>
      </c>
      <c r="B177">
        <v>110977.28</v>
      </c>
      <c r="C177">
        <v>27</v>
      </c>
    </row>
    <row r="178" spans="1:3" x14ac:dyDescent="0.35">
      <c r="A178" s="2">
        <v>45184</v>
      </c>
      <c r="B178">
        <v>-177610.59</v>
      </c>
      <c r="C178">
        <v>28</v>
      </c>
    </row>
    <row r="179" spans="1:3" x14ac:dyDescent="0.35">
      <c r="A179" s="2">
        <v>45187</v>
      </c>
      <c r="B179">
        <v>12393.62</v>
      </c>
      <c r="C179">
        <v>28</v>
      </c>
    </row>
    <row r="180" spans="1:3" x14ac:dyDescent="0.35">
      <c r="A180" s="2">
        <v>45188</v>
      </c>
      <c r="B180">
        <v>-75573.47</v>
      </c>
      <c r="C180">
        <v>28</v>
      </c>
    </row>
    <row r="181" spans="1:3" x14ac:dyDescent="0.35">
      <c r="A181" s="2">
        <v>45189</v>
      </c>
      <c r="B181">
        <v>-163905.06</v>
      </c>
      <c r="C181">
        <v>28</v>
      </c>
    </row>
    <row r="182" spans="1:3" x14ac:dyDescent="0.35">
      <c r="A182" s="2">
        <v>45190</v>
      </c>
      <c r="B182">
        <v>-189313.38</v>
      </c>
      <c r="C182">
        <v>28</v>
      </c>
    </row>
    <row r="183" spans="1:3" x14ac:dyDescent="0.35">
      <c r="A183" s="2">
        <v>45191</v>
      </c>
      <c r="B183">
        <v>-24706.71</v>
      </c>
      <c r="C183">
        <v>28</v>
      </c>
    </row>
    <row r="184" spans="1:3" x14ac:dyDescent="0.35">
      <c r="A184" s="2">
        <v>45194</v>
      </c>
      <c r="B184">
        <v>79770.55</v>
      </c>
      <c r="C184">
        <v>28</v>
      </c>
    </row>
    <row r="185" spans="1:3" x14ac:dyDescent="0.35">
      <c r="A185" s="2">
        <v>45195</v>
      </c>
      <c r="B185">
        <v>-124801.7</v>
      </c>
      <c r="C185">
        <v>28</v>
      </c>
    </row>
    <row r="186" spans="1:3" x14ac:dyDescent="0.35">
      <c r="A186" s="2">
        <v>45196</v>
      </c>
      <c r="B186">
        <v>31039.79</v>
      </c>
      <c r="C186">
        <v>28</v>
      </c>
    </row>
    <row r="187" spans="1:3" x14ac:dyDescent="0.35">
      <c r="A187" s="2">
        <v>45197</v>
      </c>
      <c r="B187">
        <v>136845.41</v>
      </c>
      <c r="C187">
        <v>28</v>
      </c>
    </row>
    <row r="188" spans="1:3" x14ac:dyDescent="0.35">
      <c r="A188" s="2">
        <v>45198</v>
      </c>
      <c r="B188">
        <v>9279.64</v>
      </c>
      <c r="C188">
        <v>28</v>
      </c>
    </row>
    <row r="189" spans="1:3" x14ac:dyDescent="0.35">
      <c r="A189" s="2">
        <v>45201</v>
      </c>
      <c r="B189">
        <v>131711.6</v>
      </c>
      <c r="C189">
        <v>28</v>
      </c>
    </row>
    <row r="190" spans="1:3" x14ac:dyDescent="0.35">
      <c r="A190" s="2">
        <v>45202</v>
      </c>
      <c r="B190">
        <v>-183426.96</v>
      </c>
      <c r="C190">
        <v>28</v>
      </c>
    </row>
    <row r="191" spans="1:3" x14ac:dyDescent="0.35">
      <c r="A191" s="2">
        <v>45203</v>
      </c>
      <c r="B191">
        <v>136922.67000000001</v>
      </c>
      <c r="C191">
        <v>28</v>
      </c>
    </row>
    <row r="192" spans="1:3" x14ac:dyDescent="0.35">
      <c r="A192" s="2">
        <v>45204</v>
      </c>
      <c r="B192">
        <v>41807.269999999997</v>
      </c>
      <c r="C192">
        <v>28</v>
      </c>
    </row>
    <row r="193" spans="1:3" x14ac:dyDescent="0.35">
      <c r="A193" s="2">
        <v>45205</v>
      </c>
      <c r="B193">
        <v>205138.14</v>
      </c>
      <c r="C193">
        <v>28</v>
      </c>
    </row>
    <row r="194" spans="1:3" x14ac:dyDescent="0.35">
      <c r="A194" s="2">
        <v>45208</v>
      </c>
      <c r="B194">
        <v>-4792.46</v>
      </c>
      <c r="C194">
        <v>28</v>
      </c>
    </row>
    <row r="195" spans="1:3" x14ac:dyDescent="0.35">
      <c r="A195" s="2">
        <v>45209</v>
      </c>
      <c r="B195">
        <v>71287</v>
      </c>
      <c r="C195">
        <v>28</v>
      </c>
    </row>
    <row r="196" spans="1:3" x14ac:dyDescent="0.35">
      <c r="A196" s="2">
        <v>45210</v>
      </c>
      <c r="B196">
        <v>71282.240000000005</v>
      </c>
      <c r="C196">
        <v>28</v>
      </c>
    </row>
    <row r="197" spans="1:3" x14ac:dyDescent="0.35">
      <c r="A197" s="2">
        <v>45211</v>
      </c>
      <c r="B197">
        <v>-27979.5</v>
      </c>
      <c r="C197">
        <v>28</v>
      </c>
    </row>
    <row r="198" spans="1:3" x14ac:dyDescent="0.35">
      <c r="A198" s="2">
        <v>45212</v>
      </c>
      <c r="B198">
        <v>-159982.72</v>
      </c>
      <c r="C198">
        <v>28</v>
      </c>
    </row>
    <row r="199" spans="1:3" x14ac:dyDescent="0.35">
      <c r="A199" s="2">
        <v>45215</v>
      </c>
      <c r="B199">
        <v>110156.47</v>
      </c>
      <c r="C199">
        <v>28</v>
      </c>
    </row>
    <row r="200" spans="1:3" x14ac:dyDescent="0.35">
      <c r="A200" s="2">
        <v>45216</v>
      </c>
      <c r="B200">
        <v>-70107.64</v>
      </c>
      <c r="C200">
        <v>28</v>
      </c>
    </row>
    <row r="201" spans="1:3" x14ac:dyDescent="0.35">
      <c r="A201" s="2">
        <v>45217</v>
      </c>
      <c r="B201">
        <v>-197351.48</v>
      </c>
      <c r="C201">
        <v>28</v>
      </c>
    </row>
    <row r="202" spans="1:3" x14ac:dyDescent="0.35">
      <c r="A202" s="2">
        <v>45218</v>
      </c>
      <c r="B202">
        <v>-77748.100000000006</v>
      </c>
      <c r="C202">
        <v>28</v>
      </c>
    </row>
    <row r="203" spans="1:3" x14ac:dyDescent="0.35">
      <c r="A203" s="2">
        <v>45219</v>
      </c>
      <c r="B203">
        <v>-95762.76</v>
      </c>
      <c r="C203">
        <v>31</v>
      </c>
    </row>
    <row r="204" spans="1:3" x14ac:dyDescent="0.35">
      <c r="A204" s="2">
        <v>45222</v>
      </c>
      <c r="B204">
        <v>162299.43</v>
      </c>
      <c r="C204">
        <v>31</v>
      </c>
    </row>
    <row r="205" spans="1:3" x14ac:dyDescent="0.35">
      <c r="A205" s="2">
        <v>45223</v>
      </c>
      <c r="B205">
        <v>122654.88</v>
      </c>
      <c r="C205">
        <v>31</v>
      </c>
    </row>
    <row r="206" spans="1:3" x14ac:dyDescent="0.35">
      <c r="A206" s="2">
        <v>45224</v>
      </c>
      <c r="B206">
        <v>-279045.43</v>
      </c>
      <c r="C206">
        <v>31</v>
      </c>
    </row>
    <row r="207" spans="1:3" x14ac:dyDescent="0.35">
      <c r="A207" s="2">
        <v>45225</v>
      </c>
      <c r="B207">
        <v>-218480.16</v>
      </c>
      <c r="C207">
        <v>31</v>
      </c>
    </row>
    <row r="208" spans="1:3" x14ac:dyDescent="0.35">
      <c r="A208" s="2">
        <v>45226</v>
      </c>
      <c r="B208">
        <v>41526.839999999997</v>
      </c>
      <c r="C208">
        <v>31</v>
      </c>
    </row>
    <row r="209" spans="1:3" x14ac:dyDescent="0.35">
      <c r="A209" s="2">
        <v>45229</v>
      </c>
      <c r="B209">
        <v>122894.61</v>
      </c>
      <c r="C209">
        <v>31</v>
      </c>
    </row>
    <row r="210" spans="1:3" x14ac:dyDescent="0.35">
      <c r="A210" s="2">
        <v>45230</v>
      </c>
      <c r="B210">
        <v>49918.96</v>
      </c>
      <c r="C210">
        <v>31</v>
      </c>
    </row>
    <row r="211" spans="1:3" x14ac:dyDescent="0.35">
      <c r="A211" s="2">
        <v>45231</v>
      </c>
      <c r="B211">
        <v>216940.83</v>
      </c>
      <c r="C211">
        <v>31</v>
      </c>
    </row>
    <row r="212" spans="1:3" x14ac:dyDescent="0.35">
      <c r="A212" s="2">
        <v>45232</v>
      </c>
      <c r="B212">
        <v>185956.92</v>
      </c>
      <c r="C212">
        <v>31</v>
      </c>
    </row>
    <row r="213" spans="1:3" x14ac:dyDescent="0.35">
      <c r="A213" s="2">
        <v>45233</v>
      </c>
      <c r="B213">
        <v>106850.4</v>
      </c>
      <c r="C213">
        <v>31</v>
      </c>
    </row>
    <row r="214" spans="1:3" x14ac:dyDescent="0.35">
      <c r="A214" s="2">
        <v>45236</v>
      </c>
      <c r="B214">
        <v>64806.82</v>
      </c>
      <c r="C214">
        <v>31</v>
      </c>
    </row>
    <row r="215" spans="1:3" x14ac:dyDescent="0.35">
      <c r="A215" s="2">
        <v>45237</v>
      </c>
      <c r="B215">
        <v>86622.45</v>
      </c>
      <c r="C215">
        <v>31</v>
      </c>
    </row>
    <row r="216" spans="1:3" x14ac:dyDescent="0.35">
      <c r="A216" s="2">
        <v>45238</v>
      </c>
      <c r="B216">
        <v>20562.88</v>
      </c>
      <c r="C216">
        <v>31</v>
      </c>
    </row>
    <row r="217" spans="1:3" x14ac:dyDescent="0.35">
      <c r="A217" s="2">
        <v>45239</v>
      </c>
      <c r="B217">
        <v>38183.620000000003</v>
      </c>
      <c r="C217">
        <v>31</v>
      </c>
    </row>
    <row r="218" spans="1:3" x14ac:dyDescent="0.35">
      <c r="A218" s="2">
        <v>45240</v>
      </c>
      <c r="B218">
        <v>142297.75</v>
      </c>
      <c r="C218">
        <v>31</v>
      </c>
    </row>
    <row r="219" spans="1:3" x14ac:dyDescent="0.35">
      <c r="A219" s="2">
        <v>45243</v>
      </c>
      <c r="B219">
        <v>10820.77</v>
      </c>
      <c r="C219">
        <v>31</v>
      </c>
    </row>
    <row r="220" spans="1:3" x14ac:dyDescent="0.35">
      <c r="A220" s="2">
        <v>45244</v>
      </c>
      <c r="B220">
        <v>120841.08</v>
      </c>
      <c r="C220">
        <v>31</v>
      </c>
    </row>
    <row r="221" spans="1:3" x14ac:dyDescent="0.35">
      <c r="A221" s="2">
        <v>45245</v>
      </c>
      <c r="B221">
        <v>4462.82</v>
      </c>
      <c r="C221">
        <v>31</v>
      </c>
    </row>
    <row r="222" spans="1:3" x14ac:dyDescent="0.35">
      <c r="A222" s="2">
        <v>45246</v>
      </c>
      <c r="B222">
        <v>41042.86</v>
      </c>
      <c r="C222">
        <v>31</v>
      </c>
    </row>
    <row r="223" spans="1:3" x14ac:dyDescent="0.35">
      <c r="A223" s="2">
        <v>45247</v>
      </c>
      <c r="B223">
        <v>4525.9399999999996</v>
      </c>
      <c r="C223">
        <v>31</v>
      </c>
    </row>
    <row r="224" spans="1:3" x14ac:dyDescent="0.35">
      <c r="A224" s="2">
        <v>45250</v>
      </c>
      <c r="B224">
        <v>178544.53</v>
      </c>
      <c r="C224">
        <v>31</v>
      </c>
    </row>
    <row r="225" spans="1:3" x14ac:dyDescent="0.35">
      <c r="A225" s="2">
        <v>45251</v>
      </c>
      <c r="B225">
        <v>-42692.47</v>
      </c>
      <c r="C225">
        <v>31</v>
      </c>
    </row>
    <row r="226" spans="1:3" x14ac:dyDescent="0.35">
      <c r="A226" s="2">
        <v>45252</v>
      </c>
      <c r="B226">
        <v>53497.49</v>
      </c>
      <c r="C226">
        <v>31</v>
      </c>
    </row>
    <row r="227" spans="1:3" x14ac:dyDescent="0.35">
      <c r="A227" s="2">
        <v>45254</v>
      </c>
      <c r="B227">
        <v>-8702.2999999999993</v>
      </c>
      <c r="C227">
        <v>31</v>
      </c>
    </row>
    <row r="228" spans="1:3" x14ac:dyDescent="0.35">
      <c r="A228" s="2">
        <v>45257</v>
      </c>
      <c r="B228">
        <v>46743.87</v>
      </c>
      <c r="C228">
        <v>31</v>
      </c>
    </row>
    <row r="229" spans="1:3" x14ac:dyDescent="0.35">
      <c r="A229" s="2">
        <v>45258</v>
      </c>
      <c r="B229">
        <v>101951.85</v>
      </c>
      <c r="C229">
        <v>31</v>
      </c>
    </row>
    <row r="230" spans="1:3" x14ac:dyDescent="0.35">
      <c r="A230" s="2">
        <v>45259</v>
      </c>
      <c r="B230">
        <v>-41157.57</v>
      </c>
      <c r="C230">
        <v>31</v>
      </c>
    </row>
    <row r="231" spans="1:3" x14ac:dyDescent="0.35">
      <c r="A231" s="2">
        <v>45260</v>
      </c>
      <c r="B231">
        <v>-116073.53</v>
      </c>
      <c r="C231">
        <v>31</v>
      </c>
    </row>
    <row r="232" spans="1:3" x14ac:dyDescent="0.35">
      <c r="A232" s="2">
        <v>45261</v>
      </c>
      <c r="B232">
        <v>63227.75</v>
      </c>
      <c r="C232">
        <v>31</v>
      </c>
    </row>
    <row r="233" spans="1:3" x14ac:dyDescent="0.35">
      <c r="A233" s="2">
        <v>45264</v>
      </c>
      <c r="B233">
        <v>-33701.65</v>
      </c>
      <c r="C233">
        <v>31</v>
      </c>
    </row>
    <row r="234" spans="1:3" x14ac:dyDescent="0.35">
      <c r="A234" s="2">
        <v>45265</v>
      </c>
      <c r="B234">
        <v>58070.07</v>
      </c>
      <c r="C234">
        <v>31</v>
      </c>
    </row>
    <row r="235" spans="1:3" x14ac:dyDescent="0.35">
      <c r="A235" s="2">
        <v>45266</v>
      </c>
      <c r="B235">
        <v>-130420</v>
      </c>
      <c r="C235">
        <v>31</v>
      </c>
    </row>
    <row r="236" spans="1:3" x14ac:dyDescent="0.35">
      <c r="A236" s="2">
        <v>45267</v>
      </c>
      <c r="B236">
        <v>172061.81</v>
      </c>
      <c r="C236">
        <v>31</v>
      </c>
    </row>
    <row r="237" spans="1:3" x14ac:dyDescent="0.35">
      <c r="A237" s="2">
        <v>45268</v>
      </c>
      <c r="B237">
        <v>179958.01</v>
      </c>
      <c r="C237">
        <v>31</v>
      </c>
    </row>
    <row r="238" spans="1:3" x14ac:dyDescent="0.35">
      <c r="A238" s="2">
        <v>45271</v>
      </c>
      <c r="B238">
        <v>-198817.87</v>
      </c>
      <c r="C238">
        <v>31</v>
      </c>
    </row>
    <row r="239" spans="1:3" x14ac:dyDescent="0.35">
      <c r="A239" s="2">
        <v>45272</v>
      </c>
      <c r="B239">
        <v>123379.46</v>
      </c>
      <c r="C239">
        <v>31</v>
      </c>
    </row>
    <row r="240" spans="1:3" x14ac:dyDescent="0.35">
      <c r="A240" s="2">
        <v>45273</v>
      </c>
      <c r="B240">
        <v>176459.4</v>
      </c>
      <c r="C240">
        <v>31</v>
      </c>
    </row>
    <row r="241" spans="1:3" x14ac:dyDescent="0.35">
      <c r="A241" s="2">
        <v>45274</v>
      </c>
      <c r="B241">
        <v>11210.94</v>
      </c>
      <c r="C241">
        <v>31</v>
      </c>
    </row>
    <row r="242" spans="1:3" x14ac:dyDescent="0.35">
      <c r="A242" s="2">
        <v>45275</v>
      </c>
      <c r="B242">
        <v>19952.05</v>
      </c>
      <c r="C242">
        <v>31</v>
      </c>
    </row>
    <row r="243" spans="1:3" x14ac:dyDescent="0.35">
      <c r="A243" s="2">
        <v>45278</v>
      </c>
      <c r="B243">
        <v>170319.43</v>
      </c>
      <c r="C243">
        <v>31</v>
      </c>
    </row>
    <row r="244" spans="1:3" x14ac:dyDescent="0.35">
      <c r="A244" s="2">
        <v>45279</v>
      </c>
      <c r="B244">
        <v>69272.67</v>
      </c>
      <c r="C244">
        <v>31</v>
      </c>
    </row>
    <row r="245" spans="1:3" x14ac:dyDescent="0.35">
      <c r="A245" s="2">
        <v>45280</v>
      </c>
      <c r="B245">
        <v>-51246.17</v>
      </c>
      <c r="C245">
        <v>31</v>
      </c>
    </row>
    <row r="246" spans="1:3" x14ac:dyDescent="0.35">
      <c r="A246" s="2">
        <v>45281</v>
      </c>
      <c r="B246">
        <v>148967.70000000001</v>
      </c>
      <c r="C246">
        <v>31</v>
      </c>
    </row>
    <row r="247" spans="1:3" x14ac:dyDescent="0.35">
      <c r="A247" s="2">
        <v>45282</v>
      </c>
      <c r="B247">
        <v>46836.9</v>
      </c>
      <c r="C247">
        <v>31</v>
      </c>
    </row>
    <row r="248" spans="1:3" x14ac:dyDescent="0.35">
      <c r="A248" s="2">
        <v>45286</v>
      </c>
      <c r="B248">
        <v>-2115.98</v>
      </c>
      <c r="C248">
        <v>31</v>
      </c>
    </row>
    <row r="249" spans="1:3" x14ac:dyDescent="0.35">
      <c r="A249" s="2">
        <v>45287</v>
      </c>
      <c r="B249">
        <v>110770.35</v>
      </c>
      <c r="C249">
        <v>31</v>
      </c>
    </row>
    <row r="250" spans="1:3" x14ac:dyDescent="0.35">
      <c r="A250" s="2">
        <v>45288</v>
      </c>
      <c r="B250">
        <v>12983.49</v>
      </c>
      <c r="C250">
        <v>31</v>
      </c>
    </row>
    <row r="251" spans="1:3" x14ac:dyDescent="0.35">
      <c r="A251" s="2">
        <v>45289</v>
      </c>
      <c r="B251">
        <v>-95915.58</v>
      </c>
      <c r="C251">
        <v>31</v>
      </c>
    </row>
    <row r="252" spans="1:3" x14ac:dyDescent="0.35">
      <c r="A252" s="2">
        <v>45293</v>
      </c>
      <c r="B252">
        <v>-251034.74</v>
      </c>
      <c r="C252">
        <v>31</v>
      </c>
    </row>
    <row r="253" spans="1:3" x14ac:dyDescent="0.35">
      <c r="A253" s="2">
        <v>45294</v>
      </c>
      <c r="B253">
        <v>-89648.45</v>
      </c>
      <c r="C253">
        <v>31</v>
      </c>
    </row>
    <row r="254" spans="1:3" x14ac:dyDescent="0.35">
      <c r="A254" s="2">
        <v>45295</v>
      </c>
      <c r="B254">
        <v>12263.15</v>
      </c>
      <c r="C254">
        <v>31</v>
      </c>
    </row>
    <row r="255" spans="1:3" x14ac:dyDescent="0.35">
      <c r="A255" s="2">
        <v>45296</v>
      </c>
      <c r="B255">
        <v>65432.6</v>
      </c>
      <c r="C255">
        <v>31</v>
      </c>
    </row>
    <row r="256" spans="1:3" x14ac:dyDescent="0.35">
      <c r="A256" s="2">
        <v>45299</v>
      </c>
      <c r="B256">
        <v>275643.07</v>
      </c>
      <c r="C256">
        <v>31</v>
      </c>
    </row>
    <row r="257" spans="1:3" x14ac:dyDescent="0.35">
      <c r="A257" s="2">
        <v>45300</v>
      </c>
      <c r="B257">
        <v>-2426.3000000000002</v>
      </c>
      <c r="C257">
        <v>31</v>
      </c>
    </row>
    <row r="258" spans="1:3" x14ac:dyDescent="0.35">
      <c r="A258" s="2">
        <v>45301</v>
      </c>
      <c r="B258">
        <v>111523.52</v>
      </c>
      <c r="C258">
        <v>31</v>
      </c>
    </row>
    <row r="259" spans="1:3" x14ac:dyDescent="0.35">
      <c r="A259" s="2">
        <v>45302</v>
      </c>
      <c r="B259">
        <v>-55384.46</v>
      </c>
      <c r="C259">
        <v>31</v>
      </c>
    </row>
    <row r="260" spans="1:3" x14ac:dyDescent="0.35">
      <c r="A260" s="2">
        <v>45303</v>
      </c>
      <c r="B260">
        <v>-68254.929999999993</v>
      </c>
      <c r="C260">
        <v>35</v>
      </c>
    </row>
    <row r="261" spans="1:3" x14ac:dyDescent="0.35">
      <c r="A261" s="2">
        <v>45307</v>
      </c>
      <c r="B261">
        <v>54139.56</v>
      </c>
      <c r="C261">
        <v>35</v>
      </c>
    </row>
    <row r="262" spans="1:3" x14ac:dyDescent="0.35">
      <c r="A262" s="2">
        <v>45308</v>
      </c>
      <c r="B262">
        <v>-40405.31</v>
      </c>
      <c r="C262">
        <v>35</v>
      </c>
    </row>
    <row r="263" spans="1:3" x14ac:dyDescent="0.35">
      <c r="A263" s="2">
        <v>45309</v>
      </c>
      <c r="B263">
        <v>42353.599999999999</v>
      </c>
      <c r="C263">
        <v>35</v>
      </c>
    </row>
    <row r="264" spans="1:3" x14ac:dyDescent="0.35">
      <c r="A264" s="2">
        <v>45310</v>
      </c>
      <c r="B264">
        <v>162067.1</v>
      </c>
      <c r="C264">
        <v>35</v>
      </c>
    </row>
    <row r="265" spans="1:3" x14ac:dyDescent="0.35">
      <c r="A265" s="2">
        <v>45313</v>
      </c>
      <c r="B265">
        <v>4322.22</v>
      </c>
      <c r="C265">
        <v>35</v>
      </c>
    </row>
    <row r="266" spans="1:3" x14ac:dyDescent="0.35">
      <c r="A266" s="2">
        <v>45314</v>
      </c>
      <c r="B266">
        <v>20140.38</v>
      </c>
      <c r="C266">
        <v>35</v>
      </c>
    </row>
    <row r="267" spans="1:3" x14ac:dyDescent="0.35">
      <c r="A267" s="2">
        <v>45315</v>
      </c>
      <c r="B267">
        <v>18036.87</v>
      </c>
      <c r="C267">
        <v>35</v>
      </c>
    </row>
    <row r="268" spans="1:3" x14ac:dyDescent="0.35">
      <c r="A268" s="2">
        <v>45316</v>
      </c>
      <c r="B268">
        <v>-23368.89</v>
      </c>
      <c r="C268">
        <v>35</v>
      </c>
    </row>
    <row r="269" spans="1:3" x14ac:dyDescent="0.35">
      <c r="A269" s="2">
        <v>45317</v>
      </c>
      <c r="B269">
        <v>28785.51</v>
      </c>
      <c r="C269">
        <v>35</v>
      </c>
    </row>
    <row r="270" spans="1:3" x14ac:dyDescent="0.35">
      <c r="A270" s="2">
        <v>45320</v>
      </c>
      <c r="B270">
        <v>41219.24</v>
      </c>
      <c r="C270">
        <v>35</v>
      </c>
    </row>
    <row r="271" spans="1:3" x14ac:dyDescent="0.35">
      <c r="A271" s="2">
        <v>45321</v>
      </c>
      <c r="B271">
        <v>-11721.06</v>
      </c>
      <c r="C271">
        <v>35</v>
      </c>
    </row>
    <row r="272" spans="1:3" x14ac:dyDescent="0.35">
      <c r="A272" s="2">
        <v>45322</v>
      </c>
      <c r="B272">
        <v>-72864.05</v>
      </c>
      <c r="C272">
        <v>35</v>
      </c>
    </row>
    <row r="273" spans="1:3" x14ac:dyDescent="0.35">
      <c r="A273" s="2">
        <v>45323</v>
      </c>
      <c r="B273">
        <v>66007.539999999994</v>
      </c>
      <c r="C273">
        <v>35</v>
      </c>
    </row>
    <row r="274" spans="1:3" x14ac:dyDescent="0.35">
      <c r="A274" s="2">
        <v>45324</v>
      </c>
      <c r="B274">
        <v>47596.4</v>
      </c>
      <c r="C274">
        <v>35</v>
      </c>
    </row>
    <row r="275" spans="1:3" x14ac:dyDescent="0.35">
      <c r="A275" s="2">
        <v>45327</v>
      </c>
      <c r="B275">
        <v>16858.88</v>
      </c>
      <c r="C275">
        <v>35</v>
      </c>
    </row>
    <row r="276" spans="1:3" x14ac:dyDescent="0.35">
      <c r="A276" s="2">
        <v>45328</v>
      </c>
      <c r="B276">
        <v>9920.4599999999991</v>
      </c>
      <c r="C276">
        <v>35</v>
      </c>
    </row>
    <row r="277" spans="1:3" x14ac:dyDescent="0.35">
      <c r="A277" s="2">
        <v>45329</v>
      </c>
      <c r="B277">
        <v>54107.42</v>
      </c>
      <c r="C277">
        <v>35</v>
      </c>
    </row>
    <row r="278" spans="1:3" x14ac:dyDescent="0.35">
      <c r="A278" s="2">
        <v>45330</v>
      </c>
      <c r="B278">
        <v>31244.89</v>
      </c>
      <c r="C278">
        <v>35</v>
      </c>
    </row>
    <row r="279" spans="1:3" x14ac:dyDescent="0.35">
      <c r="A279" s="2">
        <v>45331</v>
      </c>
      <c r="B279">
        <v>32185.81</v>
      </c>
      <c r="C279">
        <v>35</v>
      </c>
    </row>
    <row r="280" spans="1:3" x14ac:dyDescent="0.35">
      <c r="A280" s="2">
        <v>45334</v>
      </c>
      <c r="B280">
        <v>-35225.31</v>
      </c>
      <c r="C280">
        <v>35</v>
      </c>
    </row>
    <row r="281" spans="1:3" x14ac:dyDescent="0.35">
      <c r="A281" s="2">
        <v>45335</v>
      </c>
      <c r="B281">
        <v>-19854.96</v>
      </c>
      <c r="C281">
        <v>35</v>
      </c>
    </row>
    <row r="282" spans="1:3" x14ac:dyDescent="0.35">
      <c r="A282" s="2">
        <v>45336</v>
      </c>
      <c r="B282">
        <v>73963.679999999993</v>
      </c>
      <c r="C282">
        <v>35</v>
      </c>
    </row>
    <row r="283" spans="1:3" x14ac:dyDescent="0.35">
      <c r="A283" s="2">
        <v>45337</v>
      </c>
      <c r="B283">
        <v>-20144.41</v>
      </c>
      <c r="C283">
        <v>35</v>
      </c>
    </row>
    <row r="284" spans="1:3" x14ac:dyDescent="0.35">
      <c r="A284" s="2">
        <v>45338</v>
      </c>
      <c r="B284">
        <v>-77073.45</v>
      </c>
      <c r="C284">
        <v>35</v>
      </c>
    </row>
    <row r="285" spans="1:3" x14ac:dyDescent="0.35">
      <c r="A285" s="2">
        <v>45342</v>
      </c>
      <c r="B285">
        <v>-41077.660000000003</v>
      </c>
      <c r="C285">
        <v>35</v>
      </c>
    </row>
    <row r="286" spans="1:3" x14ac:dyDescent="0.35">
      <c r="A286" s="2">
        <v>45343</v>
      </c>
      <c r="B286">
        <v>-21607.98</v>
      </c>
      <c r="C286">
        <v>35</v>
      </c>
    </row>
    <row r="287" spans="1:3" x14ac:dyDescent="0.35">
      <c r="A287" s="2">
        <v>45344</v>
      </c>
      <c r="B287">
        <v>348788.16</v>
      </c>
      <c r="C287">
        <v>35</v>
      </c>
    </row>
    <row r="288" spans="1:3" x14ac:dyDescent="0.35">
      <c r="A288" s="2">
        <v>45345</v>
      </c>
      <c r="B288">
        <v>-31949.62</v>
      </c>
      <c r="C288">
        <v>35</v>
      </c>
    </row>
    <row r="289" spans="1:3" x14ac:dyDescent="0.35">
      <c r="A289" s="2">
        <v>45348</v>
      </c>
      <c r="B289">
        <v>-15770.66</v>
      </c>
      <c r="C289">
        <v>35</v>
      </c>
    </row>
    <row r="290" spans="1:3" x14ac:dyDescent="0.35">
      <c r="A290" s="2">
        <v>45349</v>
      </c>
      <c r="B290">
        <v>-40167.64</v>
      </c>
      <c r="C290">
        <v>35</v>
      </c>
    </row>
    <row r="291" spans="1:3" x14ac:dyDescent="0.35">
      <c r="A291" s="2">
        <v>45350</v>
      </c>
      <c r="B291">
        <v>-25548.09</v>
      </c>
      <c r="C291">
        <v>35</v>
      </c>
    </row>
    <row r="292" spans="1:3" x14ac:dyDescent="0.35">
      <c r="A292" s="2">
        <v>45351</v>
      </c>
      <c r="B292">
        <v>92381.56</v>
      </c>
      <c r="C292">
        <v>35</v>
      </c>
    </row>
    <row r="293" spans="1:3" x14ac:dyDescent="0.35">
      <c r="A293" s="2">
        <v>45352</v>
      </c>
      <c r="B293">
        <v>1038.74</v>
      </c>
      <c r="C293">
        <v>35</v>
      </c>
    </row>
    <row r="294" spans="1:3" x14ac:dyDescent="0.35">
      <c r="A294" s="2">
        <v>45355</v>
      </c>
      <c r="B294">
        <v>-31819.78</v>
      </c>
      <c r="C294">
        <v>35</v>
      </c>
    </row>
    <row r="295" spans="1:3" x14ac:dyDescent="0.35">
      <c r="A295" s="2">
        <v>45356</v>
      </c>
      <c r="B295">
        <v>-12434.18</v>
      </c>
      <c r="C295">
        <v>35</v>
      </c>
    </row>
    <row r="296" spans="1:3" x14ac:dyDescent="0.35">
      <c r="A296" s="2">
        <v>45357</v>
      </c>
      <c r="B296">
        <v>-26934.36</v>
      </c>
      <c r="C296">
        <v>35</v>
      </c>
    </row>
    <row r="297" spans="1:3" x14ac:dyDescent="0.35">
      <c r="A297" s="2">
        <v>45358</v>
      </c>
      <c r="B297">
        <v>37265.760000000002</v>
      </c>
      <c r="C297">
        <v>35</v>
      </c>
    </row>
    <row r="298" spans="1:3" x14ac:dyDescent="0.35">
      <c r="A298" s="2">
        <v>45359</v>
      </c>
      <c r="B298">
        <v>-12999.37</v>
      </c>
      <c r="C298">
        <v>35</v>
      </c>
    </row>
    <row r="299" spans="1:3" x14ac:dyDescent="0.35">
      <c r="A299" s="2">
        <v>45362</v>
      </c>
      <c r="B299">
        <v>-34204.83</v>
      </c>
      <c r="C299">
        <v>35</v>
      </c>
    </row>
    <row r="300" spans="1:3" x14ac:dyDescent="0.35">
      <c r="A300" s="2">
        <v>45363</v>
      </c>
      <c r="B300">
        <v>129263.25</v>
      </c>
      <c r="C300">
        <v>35</v>
      </c>
    </row>
    <row r="301" spans="1:3" x14ac:dyDescent="0.35">
      <c r="A301" s="2">
        <v>45364</v>
      </c>
      <c r="B301">
        <v>-7844.57</v>
      </c>
      <c r="C301">
        <v>35</v>
      </c>
    </row>
    <row r="302" spans="1:3" x14ac:dyDescent="0.35">
      <c r="A302" s="2">
        <v>45365</v>
      </c>
      <c r="B302">
        <v>22389.87</v>
      </c>
      <c r="C302">
        <v>35</v>
      </c>
    </row>
    <row r="303" spans="1:3" x14ac:dyDescent="0.35">
      <c r="A303" s="2">
        <v>45366</v>
      </c>
      <c r="B303">
        <v>2352.0700000000002</v>
      </c>
      <c r="C303">
        <v>35</v>
      </c>
    </row>
    <row r="304" spans="1:3" x14ac:dyDescent="0.35">
      <c r="A304" s="2">
        <v>45369</v>
      </c>
      <c r="B304">
        <v>62084.87</v>
      </c>
      <c r="C304">
        <v>35</v>
      </c>
    </row>
    <row r="305" spans="1:3" x14ac:dyDescent="0.35">
      <c r="A305" s="2">
        <v>45370</v>
      </c>
      <c r="B305">
        <v>29590.5</v>
      </c>
      <c r="C305">
        <v>35</v>
      </c>
    </row>
    <row r="306" spans="1:3" x14ac:dyDescent="0.35">
      <c r="A306" s="2">
        <v>45371</v>
      </c>
      <c r="B306">
        <v>70308.66</v>
      </c>
      <c r="C306">
        <v>35</v>
      </c>
    </row>
    <row r="307" spans="1:3" x14ac:dyDescent="0.35">
      <c r="A307" s="2">
        <v>45372</v>
      </c>
      <c r="B307">
        <v>9770.7000000000007</v>
      </c>
      <c r="C307">
        <v>35</v>
      </c>
    </row>
    <row r="308" spans="1:3" x14ac:dyDescent="0.35">
      <c r="A308" s="2">
        <v>45373</v>
      </c>
      <c r="B308">
        <v>26633.06</v>
      </c>
      <c r="C308">
        <v>38</v>
      </c>
    </row>
    <row r="309" spans="1:3" x14ac:dyDescent="0.35">
      <c r="A309" s="2">
        <v>45376</v>
      </c>
      <c r="B309">
        <v>1764.71</v>
      </c>
      <c r="C309">
        <v>38</v>
      </c>
    </row>
    <row r="310" spans="1:3" x14ac:dyDescent="0.35">
      <c r="A310" s="2">
        <v>45377</v>
      </c>
      <c r="B310">
        <v>-9654.0300000000007</v>
      </c>
      <c r="C310">
        <v>38</v>
      </c>
    </row>
    <row r="311" spans="1:3" x14ac:dyDescent="0.35">
      <c r="A311" s="2">
        <v>45378</v>
      </c>
      <c r="B311">
        <v>14848.91</v>
      </c>
      <c r="C311">
        <v>38</v>
      </c>
    </row>
    <row r="312" spans="1:3" x14ac:dyDescent="0.35">
      <c r="A312" s="2">
        <v>45379</v>
      </c>
      <c r="B312">
        <v>21240.43</v>
      </c>
      <c r="C312">
        <v>38</v>
      </c>
    </row>
    <row r="313" spans="1:3" x14ac:dyDescent="0.35">
      <c r="A313" s="2">
        <v>45383</v>
      </c>
      <c r="B313">
        <v>23624.49</v>
      </c>
      <c r="C313">
        <v>38</v>
      </c>
    </row>
    <row r="314" spans="1:3" x14ac:dyDescent="0.35">
      <c r="A314" s="2">
        <v>45384</v>
      </c>
      <c r="B314">
        <v>10736.38</v>
      </c>
      <c r="C314">
        <v>38</v>
      </c>
    </row>
    <row r="315" spans="1:3" x14ac:dyDescent="0.35">
      <c r="A315" s="2">
        <v>45385</v>
      </c>
      <c r="B315">
        <v>3852.45</v>
      </c>
      <c r="C315">
        <v>38</v>
      </c>
    </row>
    <row r="316" spans="1:3" x14ac:dyDescent="0.35">
      <c r="A316" s="2">
        <v>45386</v>
      </c>
      <c r="B316">
        <v>5580.73</v>
      </c>
      <c r="C316">
        <v>38</v>
      </c>
    </row>
    <row r="317" spans="1:3" x14ac:dyDescent="0.35">
      <c r="A317" s="2">
        <v>45387</v>
      </c>
      <c r="B317">
        <v>22992.14</v>
      </c>
      <c r="C317">
        <v>39</v>
      </c>
    </row>
    <row r="318" spans="1:3" x14ac:dyDescent="0.35">
      <c r="A318" s="2">
        <v>45390</v>
      </c>
      <c r="B318">
        <v>-28422.42</v>
      </c>
      <c r="C318">
        <v>39</v>
      </c>
    </row>
    <row r="319" spans="1:3" x14ac:dyDescent="0.35">
      <c r="A319" s="2">
        <v>45391</v>
      </c>
      <c r="B319">
        <v>13430.17</v>
      </c>
      <c r="C319">
        <v>39</v>
      </c>
    </row>
    <row r="320" spans="1:3" x14ac:dyDescent="0.35">
      <c r="A320" s="2">
        <v>45392</v>
      </c>
      <c r="B320">
        <v>54753.41</v>
      </c>
      <c r="C320">
        <v>39</v>
      </c>
    </row>
    <row r="321" spans="1:3" x14ac:dyDescent="0.35">
      <c r="A321" s="2">
        <v>45393</v>
      </c>
      <c r="B321">
        <v>3967.17</v>
      </c>
      <c r="C321">
        <v>39</v>
      </c>
    </row>
    <row r="322" spans="1:3" x14ac:dyDescent="0.35">
      <c r="A322" s="2">
        <v>45394</v>
      </c>
      <c r="B322">
        <v>50345.39</v>
      </c>
      <c r="C322">
        <v>39</v>
      </c>
    </row>
    <row r="323" spans="1:3" x14ac:dyDescent="0.35">
      <c r="A323" s="2">
        <v>45397</v>
      </c>
      <c r="B323">
        <v>44840.22</v>
      </c>
      <c r="C323">
        <v>39</v>
      </c>
    </row>
    <row r="324" spans="1:3" x14ac:dyDescent="0.35">
      <c r="A324" s="2">
        <v>45398</v>
      </c>
      <c r="B324">
        <v>-4564.9399999999996</v>
      </c>
      <c r="C324">
        <v>39</v>
      </c>
    </row>
    <row r="325" spans="1:3" x14ac:dyDescent="0.35">
      <c r="A325" s="2">
        <v>45399</v>
      </c>
      <c r="B325">
        <v>-31952.880000000001</v>
      </c>
      <c r="C325">
        <v>39</v>
      </c>
    </row>
    <row r="326" spans="1:3" x14ac:dyDescent="0.35">
      <c r="A326" s="2">
        <v>45400</v>
      </c>
      <c r="B326">
        <v>27945.599999999999</v>
      </c>
      <c r="C326">
        <v>39</v>
      </c>
    </row>
    <row r="327" spans="1:3" x14ac:dyDescent="0.35">
      <c r="A327" s="2">
        <v>45401</v>
      </c>
      <c r="B327">
        <v>-102093.25</v>
      </c>
      <c r="C327">
        <v>39</v>
      </c>
    </row>
    <row r="328" spans="1:3" x14ac:dyDescent="0.35">
      <c r="A328" s="2">
        <v>45404</v>
      </c>
      <c r="B328">
        <v>8326.6</v>
      </c>
      <c r="C328">
        <v>39</v>
      </c>
    </row>
    <row r="329" spans="1:3" x14ac:dyDescent="0.35">
      <c r="A329" s="2">
        <v>45405</v>
      </c>
      <c r="B329">
        <v>-20552.14</v>
      </c>
      <c r="C329">
        <v>39</v>
      </c>
    </row>
    <row r="330" spans="1:3" x14ac:dyDescent="0.35">
      <c r="A330" s="2">
        <v>45406</v>
      </c>
      <c r="B330">
        <v>88850.34</v>
      </c>
      <c r="C330">
        <v>39</v>
      </c>
    </row>
    <row r="331" spans="1:3" x14ac:dyDescent="0.35">
      <c r="A331" s="2">
        <v>45407</v>
      </c>
      <c r="B331">
        <v>-1033.49</v>
      </c>
      <c r="C331">
        <v>39</v>
      </c>
    </row>
    <row r="332" spans="1:3" x14ac:dyDescent="0.35">
      <c r="A332" s="2">
        <v>45408</v>
      </c>
      <c r="B332">
        <v>-66239.47</v>
      </c>
      <c r="C332">
        <v>39</v>
      </c>
    </row>
    <row r="333" spans="1:3" x14ac:dyDescent="0.35">
      <c r="A333" s="2">
        <v>45411</v>
      </c>
      <c r="B333">
        <v>-78033.490000000005</v>
      </c>
      <c r="C333">
        <v>39</v>
      </c>
    </row>
    <row r="334" spans="1:3" x14ac:dyDescent="0.35">
      <c r="A334" s="2">
        <v>45412</v>
      </c>
      <c r="B334">
        <v>39382.81</v>
      </c>
      <c r="C334">
        <v>39</v>
      </c>
    </row>
    <row r="335" spans="1:3" x14ac:dyDescent="0.35">
      <c r="A335" s="2">
        <v>45413</v>
      </c>
      <c r="B335">
        <v>62525.96</v>
      </c>
      <c r="C335">
        <v>39</v>
      </c>
    </row>
    <row r="336" spans="1:3" x14ac:dyDescent="0.35">
      <c r="A336" s="2">
        <v>45414</v>
      </c>
      <c r="B336">
        <v>85464.639999999999</v>
      </c>
      <c r="C336">
        <v>39</v>
      </c>
    </row>
    <row r="337" spans="1:3" x14ac:dyDescent="0.35">
      <c r="A337" s="2">
        <v>45415</v>
      </c>
      <c r="B337">
        <v>22257.07</v>
      </c>
      <c r="C337">
        <v>39</v>
      </c>
    </row>
    <row r="338" spans="1:3" x14ac:dyDescent="0.35">
      <c r="A338" s="2">
        <v>45418</v>
      </c>
      <c r="B338">
        <v>-6147.94</v>
      </c>
      <c r="C338">
        <v>39</v>
      </c>
    </row>
    <row r="339" spans="1:3" x14ac:dyDescent="0.35">
      <c r="A339" s="2">
        <v>45419</v>
      </c>
      <c r="B339">
        <v>41325.17</v>
      </c>
      <c r="C339">
        <v>39</v>
      </c>
    </row>
    <row r="340" spans="1:3" x14ac:dyDescent="0.35">
      <c r="A340" s="2">
        <v>45420</v>
      </c>
      <c r="B340">
        <v>1121.31</v>
      </c>
      <c r="C340">
        <v>39</v>
      </c>
    </row>
    <row r="341" spans="1:3" x14ac:dyDescent="0.35">
      <c r="A341" s="2">
        <v>45421</v>
      </c>
      <c r="B341">
        <v>10431.52</v>
      </c>
      <c r="C341">
        <v>39</v>
      </c>
    </row>
    <row r="342" spans="1:3" x14ac:dyDescent="0.35">
      <c r="A342" s="2">
        <v>45422</v>
      </c>
      <c r="B342">
        <v>15420.69</v>
      </c>
      <c r="C342">
        <v>39</v>
      </c>
    </row>
    <row r="343" spans="1:3" x14ac:dyDescent="0.35">
      <c r="A343" s="2">
        <v>45425</v>
      </c>
      <c r="B343">
        <v>-15526.5</v>
      </c>
      <c r="C343">
        <v>39</v>
      </c>
    </row>
    <row r="344" spans="1:3" x14ac:dyDescent="0.35">
      <c r="A344" s="2">
        <v>45426</v>
      </c>
      <c r="B344">
        <v>-8655.0400000000009</v>
      </c>
      <c r="C344">
        <v>39</v>
      </c>
    </row>
    <row r="345" spans="1:3" x14ac:dyDescent="0.35">
      <c r="A345" s="2">
        <v>45427</v>
      </c>
      <c r="B345">
        <v>-22367.27</v>
      </c>
      <c r="C345">
        <v>39</v>
      </c>
    </row>
    <row r="346" spans="1:3" x14ac:dyDescent="0.35">
      <c r="A346" s="2">
        <v>45428</v>
      </c>
      <c r="B346">
        <v>60002.99</v>
      </c>
      <c r="C346">
        <v>39</v>
      </c>
    </row>
    <row r="347" spans="1:3" x14ac:dyDescent="0.35">
      <c r="A347" s="2">
        <v>45429</v>
      </c>
      <c r="B347">
        <v>-13921.31</v>
      </c>
      <c r="C347">
        <v>39</v>
      </c>
    </row>
    <row r="348" spans="1:3" x14ac:dyDescent="0.35">
      <c r="A348" s="2">
        <v>45432</v>
      </c>
      <c r="B348">
        <v>-13766.25</v>
      </c>
      <c r="C348">
        <v>39</v>
      </c>
    </row>
    <row r="349" spans="1:3" x14ac:dyDescent="0.35">
      <c r="A349" s="2">
        <v>45433</v>
      </c>
      <c r="B349">
        <v>-27912.45</v>
      </c>
      <c r="C349">
        <v>39</v>
      </c>
    </row>
    <row r="350" spans="1:3" x14ac:dyDescent="0.35">
      <c r="A350" s="2">
        <v>45434</v>
      </c>
      <c r="B350">
        <v>33553.230000000003</v>
      </c>
      <c r="C350">
        <v>39</v>
      </c>
    </row>
    <row r="351" spans="1:3" x14ac:dyDescent="0.35">
      <c r="A351" s="2">
        <v>45435</v>
      </c>
      <c r="B351">
        <v>25250.23</v>
      </c>
      <c r="C351">
        <v>39</v>
      </c>
    </row>
    <row r="352" spans="1:3" x14ac:dyDescent="0.35">
      <c r="A352" s="2">
        <v>45436</v>
      </c>
      <c r="B352">
        <v>-55989.53</v>
      </c>
      <c r="C352">
        <v>39</v>
      </c>
    </row>
    <row r="353" spans="1:3" x14ac:dyDescent="0.35">
      <c r="A353" s="2">
        <v>45440</v>
      </c>
      <c r="B353">
        <v>-7432.92</v>
      </c>
      <c r="C353">
        <v>39</v>
      </c>
    </row>
    <row r="354" spans="1:3" x14ac:dyDescent="0.35">
      <c r="A354" s="2">
        <v>45441</v>
      </c>
      <c r="B354">
        <v>-639.91</v>
      </c>
      <c r="C354">
        <v>39</v>
      </c>
    </row>
    <row r="355" spans="1:3" x14ac:dyDescent="0.35">
      <c r="A355" s="2">
        <v>45442</v>
      </c>
      <c r="B355">
        <v>46086.45</v>
      </c>
      <c r="C355">
        <v>39</v>
      </c>
    </row>
    <row r="356" spans="1:3" x14ac:dyDescent="0.35">
      <c r="A356" s="2">
        <v>45443</v>
      </c>
      <c r="B356">
        <v>6090.35</v>
      </c>
      <c r="C356">
        <v>39</v>
      </c>
    </row>
    <row r="357" spans="1:3" x14ac:dyDescent="0.35">
      <c r="A357" s="2">
        <v>45446</v>
      </c>
      <c r="B357">
        <v>18824.830000000002</v>
      </c>
      <c r="C357">
        <v>39</v>
      </c>
    </row>
    <row r="358" spans="1:3" x14ac:dyDescent="0.35">
      <c r="A358" s="2">
        <v>45447</v>
      </c>
      <c r="B358">
        <v>7846.92</v>
      </c>
      <c r="C358">
        <v>39</v>
      </c>
    </row>
    <row r="359" spans="1:3" x14ac:dyDescent="0.35">
      <c r="A359" s="2">
        <v>45448</v>
      </c>
      <c r="B359">
        <v>-67141.2</v>
      </c>
      <c r="C359">
        <v>39</v>
      </c>
    </row>
    <row r="360" spans="1:3" x14ac:dyDescent="0.35">
      <c r="A360" s="2">
        <v>45449</v>
      </c>
      <c r="B360">
        <v>32604.6</v>
      </c>
      <c r="C360">
        <v>39</v>
      </c>
    </row>
    <row r="361" spans="1:3" x14ac:dyDescent="0.35">
      <c r="A361" s="2">
        <v>45450</v>
      </c>
      <c r="B361">
        <v>39715.449999999997</v>
      </c>
      <c r="C361">
        <v>40</v>
      </c>
    </row>
    <row r="362" spans="1:3" x14ac:dyDescent="0.35">
      <c r="A362" s="2">
        <v>45453</v>
      </c>
      <c r="B362">
        <v>19807.509999999998</v>
      </c>
      <c r="C362">
        <v>40</v>
      </c>
    </row>
    <row r="363" spans="1:3" x14ac:dyDescent="0.35">
      <c r="A363" s="2">
        <v>45454</v>
      </c>
      <c r="B363">
        <v>15627.82</v>
      </c>
      <c r="C363">
        <v>40</v>
      </c>
    </row>
    <row r="364" spans="1:3" x14ac:dyDescent="0.35">
      <c r="A364" s="2">
        <v>45455</v>
      </c>
      <c r="B364">
        <v>-24493.24</v>
      </c>
      <c r="C364">
        <v>40</v>
      </c>
    </row>
    <row r="365" spans="1:3" x14ac:dyDescent="0.35">
      <c r="A365" s="2">
        <v>45456</v>
      </c>
      <c r="B365">
        <v>119.04</v>
      </c>
      <c r="C365">
        <v>40</v>
      </c>
    </row>
    <row r="366" spans="1:3" x14ac:dyDescent="0.35">
      <c r="A366" s="2">
        <v>45457</v>
      </c>
      <c r="B366">
        <v>3164.31</v>
      </c>
      <c r="C366">
        <v>40</v>
      </c>
    </row>
    <row r="367" spans="1:3" x14ac:dyDescent="0.35">
      <c r="A367" s="2">
        <v>45460</v>
      </c>
      <c r="B367">
        <v>-32132.43</v>
      </c>
      <c r="C367">
        <v>40</v>
      </c>
    </row>
    <row r="368" spans="1:3" x14ac:dyDescent="0.35">
      <c r="A368" s="2">
        <v>45461</v>
      </c>
      <c r="B368">
        <v>17901.439999999999</v>
      </c>
      <c r="C368">
        <v>40</v>
      </c>
    </row>
    <row r="369" spans="1:3" x14ac:dyDescent="0.35">
      <c r="A369" s="2">
        <v>45463</v>
      </c>
      <c r="B369">
        <v>63106.64</v>
      </c>
      <c r="C369">
        <v>40</v>
      </c>
    </row>
    <row r="370" spans="1:3" x14ac:dyDescent="0.35">
      <c r="A370" s="2">
        <v>45464</v>
      </c>
      <c r="B370">
        <v>-27404.45</v>
      </c>
      <c r="C370">
        <v>40</v>
      </c>
    </row>
    <row r="371" spans="1:3" x14ac:dyDescent="0.35">
      <c r="A371" s="2">
        <v>45467</v>
      </c>
      <c r="B371">
        <v>37147.17</v>
      </c>
      <c r="C371">
        <v>40</v>
      </c>
    </row>
    <row r="372" spans="1:3" x14ac:dyDescent="0.35">
      <c r="A372" s="2">
        <v>45468</v>
      </c>
      <c r="B372">
        <v>49485.57</v>
      </c>
      <c r="C372">
        <v>40</v>
      </c>
    </row>
    <row r="373" spans="1:3" x14ac:dyDescent="0.35">
      <c r="A373" s="2">
        <v>45469</v>
      </c>
      <c r="B373">
        <v>70.36</v>
      </c>
      <c r="C373">
        <v>40</v>
      </c>
    </row>
    <row r="374" spans="1:3" x14ac:dyDescent="0.35">
      <c r="A374" s="2">
        <v>45470</v>
      </c>
      <c r="B374">
        <v>5172.96</v>
      </c>
      <c r="C374">
        <v>40</v>
      </c>
    </row>
    <row r="375" spans="1:3" x14ac:dyDescent="0.35">
      <c r="A375" s="2">
        <v>45471</v>
      </c>
      <c r="B375">
        <v>3985.92</v>
      </c>
      <c r="C375">
        <v>41</v>
      </c>
    </row>
    <row r="376" spans="1:3" x14ac:dyDescent="0.35">
      <c r="A376" s="2">
        <v>45474</v>
      </c>
      <c r="B376">
        <v>6338.46</v>
      </c>
      <c r="C376">
        <v>41</v>
      </c>
    </row>
    <row r="377" spans="1:3" x14ac:dyDescent="0.35">
      <c r="A377" s="2">
        <v>45475</v>
      </c>
      <c r="B377">
        <v>-121629.15</v>
      </c>
      <c r="C377">
        <v>41</v>
      </c>
    </row>
    <row r="378" spans="1:3" x14ac:dyDescent="0.35">
      <c r="A378" s="2">
        <v>45476</v>
      </c>
      <c r="B378">
        <v>-78286.63</v>
      </c>
      <c r="C378">
        <v>41</v>
      </c>
    </row>
    <row r="379" spans="1:3" x14ac:dyDescent="0.35">
      <c r="A379" s="2">
        <v>45478</v>
      </c>
      <c r="B379">
        <v>-58931.360000000001</v>
      </c>
      <c r="C379">
        <v>41</v>
      </c>
    </row>
    <row r="380" spans="1:3" x14ac:dyDescent="0.35">
      <c r="A380" s="2">
        <v>45481</v>
      </c>
      <c r="B380">
        <v>-259.47000000000003</v>
      </c>
      <c r="C380">
        <v>41</v>
      </c>
    </row>
    <row r="381" spans="1:3" x14ac:dyDescent="0.35">
      <c r="A381" s="2">
        <v>45482</v>
      </c>
      <c r="B381">
        <v>-21576.79</v>
      </c>
      <c r="C381">
        <v>41</v>
      </c>
    </row>
    <row r="382" spans="1:3" x14ac:dyDescent="0.35">
      <c r="A382" s="2">
        <v>45483</v>
      </c>
      <c r="B382">
        <v>-26865.98</v>
      </c>
      <c r="C382">
        <v>41</v>
      </c>
    </row>
    <row r="383" spans="1:3" x14ac:dyDescent="0.35">
      <c r="A383" s="2">
        <v>45484</v>
      </c>
      <c r="B383">
        <v>120644.31</v>
      </c>
      <c r="C383">
        <v>41</v>
      </c>
    </row>
    <row r="384" spans="1:3" x14ac:dyDescent="0.35">
      <c r="A384" s="2">
        <v>45485</v>
      </c>
      <c r="B384">
        <v>10167.27</v>
      </c>
      <c r="C384">
        <v>42</v>
      </c>
    </row>
    <row r="385" spans="1:3" x14ac:dyDescent="0.35">
      <c r="A385" s="2">
        <v>45488</v>
      </c>
      <c r="B385">
        <v>-3027.06</v>
      </c>
      <c r="C385">
        <v>42</v>
      </c>
    </row>
    <row r="386" spans="1:3" x14ac:dyDescent="0.35">
      <c r="A386" s="2">
        <v>45489</v>
      </c>
      <c r="B386">
        <v>-7346.01</v>
      </c>
      <c r="C386">
        <v>42</v>
      </c>
    </row>
    <row r="387" spans="1:3" x14ac:dyDescent="0.35">
      <c r="A387" s="2">
        <v>45490</v>
      </c>
      <c r="B387">
        <v>19522.240000000002</v>
      </c>
      <c r="C387">
        <v>42</v>
      </c>
    </row>
    <row r="388" spans="1:3" x14ac:dyDescent="0.35">
      <c r="A388" s="2">
        <v>45491</v>
      </c>
      <c r="B388">
        <v>57778.78</v>
      </c>
      <c r="C388">
        <v>42</v>
      </c>
    </row>
    <row r="389" spans="1:3" x14ac:dyDescent="0.35">
      <c r="A389" s="2">
        <v>45492</v>
      </c>
      <c r="B389">
        <v>-69017.81</v>
      </c>
      <c r="C389">
        <v>42</v>
      </c>
    </row>
    <row r="390" spans="1:3" x14ac:dyDescent="0.35">
      <c r="A390" s="2">
        <v>45495</v>
      </c>
      <c r="B390">
        <v>19575.400000000001</v>
      </c>
      <c r="C390">
        <v>42</v>
      </c>
    </row>
    <row r="391" spans="1:3" x14ac:dyDescent="0.35">
      <c r="A391" s="2">
        <v>45496</v>
      </c>
      <c r="B391">
        <v>39703.5</v>
      </c>
      <c r="C391">
        <v>42</v>
      </c>
    </row>
    <row r="392" spans="1:3" x14ac:dyDescent="0.35">
      <c r="A392" s="2">
        <v>45497</v>
      </c>
      <c r="B392">
        <v>36863.18</v>
      </c>
      <c r="C392">
        <v>42</v>
      </c>
    </row>
    <row r="393" spans="1:3" x14ac:dyDescent="0.35">
      <c r="A393" s="2">
        <v>45498</v>
      </c>
      <c r="B393">
        <v>-14593.65</v>
      </c>
      <c r="C393">
        <v>42</v>
      </c>
    </row>
    <row r="394" spans="1:3" x14ac:dyDescent="0.35">
      <c r="A394" s="2">
        <v>45499</v>
      </c>
      <c r="B394">
        <v>78685.05</v>
      </c>
      <c r="C394">
        <v>44</v>
      </c>
    </row>
    <row r="395" spans="1:3" x14ac:dyDescent="0.35">
      <c r="A395" s="2">
        <v>45502</v>
      </c>
      <c r="B395">
        <v>15276.06</v>
      </c>
      <c r="C395">
        <v>44</v>
      </c>
    </row>
    <row r="396" spans="1:3" x14ac:dyDescent="0.35">
      <c r="A396" s="2">
        <v>45503</v>
      </c>
      <c r="B396">
        <v>8999.11</v>
      </c>
      <c r="C396">
        <v>44</v>
      </c>
    </row>
    <row r="397" spans="1:3" x14ac:dyDescent="0.35">
      <c r="A397" s="2">
        <v>45504</v>
      </c>
      <c r="B397">
        <v>137957.93</v>
      </c>
      <c r="C397">
        <v>44</v>
      </c>
    </row>
    <row r="398" spans="1:3" x14ac:dyDescent="0.35">
      <c r="A398" s="2">
        <v>45505</v>
      </c>
      <c r="B398">
        <v>39628.11</v>
      </c>
      <c r="C398">
        <v>44</v>
      </c>
    </row>
    <row r="399" spans="1:3" x14ac:dyDescent="0.35">
      <c r="A399" s="2">
        <v>45506</v>
      </c>
      <c r="B399">
        <v>-25970.47</v>
      </c>
      <c r="C399">
        <v>44</v>
      </c>
    </row>
    <row r="400" spans="1:3" x14ac:dyDescent="0.35">
      <c r="A400" s="2">
        <v>45509</v>
      </c>
      <c r="B400">
        <v>9423.4500000000007</v>
      </c>
      <c r="C400">
        <v>44</v>
      </c>
    </row>
    <row r="401" spans="1:3" x14ac:dyDescent="0.35">
      <c r="A401" s="2">
        <v>45510</v>
      </c>
      <c r="B401">
        <v>120516.86</v>
      </c>
      <c r="C401">
        <v>44</v>
      </c>
    </row>
    <row r="402" spans="1:3" x14ac:dyDescent="0.35">
      <c r="A402" s="2">
        <v>45511</v>
      </c>
      <c r="B402">
        <v>-85183.82</v>
      </c>
      <c r="C402">
        <v>44</v>
      </c>
    </row>
    <row r="403" spans="1:3" x14ac:dyDescent="0.35">
      <c r="A403" s="2">
        <v>45512</v>
      </c>
      <c r="B403">
        <v>201912.33</v>
      </c>
      <c r="C403">
        <v>44</v>
      </c>
    </row>
    <row r="404" spans="1:3" x14ac:dyDescent="0.35">
      <c r="A404" s="2">
        <v>45513</v>
      </c>
      <c r="B404">
        <v>62085.31</v>
      </c>
      <c r="C404">
        <v>44</v>
      </c>
    </row>
    <row r="405" spans="1:3" x14ac:dyDescent="0.35">
      <c r="A405" s="2">
        <v>45516</v>
      </c>
      <c r="B405">
        <v>-16342.17</v>
      </c>
      <c r="C405">
        <v>44</v>
      </c>
    </row>
    <row r="406" spans="1:3" x14ac:dyDescent="0.35">
      <c r="A406" s="2">
        <v>45517</v>
      </c>
      <c r="B406">
        <v>-22697.74</v>
      </c>
      <c r="C406">
        <v>44</v>
      </c>
    </row>
    <row r="407" spans="1:3" x14ac:dyDescent="0.35">
      <c r="A407" s="2">
        <v>45518</v>
      </c>
      <c r="B407">
        <v>4503.17</v>
      </c>
      <c r="C407">
        <v>44</v>
      </c>
    </row>
    <row r="408" spans="1:3" x14ac:dyDescent="0.35">
      <c r="A408" s="2">
        <v>45519</v>
      </c>
      <c r="B408">
        <v>-91247.88</v>
      </c>
      <c r="C408">
        <v>44</v>
      </c>
    </row>
    <row r="409" spans="1:3" x14ac:dyDescent="0.35">
      <c r="A409" s="2">
        <v>45520</v>
      </c>
      <c r="B409">
        <v>-18976.419999999998</v>
      </c>
      <c r="C409">
        <v>44</v>
      </c>
    </row>
    <row r="410" spans="1:3" x14ac:dyDescent="0.35">
      <c r="A410" s="2">
        <v>45523</v>
      </c>
      <c r="B410">
        <v>13555.62</v>
      </c>
      <c r="C410">
        <v>44</v>
      </c>
    </row>
    <row r="411" spans="1:3" x14ac:dyDescent="0.35">
      <c r="A411" s="2">
        <v>45524</v>
      </c>
      <c r="B411">
        <v>10977.21</v>
      </c>
      <c r="C411">
        <v>44</v>
      </c>
    </row>
    <row r="412" spans="1:3" x14ac:dyDescent="0.35">
      <c r="A412" s="2">
        <v>45525</v>
      </c>
      <c r="B412">
        <v>16792.240000000002</v>
      </c>
      <c r="C412">
        <v>44</v>
      </c>
    </row>
    <row r="413" spans="1:3" x14ac:dyDescent="0.35">
      <c r="A413" s="2">
        <v>45526</v>
      </c>
      <c r="B413">
        <v>31272.91</v>
      </c>
      <c r="C413">
        <v>44</v>
      </c>
    </row>
    <row r="414" spans="1:3" x14ac:dyDescent="0.35">
      <c r="A414" s="2">
        <v>45527</v>
      </c>
      <c r="B414">
        <v>49713.599999999999</v>
      </c>
      <c r="C414">
        <v>44</v>
      </c>
    </row>
    <row r="415" spans="1:3" x14ac:dyDescent="0.35">
      <c r="A415" s="2">
        <v>45530</v>
      </c>
      <c r="B415">
        <v>9864.1</v>
      </c>
      <c r="C415">
        <v>44</v>
      </c>
    </row>
    <row r="416" spans="1:3" x14ac:dyDescent="0.35">
      <c r="A416" s="2">
        <v>45531</v>
      </c>
      <c r="B416">
        <v>2696.09</v>
      </c>
      <c r="C416">
        <v>44</v>
      </c>
    </row>
    <row r="417" spans="1:3" x14ac:dyDescent="0.35">
      <c r="A417" s="2">
        <v>45532</v>
      </c>
      <c r="B417">
        <v>-20797.900000000001</v>
      </c>
      <c r="C417">
        <v>44</v>
      </c>
    </row>
    <row r="418" spans="1:3" x14ac:dyDescent="0.35">
      <c r="A418" s="2">
        <v>45533</v>
      </c>
      <c r="B418">
        <v>-684.73</v>
      </c>
      <c r="C418">
        <v>44</v>
      </c>
    </row>
    <row r="419" spans="1:3" x14ac:dyDescent="0.35">
      <c r="A419" s="2">
        <v>45534</v>
      </c>
      <c r="B419">
        <v>61913.53</v>
      </c>
      <c r="C419">
        <v>44</v>
      </c>
    </row>
    <row r="420" spans="1:3" x14ac:dyDescent="0.35">
      <c r="A420" s="2">
        <v>45538</v>
      </c>
      <c r="B420">
        <v>10932.79</v>
      </c>
      <c r="C420">
        <v>44</v>
      </c>
    </row>
    <row r="421" spans="1:3" x14ac:dyDescent="0.35">
      <c r="A421" s="2">
        <v>45539</v>
      </c>
      <c r="B421">
        <v>-16958.169999999998</v>
      </c>
      <c r="C421">
        <v>44</v>
      </c>
    </row>
    <row r="422" spans="1:3" x14ac:dyDescent="0.35">
      <c r="A422" s="2">
        <v>45540</v>
      </c>
      <c r="B422">
        <v>-4368.24</v>
      </c>
      <c r="C422">
        <v>44</v>
      </c>
    </row>
    <row r="423" spans="1:3" x14ac:dyDescent="0.35">
      <c r="A423" s="2">
        <v>45541</v>
      </c>
      <c r="B423">
        <v>-108194.18</v>
      </c>
      <c r="C423">
        <v>46</v>
      </c>
    </row>
    <row r="424" spans="1:3" x14ac:dyDescent="0.35">
      <c r="A424" s="2">
        <v>45544</v>
      </c>
      <c r="B424">
        <v>15248.08</v>
      </c>
      <c r="C424">
        <v>46</v>
      </c>
    </row>
    <row r="425" spans="1:3" x14ac:dyDescent="0.35">
      <c r="A425" s="2">
        <v>45545</v>
      </c>
      <c r="B425">
        <v>-45525.47</v>
      </c>
      <c r="C425">
        <v>46</v>
      </c>
    </row>
    <row r="426" spans="1:3" x14ac:dyDescent="0.35">
      <c r="A426" s="2">
        <v>45546</v>
      </c>
      <c r="B426">
        <v>-65026.69</v>
      </c>
      <c r="C426">
        <v>46</v>
      </c>
    </row>
    <row r="427" spans="1:3" x14ac:dyDescent="0.35">
      <c r="A427" s="2">
        <v>45547</v>
      </c>
      <c r="B427">
        <v>-84251.75</v>
      </c>
      <c r="C427">
        <v>46</v>
      </c>
    </row>
    <row r="428" spans="1:3" x14ac:dyDescent="0.35">
      <c r="A428" s="2">
        <v>45548</v>
      </c>
      <c r="B428">
        <v>-8752.16</v>
      </c>
      <c r="C428">
        <v>46</v>
      </c>
    </row>
    <row r="429" spans="1:3" x14ac:dyDescent="0.35">
      <c r="A429" s="2">
        <v>45551</v>
      </c>
      <c r="B429">
        <v>-11949.93</v>
      </c>
      <c r="C429">
        <v>46</v>
      </c>
    </row>
    <row r="430" spans="1:3" x14ac:dyDescent="0.35">
      <c r="A430" s="2">
        <v>45552</v>
      </c>
      <c r="B430">
        <v>19064.150000000001</v>
      </c>
      <c r="C430">
        <v>46</v>
      </c>
    </row>
    <row r="431" spans="1:3" x14ac:dyDescent="0.35">
      <c r="A431" s="2">
        <v>45553</v>
      </c>
      <c r="B431">
        <v>6910.65</v>
      </c>
      <c r="C431">
        <v>46</v>
      </c>
    </row>
    <row r="432" spans="1:3" x14ac:dyDescent="0.35">
      <c r="A432" s="2">
        <v>45554</v>
      </c>
      <c r="B432">
        <v>29371.47</v>
      </c>
      <c r="C432">
        <v>46</v>
      </c>
    </row>
    <row r="433" spans="1:3" x14ac:dyDescent="0.35">
      <c r="A433" s="2">
        <v>45555</v>
      </c>
      <c r="B433">
        <v>8259.94</v>
      </c>
      <c r="C433">
        <v>48</v>
      </c>
    </row>
    <row r="434" spans="1:3" x14ac:dyDescent="0.35">
      <c r="A434" s="2">
        <v>45558</v>
      </c>
      <c r="B434">
        <v>9005.68</v>
      </c>
      <c r="C434">
        <v>48</v>
      </c>
    </row>
    <row r="435" spans="1:3" x14ac:dyDescent="0.35">
      <c r="A435" s="2">
        <v>45559</v>
      </c>
      <c r="B435">
        <v>-31832.43</v>
      </c>
      <c r="C435">
        <v>48</v>
      </c>
    </row>
    <row r="436" spans="1:3" x14ac:dyDescent="0.35">
      <c r="A436" s="2">
        <v>45560</v>
      </c>
      <c r="B436">
        <v>19706.7</v>
      </c>
      <c r="C436">
        <v>48</v>
      </c>
    </row>
    <row r="437" spans="1:3" x14ac:dyDescent="0.35">
      <c r="A437" s="2">
        <v>45561</v>
      </c>
      <c r="B437">
        <v>-58046.6</v>
      </c>
      <c r="C437">
        <v>48</v>
      </c>
    </row>
    <row r="438" spans="1:3" x14ac:dyDescent="0.35">
      <c r="A438" s="2">
        <v>45562</v>
      </c>
      <c r="B438">
        <v>-51236.43</v>
      </c>
      <c r="C438">
        <v>49</v>
      </c>
    </row>
    <row r="439" spans="1:3" x14ac:dyDescent="0.35">
      <c r="A439" s="2">
        <v>45565</v>
      </c>
      <c r="B439">
        <v>-13124.46</v>
      </c>
      <c r="C439">
        <v>49</v>
      </c>
    </row>
    <row r="440" spans="1:3" x14ac:dyDescent="0.35">
      <c r="A440" s="2">
        <v>45566</v>
      </c>
      <c r="B440">
        <v>-39441.68</v>
      </c>
      <c r="C440">
        <v>49</v>
      </c>
    </row>
    <row r="441" spans="1:3" x14ac:dyDescent="0.35">
      <c r="A441" s="2">
        <v>45567</v>
      </c>
      <c r="B441">
        <v>-11019.46</v>
      </c>
      <c r="C441">
        <v>49</v>
      </c>
    </row>
    <row r="442" spans="1:3" x14ac:dyDescent="0.35">
      <c r="A442" s="2">
        <v>45568</v>
      </c>
      <c r="B442">
        <v>-9169.23</v>
      </c>
      <c r="C442">
        <v>49</v>
      </c>
    </row>
    <row r="443" spans="1:3" x14ac:dyDescent="0.35">
      <c r="A443" s="2">
        <v>45569</v>
      </c>
      <c r="B443">
        <v>135373.09</v>
      </c>
      <c r="C443">
        <v>51</v>
      </c>
    </row>
    <row r="444" spans="1:3" x14ac:dyDescent="0.35">
      <c r="A444" s="2">
        <v>45572</v>
      </c>
      <c r="B444">
        <v>-38983.15</v>
      </c>
      <c r="C444">
        <v>51</v>
      </c>
    </row>
    <row r="445" spans="1:3" x14ac:dyDescent="0.35">
      <c r="A445" s="2">
        <v>45573</v>
      </c>
      <c r="B445">
        <v>1503.11</v>
      </c>
      <c r="C445">
        <v>51</v>
      </c>
    </row>
    <row r="446" spans="1:3" x14ac:dyDescent="0.35">
      <c r="A446" s="2">
        <v>45574</v>
      </c>
      <c r="B446">
        <v>26492.36</v>
      </c>
      <c r="C446">
        <v>51</v>
      </c>
    </row>
    <row r="447" spans="1:3" x14ac:dyDescent="0.35">
      <c r="A447" s="2">
        <v>45575</v>
      </c>
      <c r="B447">
        <v>16179.45</v>
      </c>
      <c r="C447">
        <v>51</v>
      </c>
    </row>
    <row r="448" spans="1:3" x14ac:dyDescent="0.35">
      <c r="A448" s="2">
        <v>45576</v>
      </c>
      <c r="B448">
        <v>-105883.08</v>
      </c>
      <c r="C448">
        <v>53</v>
      </c>
    </row>
    <row r="449" spans="1:3" x14ac:dyDescent="0.35">
      <c r="A449" s="2">
        <v>45579</v>
      </c>
      <c r="B449">
        <v>-2215.16</v>
      </c>
      <c r="C449">
        <v>53</v>
      </c>
    </row>
    <row r="450" spans="1:3" x14ac:dyDescent="0.35">
      <c r="A450" s="2">
        <v>45580</v>
      </c>
      <c r="B450">
        <v>-3713.93</v>
      </c>
      <c r="C450">
        <v>53</v>
      </c>
    </row>
    <row r="451" spans="1:3" x14ac:dyDescent="0.35">
      <c r="A451" s="2">
        <v>45581</v>
      </c>
      <c r="B451">
        <v>-32740.92</v>
      </c>
      <c r="C451">
        <v>53</v>
      </c>
    </row>
    <row r="452" spans="1:3" x14ac:dyDescent="0.35">
      <c r="A452" s="2">
        <v>45582</v>
      </c>
      <c r="B452">
        <v>25500.32</v>
      </c>
      <c r="C452">
        <v>53</v>
      </c>
    </row>
    <row r="453" spans="1:3" x14ac:dyDescent="0.35">
      <c r="A453" s="2">
        <v>45583</v>
      </c>
      <c r="B453">
        <v>123938.76</v>
      </c>
      <c r="C453">
        <v>53</v>
      </c>
    </row>
    <row r="454" spans="1:3" x14ac:dyDescent="0.35">
      <c r="A454" s="2">
        <v>45586</v>
      </c>
      <c r="B454">
        <v>4712.08</v>
      </c>
      <c r="C454">
        <v>53</v>
      </c>
    </row>
    <row r="455" spans="1:3" x14ac:dyDescent="0.35">
      <c r="A455" s="2">
        <v>45587</v>
      </c>
      <c r="B455">
        <v>6691.34</v>
      </c>
      <c r="C455">
        <v>53</v>
      </c>
    </row>
    <row r="456" spans="1:3" x14ac:dyDescent="0.35">
      <c r="A456" s="2">
        <v>45588</v>
      </c>
      <c r="B456">
        <v>17891.14</v>
      </c>
      <c r="C456">
        <v>53</v>
      </c>
    </row>
    <row r="457" spans="1:3" x14ac:dyDescent="0.35">
      <c r="A457" s="2">
        <v>45589</v>
      </c>
      <c r="B457">
        <v>45248.959999999999</v>
      </c>
      <c r="C457">
        <v>53</v>
      </c>
    </row>
    <row r="458" spans="1:3" x14ac:dyDescent="0.35">
      <c r="A458" s="2">
        <v>45590</v>
      </c>
      <c r="B458">
        <v>22616.97</v>
      </c>
      <c r="C458">
        <v>54</v>
      </c>
    </row>
    <row r="459" spans="1:3" x14ac:dyDescent="0.35">
      <c r="A459" s="2">
        <v>45593</v>
      </c>
      <c r="B459">
        <v>1546.51</v>
      </c>
      <c r="C459">
        <v>54</v>
      </c>
    </row>
    <row r="460" spans="1:3" x14ac:dyDescent="0.35">
      <c r="A460" s="2">
        <v>45594</v>
      </c>
      <c r="B460">
        <v>-21560.97</v>
      </c>
      <c r="C460">
        <v>54</v>
      </c>
    </row>
    <row r="461" spans="1:3" x14ac:dyDescent="0.35">
      <c r="A461" s="2">
        <v>45595</v>
      </c>
      <c r="B461">
        <v>81158.09</v>
      </c>
      <c r="C461">
        <v>54</v>
      </c>
    </row>
    <row r="462" spans="1:3" x14ac:dyDescent="0.35">
      <c r="A462" s="2">
        <v>45596</v>
      </c>
      <c r="B462">
        <v>83016.960000000006</v>
      </c>
      <c r="C462">
        <v>54</v>
      </c>
    </row>
    <row r="463" spans="1:3" x14ac:dyDescent="0.35">
      <c r="A463" s="2">
        <v>45597</v>
      </c>
      <c r="B463">
        <v>90144.53</v>
      </c>
      <c r="C463">
        <v>54</v>
      </c>
    </row>
    <row r="464" spans="1:3" x14ac:dyDescent="0.35">
      <c r="A464" s="2">
        <v>45600</v>
      </c>
      <c r="B464">
        <v>-10774.28</v>
      </c>
      <c r="C464">
        <v>54</v>
      </c>
    </row>
    <row r="465" spans="1:3" x14ac:dyDescent="0.35">
      <c r="A465" s="2">
        <v>45601</v>
      </c>
      <c r="B465">
        <v>39364.699999999997</v>
      </c>
      <c r="C465">
        <v>54</v>
      </c>
    </row>
    <row r="466" spans="1:3" x14ac:dyDescent="0.35">
      <c r="A466" s="2">
        <v>45602</v>
      </c>
      <c r="B466">
        <v>-71344.92</v>
      </c>
      <c r="C466">
        <v>54</v>
      </c>
    </row>
    <row r="467" spans="1:3" x14ac:dyDescent="0.35">
      <c r="A467" s="2">
        <v>45603</v>
      </c>
      <c r="B467">
        <v>-200528.24</v>
      </c>
      <c r="C467">
        <v>54</v>
      </c>
    </row>
    <row r="468" spans="1:3" x14ac:dyDescent="0.35">
      <c r="A468" s="2">
        <v>45604</v>
      </c>
      <c r="B468">
        <v>-191648.7</v>
      </c>
      <c r="C468">
        <v>54</v>
      </c>
    </row>
    <row r="469" spans="1:3" x14ac:dyDescent="0.35">
      <c r="A469" s="2">
        <v>45607</v>
      </c>
      <c r="B469">
        <v>-20425.38</v>
      </c>
      <c r="C469">
        <v>54</v>
      </c>
    </row>
    <row r="470" spans="1:3" x14ac:dyDescent="0.35">
      <c r="A470" s="2">
        <v>45608</v>
      </c>
      <c r="B470">
        <v>-145323.04999999999</v>
      </c>
      <c r="C470">
        <v>54</v>
      </c>
    </row>
    <row r="471" spans="1:3" x14ac:dyDescent="0.35">
      <c r="A471" s="2">
        <v>45609</v>
      </c>
      <c r="B471">
        <v>491344.19</v>
      </c>
      <c r="C471">
        <v>54</v>
      </c>
    </row>
    <row r="472" spans="1:3" x14ac:dyDescent="0.35">
      <c r="A472" s="2">
        <v>45610</v>
      </c>
      <c r="B472">
        <v>57643.11</v>
      </c>
      <c r="C472">
        <v>54</v>
      </c>
    </row>
    <row r="473" spans="1:3" x14ac:dyDescent="0.35">
      <c r="A473" s="2">
        <v>45611</v>
      </c>
      <c r="B473">
        <v>-202470.61</v>
      </c>
      <c r="C473">
        <v>57</v>
      </c>
    </row>
    <row r="474" spans="1:3" x14ac:dyDescent="0.35">
      <c r="A474" s="2">
        <v>45614</v>
      </c>
      <c r="B474">
        <v>7246.53</v>
      </c>
      <c r="C474">
        <v>57</v>
      </c>
    </row>
    <row r="475" spans="1:3" x14ac:dyDescent="0.35">
      <c r="A475" s="2">
        <v>45615</v>
      </c>
      <c r="B475">
        <v>-250589.48</v>
      </c>
      <c r="C475">
        <v>57</v>
      </c>
    </row>
    <row r="476" spans="1:3" x14ac:dyDescent="0.35">
      <c r="A476" s="2">
        <v>45616</v>
      </c>
      <c r="B476">
        <v>-479071.35</v>
      </c>
      <c r="C476">
        <v>57</v>
      </c>
    </row>
    <row r="477" spans="1:3" x14ac:dyDescent="0.35">
      <c r="A477" s="2">
        <v>45617</v>
      </c>
      <c r="B477">
        <v>937298.43</v>
      </c>
      <c r="C477">
        <v>57</v>
      </c>
    </row>
    <row r="478" spans="1:3" x14ac:dyDescent="0.35">
      <c r="A478" s="2">
        <v>45618</v>
      </c>
      <c r="B478">
        <v>-220466.81</v>
      </c>
      <c r="C478">
        <v>57</v>
      </c>
    </row>
    <row r="479" spans="1:3" x14ac:dyDescent="0.35">
      <c r="A479" s="2">
        <v>45621</v>
      </c>
      <c r="B479">
        <v>65808.81</v>
      </c>
      <c r="C479">
        <v>57</v>
      </c>
    </row>
    <row r="480" spans="1:3" x14ac:dyDescent="0.35">
      <c r="A480" s="2">
        <v>45622</v>
      </c>
      <c r="B480">
        <v>-130172.52</v>
      </c>
      <c r="C480">
        <v>57</v>
      </c>
    </row>
    <row r="481" spans="1:3" x14ac:dyDescent="0.35">
      <c r="A481" s="2">
        <v>45623</v>
      </c>
      <c r="B481">
        <v>418078.02</v>
      </c>
      <c r="C481">
        <v>57</v>
      </c>
    </row>
    <row r="482" spans="1:3" x14ac:dyDescent="0.35">
      <c r="A482" s="2">
        <v>45625</v>
      </c>
      <c r="B482">
        <v>7249.32</v>
      </c>
      <c r="C482">
        <v>57</v>
      </c>
    </row>
    <row r="483" spans="1:3" x14ac:dyDescent="0.35">
      <c r="A483" s="2">
        <v>45628</v>
      </c>
      <c r="B483">
        <v>74032.42</v>
      </c>
      <c r="C483">
        <v>57</v>
      </c>
    </row>
    <row r="484" spans="1:3" x14ac:dyDescent="0.35">
      <c r="A484" s="2">
        <v>45629</v>
      </c>
      <c r="B484">
        <v>-18924.509999999998</v>
      </c>
      <c r="C484">
        <v>57</v>
      </c>
    </row>
    <row r="485" spans="1:3" x14ac:dyDescent="0.35">
      <c r="A485" s="2">
        <v>45630</v>
      </c>
      <c r="B485">
        <v>21054.77</v>
      </c>
      <c r="C485">
        <v>57</v>
      </c>
    </row>
    <row r="486" spans="1:3" x14ac:dyDescent="0.35">
      <c r="A486" s="2">
        <v>45631</v>
      </c>
      <c r="B486">
        <v>79237.39</v>
      </c>
      <c r="C486">
        <v>57</v>
      </c>
    </row>
    <row r="487" spans="1:3" x14ac:dyDescent="0.35">
      <c r="A487" s="2">
        <v>45632</v>
      </c>
      <c r="B487">
        <v>-74697.47</v>
      </c>
      <c r="C487">
        <v>57</v>
      </c>
    </row>
    <row r="488" spans="1:3" x14ac:dyDescent="0.35">
      <c r="A488" s="2">
        <v>45635</v>
      </c>
      <c r="B488">
        <v>26017.8</v>
      </c>
      <c r="C488">
        <v>57</v>
      </c>
    </row>
    <row r="489" spans="1:3" x14ac:dyDescent="0.35">
      <c r="A489" s="2">
        <v>45636</v>
      </c>
      <c r="B489">
        <v>38055.19</v>
      </c>
      <c r="C489">
        <v>57</v>
      </c>
    </row>
    <row r="490" spans="1:3" x14ac:dyDescent="0.35">
      <c r="A490" s="2">
        <v>45637</v>
      </c>
      <c r="B490">
        <v>130184.63</v>
      </c>
      <c r="C490">
        <v>57</v>
      </c>
    </row>
    <row r="491" spans="1:3" x14ac:dyDescent="0.35">
      <c r="A491" s="2">
        <v>45638</v>
      </c>
      <c r="B491">
        <v>71278.009999999995</v>
      </c>
      <c r="C491">
        <v>57</v>
      </c>
    </row>
    <row r="492" spans="1:3" x14ac:dyDescent="0.35">
      <c r="A492" s="2">
        <v>45639</v>
      </c>
      <c r="B492">
        <v>-2450.56</v>
      </c>
      <c r="C492">
        <v>62</v>
      </c>
    </row>
    <row r="493" spans="1:3" x14ac:dyDescent="0.35">
      <c r="A493" s="2">
        <v>45642</v>
      </c>
      <c r="B493">
        <v>-15658.88</v>
      </c>
      <c r="C493">
        <v>62</v>
      </c>
    </row>
    <row r="494" spans="1:3" x14ac:dyDescent="0.35">
      <c r="A494" s="2">
        <v>45643</v>
      </c>
      <c r="B494">
        <v>-17387.87</v>
      </c>
      <c r="C494">
        <v>62</v>
      </c>
    </row>
    <row r="495" spans="1:3" x14ac:dyDescent="0.35">
      <c r="A495" s="2">
        <v>45644</v>
      </c>
      <c r="B495">
        <v>71935.350000000006</v>
      </c>
      <c r="C495">
        <v>62</v>
      </c>
    </row>
    <row r="496" spans="1:3" x14ac:dyDescent="0.35">
      <c r="A496" s="2">
        <v>45645</v>
      </c>
      <c r="B496">
        <v>-219315.89</v>
      </c>
      <c r="C496">
        <v>62</v>
      </c>
    </row>
    <row r="497" spans="1:3" x14ac:dyDescent="0.35">
      <c r="A497" s="2">
        <v>45646</v>
      </c>
      <c r="B497">
        <v>513959.52</v>
      </c>
      <c r="C497">
        <v>62</v>
      </c>
    </row>
    <row r="498" spans="1:3" x14ac:dyDescent="0.35">
      <c r="A498" s="2">
        <v>45649</v>
      </c>
      <c r="B498">
        <v>40538.410000000003</v>
      </c>
      <c r="C498">
        <v>62</v>
      </c>
    </row>
    <row r="499" spans="1:3" x14ac:dyDescent="0.35">
      <c r="A499" s="2">
        <v>45650</v>
      </c>
      <c r="B499">
        <v>128418.6</v>
      </c>
      <c r="C499">
        <v>62</v>
      </c>
    </row>
    <row r="500" spans="1:3" x14ac:dyDescent="0.35">
      <c r="A500" s="2">
        <v>45652</v>
      </c>
      <c r="B500">
        <v>59371.29</v>
      </c>
      <c r="C500">
        <v>62</v>
      </c>
    </row>
    <row r="501" spans="1:3" x14ac:dyDescent="0.35">
      <c r="A501" s="2">
        <v>45653</v>
      </c>
      <c r="B501">
        <v>-13333.04</v>
      </c>
      <c r="C501">
        <v>62</v>
      </c>
    </row>
    <row r="502" spans="1:3" x14ac:dyDescent="0.35">
      <c r="A502" s="2">
        <v>45656</v>
      </c>
      <c r="B502">
        <v>31244.49</v>
      </c>
      <c r="C502">
        <v>62</v>
      </c>
    </row>
    <row r="503" spans="1:3" x14ac:dyDescent="0.35">
      <c r="A503" s="2">
        <v>45657</v>
      </c>
      <c r="B503">
        <v>-83368.19</v>
      </c>
      <c r="C503">
        <v>62</v>
      </c>
    </row>
    <row r="504" spans="1:3" x14ac:dyDescent="0.35">
      <c r="A504" s="2">
        <v>45659</v>
      </c>
      <c r="B504">
        <v>88641.600000000006</v>
      </c>
      <c r="C504">
        <v>62</v>
      </c>
    </row>
    <row r="505" spans="1:3" x14ac:dyDescent="0.35">
      <c r="A505" s="2">
        <v>45660</v>
      </c>
      <c r="B505">
        <v>291047.31</v>
      </c>
      <c r="C505">
        <v>62</v>
      </c>
    </row>
    <row r="506" spans="1:3" x14ac:dyDescent="0.35">
      <c r="A506" s="2">
        <v>45663</v>
      </c>
      <c r="B506">
        <v>-18254.29</v>
      </c>
      <c r="C506">
        <v>62</v>
      </c>
    </row>
    <row r="507" spans="1:3" x14ac:dyDescent="0.35">
      <c r="A507" s="2">
        <v>45664</v>
      </c>
      <c r="B507">
        <v>321601.82</v>
      </c>
      <c r="C507">
        <v>62</v>
      </c>
    </row>
    <row r="508" spans="1:3" x14ac:dyDescent="0.35">
      <c r="A508" s="2">
        <v>45665</v>
      </c>
      <c r="B508">
        <v>28864.43</v>
      </c>
      <c r="C508">
        <v>62</v>
      </c>
    </row>
    <row r="509" spans="1:3" x14ac:dyDescent="0.35">
      <c r="A509" s="2">
        <v>45667</v>
      </c>
      <c r="B509">
        <v>-2222.2800000000002</v>
      </c>
      <c r="C509">
        <v>62</v>
      </c>
    </row>
    <row r="510" spans="1:3" x14ac:dyDescent="0.35">
      <c r="A510" s="2">
        <v>45670</v>
      </c>
      <c r="B510">
        <v>43496.160000000003</v>
      </c>
      <c r="C510">
        <v>62</v>
      </c>
    </row>
    <row r="511" spans="1:3" x14ac:dyDescent="0.35">
      <c r="A511" s="2">
        <v>45671</v>
      </c>
      <c r="B511">
        <v>19635.32</v>
      </c>
      <c r="C511">
        <v>62</v>
      </c>
    </row>
    <row r="512" spans="1:3" x14ac:dyDescent="0.35">
      <c r="A512" s="2">
        <v>45672</v>
      </c>
      <c r="B512">
        <v>-23588.400000000001</v>
      </c>
      <c r="C512">
        <v>62</v>
      </c>
    </row>
    <row r="513" spans="1:3" x14ac:dyDescent="0.35">
      <c r="A513" s="2">
        <v>45673</v>
      </c>
      <c r="B513">
        <v>-2685.75</v>
      </c>
      <c r="C513">
        <v>62</v>
      </c>
    </row>
    <row r="514" spans="1:3" x14ac:dyDescent="0.35">
      <c r="A514" s="2">
        <v>45674</v>
      </c>
      <c r="B514">
        <v>-169540.89</v>
      </c>
      <c r="C514">
        <v>65</v>
      </c>
    </row>
    <row r="515" spans="1:3" x14ac:dyDescent="0.35">
      <c r="A515" s="2">
        <v>45678</v>
      </c>
      <c r="B515">
        <v>-16640.41</v>
      </c>
      <c r="C515">
        <v>65</v>
      </c>
    </row>
    <row r="516" spans="1:3" x14ac:dyDescent="0.35">
      <c r="A516" s="2">
        <v>45679</v>
      </c>
      <c r="B516">
        <v>-38656.01</v>
      </c>
      <c r="C516">
        <v>65</v>
      </c>
    </row>
    <row r="517" spans="1:3" x14ac:dyDescent="0.35">
      <c r="A517" s="2">
        <v>45680</v>
      </c>
      <c r="B517">
        <v>5131.97</v>
      </c>
      <c r="C517">
        <v>65</v>
      </c>
    </row>
    <row r="518" spans="1:3" x14ac:dyDescent="0.35">
      <c r="A518" s="2">
        <v>45681</v>
      </c>
      <c r="B518">
        <v>-17568.82</v>
      </c>
      <c r="C518">
        <v>66</v>
      </c>
    </row>
    <row r="519" spans="1:3" x14ac:dyDescent="0.35">
      <c r="A519" s="2">
        <v>45684</v>
      </c>
      <c r="B519">
        <v>46742.64</v>
      </c>
      <c r="C519">
        <v>66</v>
      </c>
    </row>
    <row r="520" spans="1:3" x14ac:dyDescent="0.35">
      <c r="A520" s="2">
        <v>45685</v>
      </c>
      <c r="B520">
        <v>163133.53</v>
      </c>
      <c r="C520">
        <v>66</v>
      </c>
    </row>
    <row r="521" spans="1:3" x14ac:dyDescent="0.35">
      <c r="A521" s="2">
        <v>45686</v>
      </c>
      <c r="B521">
        <v>-21943.53</v>
      </c>
      <c r="C521">
        <v>66</v>
      </c>
    </row>
    <row r="522" spans="1:3" x14ac:dyDescent="0.35">
      <c r="A522" s="2">
        <v>45687</v>
      </c>
      <c r="B522">
        <v>76032.679999999993</v>
      </c>
      <c r="C522">
        <v>66</v>
      </c>
    </row>
    <row r="523" spans="1:3" x14ac:dyDescent="0.35">
      <c r="A523" s="2">
        <v>45688</v>
      </c>
      <c r="B523">
        <v>-49705.66</v>
      </c>
      <c r="C523">
        <v>67</v>
      </c>
    </row>
    <row r="524" spans="1:3" x14ac:dyDescent="0.35">
      <c r="A524" s="2">
        <v>45691</v>
      </c>
      <c r="B524">
        <v>18941.900000000001</v>
      </c>
      <c r="C524">
        <v>67</v>
      </c>
    </row>
    <row r="525" spans="1:3" x14ac:dyDescent="0.35">
      <c r="A525" s="2">
        <v>45692</v>
      </c>
      <c r="B525">
        <v>11297.88</v>
      </c>
      <c r="C525">
        <v>67</v>
      </c>
    </row>
    <row r="526" spans="1:3" x14ac:dyDescent="0.35">
      <c r="A526" s="2">
        <v>45693</v>
      </c>
      <c r="B526">
        <v>17214.82</v>
      </c>
      <c r="C526">
        <v>67</v>
      </c>
    </row>
    <row r="527" spans="1:3" x14ac:dyDescent="0.35">
      <c r="A527" s="2">
        <v>45694</v>
      </c>
      <c r="B527">
        <v>-7540.04</v>
      </c>
      <c r="C527">
        <v>67</v>
      </c>
    </row>
    <row r="528" spans="1:3" x14ac:dyDescent="0.35">
      <c r="A528" s="2">
        <v>45695</v>
      </c>
      <c r="B528">
        <v>-62892.04</v>
      </c>
      <c r="C528">
        <v>67</v>
      </c>
    </row>
    <row r="529" spans="1:3" x14ac:dyDescent="0.35">
      <c r="A529" s="2">
        <v>45698</v>
      </c>
      <c r="B529">
        <v>-13574.1</v>
      </c>
      <c r="C529">
        <v>67</v>
      </c>
    </row>
    <row r="530" spans="1:3" x14ac:dyDescent="0.35">
      <c r="A530" s="2">
        <v>45699</v>
      </c>
      <c r="B530">
        <v>-11475.11</v>
      </c>
      <c r="C530">
        <v>67</v>
      </c>
    </row>
    <row r="531" spans="1:3" x14ac:dyDescent="0.35">
      <c r="A531" s="2">
        <v>45700</v>
      </c>
      <c r="B531">
        <v>79465.64</v>
      </c>
      <c r="C531">
        <v>67</v>
      </c>
    </row>
    <row r="532" spans="1:3" x14ac:dyDescent="0.35">
      <c r="A532" s="2">
        <v>45701</v>
      </c>
      <c r="B532">
        <v>43590.87</v>
      </c>
      <c r="C532">
        <v>67</v>
      </c>
    </row>
    <row r="533" spans="1:3" x14ac:dyDescent="0.35">
      <c r="A533" s="2">
        <v>45702</v>
      </c>
      <c r="B533">
        <v>19316.7</v>
      </c>
      <c r="C533">
        <v>69</v>
      </c>
    </row>
    <row r="534" spans="1:3" x14ac:dyDescent="0.35">
      <c r="A534" s="2">
        <v>45706</v>
      </c>
      <c r="B534">
        <v>-9969.86</v>
      </c>
      <c r="C534">
        <v>69</v>
      </c>
    </row>
    <row r="535" spans="1:3" x14ac:dyDescent="0.35">
      <c r="A535" s="2">
        <v>45707</v>
      </c>
      <c r="B535">
        <v>-369.48</v>
      </c>
      <c r="C535">
        <v>69</v>
      </c>
    </row>
    <row r="536" spans="1:3" x14ac:dyDescent="0.35">
      <c r="A536" s="2">
        <v>45708</v>
      </c>
      <c r="B536">
        <v>12528.1</v>
      </c>
      <c r="C536">
        <v>69</v>
      </c>
    </row>
    <row r="537" spans="1:3" x14ac:dyDescent="0.35">
      <c r="A537" s="2">
        <v>45709</v>
      </c>
      <c r="B537">
        <v>-76818.34</v>
      </c>
      <c r="C537">
        <v>69</v>
      </c>
    </row>
    <row r="538" spans="1:3" x14ac:dyDescent="0.35">
      <c r="A538" s="2">
        <v>45712</v>
      </c>
      <c r="B538">
        <v>-2708.37</v>
      </c>
      <c r="C538">
        <v>69</v>
      </c>
    </row>
    <row r="539" spans="1:3" x14ac:dyDescent="0.35">
      <c r="A539" s="2">
        <v>45713</v>
      </c>
      <c r="B539">
        <v>-215148.16</v>
      </c>
      <c r="C539">
        <v>69</v>
      </c>
    </row>
    <row r="540" spans="1:3" x14ac:dyDescent="0.35">
      <c r="A540" s="2">
        <v>45714</v>
      </c>
      <c r="B540">
        <v>139442.21</v>
      </c>
      <c r="C540">
        <v>69</v>
      </c>
    </row>
    <row r="541" spans="1:3" x14ac:dyDescent="0.35">
      <c r="A541" s="2">
        <v>45715</v>
      </c>
      <c r="B541">
        <v>-291063.64</v>
      </c>
      <c r="C541">
        <v>69</v>
      </c>
    </row>
    <row r="542" spans="1:3" x14ac:dyDescent="0.35">
      <c r="A542" s="2">
        <v>45716</v>
      </c>
      <c r="B542">
        <v>416234.79</v>
      </c>
      <c r="C542">
        <v>69</v>
      </c>
    </row>
    <row r="543" spans="1:3" x14ac:dyDescent="0.35">
      <c r="A543" s="2">
        <v>45719</v>
      </c>
      <c r="B543">
        <v>20541.46</v>
      </c>
      <c r="C543">
        <v>69</v>
      </c>
    </row>
    <row r="544" spans="1:3" x14ac:dyDescent="0.35">
      <c r="A544" s="2">
        <v>45720</v>
      </c>
      <c r="B544">
        <v>54221.24</v>
      </c>
      <c r="C544">
        <v>69</v>
      </c>
    </row>
    <row r="545" spans="1:3" x14ac:dyDescent="0.35">
      <c r="A545" s="2">
        <v>45721</v>
      </c>
      <c r="B545">
        <v>-127901.57</v>
      </c>
      <c r="C545">
        <v>69</v>
      </c>
    </row>
    <row r="546" spans="1:3" x14ac:dyDescent="0.35">
      <c r="A546" s="2">
        <v>45722</v>
      </c>
      <c r="B546">
        <v>-10076.89</v>
      </c>
      <c r="C546">
        <v>69</v>
      </c>
    </row>
    <row r="547" spans="1:3" x14ac:dyDescent="0.35">
      <c r="A547" s="2">
        <v>45723</v>
      </c>
      <c r="B547">
        <v>248234.86</v>
      </c>
      <c r="C547">
        <v>73</v>
      </c>
    </row>
    <row r="548" spans="1:3" x14ac:dyDescent="0.35">
      <c r="A548" s="2">
        <v>45726</v>
      </c>
      <c r="B548">
        <v>-36870.49</v>
      </c>
      <c r="C548">
        <v>73</v>
      </c>
    </row>
    <row r="549" spans="1:3" x14ac:dyDescent="0.35">
      <c r="A549" s="2">
        <v>45727</v>
      </c>
      <c r="B549">
        <v>434567.93</v>
      </c>
      <c r="C549">
        <v>73</v>
      </c>
    </row>
    <row r="550" spans="1:3" x14ac:dyDescent="0.35">
      <c r="A550" s="2">
        <v>45728</v>
      </c>
      <c r="B550">
        <v>146016.5</v>
      </c>
      <c r="C550">
        <v>73</v>
      </c>
    </row>
    <row r="551" spans="1:3" x14ac:dyDescent="0.35">
      <c r="A551" s="2">
        <v>45729</v>
      </c>
      <c r="B551">
        <v>-105065.69</v>
      </c>
      <c r="C551">
        <v>73</v>
      </c>
    </row>
    <row r="552" spans="1:3" x14ac:dyDescent="0.35">
      <c r="A552" s="2">
        <v>45730</v>
      </c>
      <c r="B552">
        <v>303980.28000000003</v>
      </c>
      <c r="C552">
        <v>73</v>
      </c>
    </row>
    <row r="553" spans="1:3" x14ac:dyDescent="0.35">
      <c r="A553" s="2">
        <v>45733</v>
      </c>
      <c r="B553">
        <v>-6115.68</v>
      </c>
      <c r="C553">
        <v>73</v>
      </c>
    </row>
    <row r="554" spans="1:3" x14ac:dyDescent="0.35">
      <c r="A554" s="2">
        <v>45734</v>
      </c>
      <c r="B554">
        <v>-16646.990000000002</v>
      </c>
      <c r="C554">
        <v>73</v>
      </c>
    </row>
    <row r="555" spans="1:3" x14ac:dyDescent="0.35">
      <c r="A555" s="2">
        <v>45735</v>
      </c>
      <c r="B555">
        <v>131788.68</v>
      </c>
      <c r="C555">
        <v>73</v>
      </c>
    </row>
    <row r="556" spans="1:3" x14ac:dyDescent="0.35">
      <c r="A556" s="2">
        <v>45736</v>
      </c>
      <c r="B556">
        <v>32294.58</v>
      </c>
      <c r="C556">
        <v>73</v>
      </c>
    </row>
    <row r="557" spans="1:3" x14ac:dyDescent="0.35">
      <c r="A557" s="2">
        <v>45737</v>
      </c>
      <c r="B557">
        <v>28034.09</v>
      </c>
      <c r="C557">
        <v>77</v>
      </c>
    </row>
    <row r="558" spans="1:3" x14ac:dyDescent="0.35">
      <c r="A558" s="2">
        <v>45740</v>
      </c>
      <c r="B558">
        <v>58921.49</v>
      </c>
      <c r="C558">
        <v>77</v>
      </c>
    </row>
    <row r="559" spans="1:3" x14ac:dyDescent="0.35">
      <c r="A559" s="2">
        <v>45741</v>
      </c>
      <c r="B559">
        <v>-75302.490000000005</v>
      </c>
      <c r="C559">
        <v>77</v>
      </c>
    </row>
    <row r="560" spans="1:3" x14ac:dyDescent="0.35">
      <c r="A560" s="2">
        <v>45742</v>
      </c>
      <c r="B560">
        <v>206265.04</v>
      </c>
      <c r="C560">
        <v>77</v>
      </c>
    </row>
    <row r="561" spans="1:3" x14ac:dyDescent="0.35">
      <c r="A561" s="2">
        <v>45743</v>
      </c>
      <c r="B561">
        <v>6328.55</v>
      </c>
      <c r="C561">
        <v>77</v>
      </c>
    </row>
    <row r="562" spans="1:3" x14ac:dyDescent="0.35">
      <c r="A562" s="2">
        <v>45744</v>
      </c>
      <c r="B562">
        <v>199842.59</v>
      </c>
      <c r="C562">
        <v>82</v>
      </c>
    </row>
    <row r="563" spans="1:3" x14ac:dyDescent="0.35">
      <c r="A563" s="2">
        <v>45747</v>
      </c>
      <c r="B563">
        <v>-18927.39</v>
      </c>
      <c r="C563">
        <v>82</v>
      </c>
    </row>
    <row r="564" spans="1:3" x14ac:dyDescent="0.35">
      <c r="A564" s="2">
        <v>45748</v>
      </c>
      <c r="B564">
        <v>52930.48</v>
      </c>
      <c r="C564">
        <v>82</v>
      </c>
    </row>
    <row r="565" spans="1:3" x14ac:dyDescent="0.35">
      <c r="A565" s="2">
        <v>45749</v>
      </c>
      <c r="B565">
        <v>-20180.349999999999</v>
      </c>
      <c r="C565">
        <v>82</v>
      </c>
    </row>
    <row r="566" spans="1:3" x14ac:dyDescent="0.35">
      <c r="A566" s="2">
        <v>45750</v>
      </c>
      <c r="B566">
        <v>246331.72</v>
      </c>
      <c r="C566">
        <v>82</v>
      </c>
    </row>
    <row r="567" spans="1:3" x14ac:dyDescent="0.35">
      <c r="A567" s="2">
        <v>45751</v>
      </c>
      <c r="B567">
        <v>-216180.47</v>
      </c>
      <c r="C567">
        <v>87</v>
      </c>
    </row>
    <row r="568" spans="1:3" x14ac:dyDescent="0.35">
      <c r="A568" s="2">
        <v>45754</v>
      </c>
      <c r="B568">
        <v>15272.19</v>
      </c>
      <c r="C568">
        <v>87</v>
      </c>
    </row>
    <row r="569" spans="1:3" x14ac:dyDescent="0.35">
      <c r="A569" s="2">
        <v>45755</v>
      </c>
      <c r="B569">
        <v>-238676.45</v>
      </c>
      <c r="C569">
        <v>87</v>
      </c>
    </row>
    <row r="570" spans="1:3" x14ac:dyDescent="0.35">
      <c r="A570" s="2">
        <v>45756</v>
      </c>
      <c r="B570">
        <v>1325163.81</v>
      </c>
      <c r="C570">
        <v>87</v>
      </c>
    </row>
    <row r="571" spans="1:3" x14ac:dyDescent="0.35">
      <c r="A571" s="2">
        <v>45757</v>
      </c>
      <c r="B571">
        <v>579944.14</v>
      </c>
      <c r="C571">
        <v>87</v>
      </c>
    </row>
    <row r="572" spans="1:3" x14ac:dyDescent="0.35">
      <c r="A572" s="2">
        <v>45758</v>
      </c>
      <c r="B572">
        <v>-19808.990000000002</v>
      </c>
      <c r="C572">
        <v>87</v>
      </c>
    </row>
    <row r="573" spans="1:3" x14ac:dyDescent="0.35">
      <c r="A573" s="2">
        <v>45761</v>
      </c>
      <c r="B573">
        <v>-53746.14</v>
      </c>
      <c r="C573">
        <v>87</v>
      </c>
    </row>
    <row r="574" spans="1:3" x14ac:dyDescent="0.35">
      <c r="A574" s="2">
        <v>45762</v>
      </c>
      <c r="B574">
        <v>4274.49</v>
      </c>
      <c r="C574">
        <v>87</v>
      </c>
    </row>
    <row r="575" spans="1:3" x14ac:dyDescent="0.35">
      <c r="A575" s="2">
        <v>45763</v>
      </c>
      <c r="B575">
        <v>64796.07</v>
      </c>
      <c r="C575">
        <v>87</v>
      </c>
    </row>
    <row r="576" spans="1:3" x14ac:dyDescent="0.35">
      <c r="A576" s="2">
        <v>45764</v>
      </c>
      <c r="B576">
        <v>-15021.6</v>
      </c>
      <c r="C576">
        <v>87</v>
      </c>
    </row>
    <row r="577" spans="1:3" x14ac:dyDescent="0.35">
      <c r="A577" s="2">
        <v>45768</v>
      </c>
      <c r="B577">
        <v>64207.07</v>
      </c>
      <c r="C577">
        <v>87</v>
      </c>
    </row>
    <row r="578" spans="1:3" x14ac:dyDescent="0.35">
      <c r="A578" s="2">
        <v>45769</v>
      </c>
      <c r="B578">
        <v>35358.370000000003</v>
      </c>
      <c r="C578">
        <v>87</v>
      </c>
    </row>
    <row r="579" spans="1:3" x14ac:dyDescent="0.35">
      <c r="A579" s="2">
        <v>45770</v>
      </c>
      <c r="B579">
        <v>-49825.65</v>
      </c>
      <c r="C579">
        <v>87</v>
      </c>
    </row>
    <row r="580" spans="1:3" x14ac:dyDescent="0.35">
      <c r="A580" s="2">
        <v>45771</v>
      </c>
      <c r="B580">
        <v>-133401.42000000001</v>
      </c>
      <c r="C580">
        <v>87</v>
      </c>
    </row>
    <row r="581" spans="1:3" x14ac:dyDescent="0.35">
      <c r="A581" s="2">
        <v>45772</v>
      </c>
      <c r="B581">
        <v>-277259.46999999997</v>
      </c>
      <c r="C581">
        <v>96</v>
      </c>
    </row>
    <row r="582" spans="1:3" x14ac:dyDescent="0.35">
      <c r="A582" s="2">
        <v>45775</v>
      </c>
      <c r="B582">
        <v>-11081.86</v>
      </c>
      <c r="C582">
        <v>96</v>
      </c>
    </row>
    <row r="583" spans="1:3" x14ac:dyDescent="0.35">
      <c r="A583" s="2">
        <v>45776</v>
      </c>
      <c r="B583">
        <v>12467.6</v>
      </c>
      <c r="C583">
        <v>96</v>
      </c>
    </row>
    <row r="584" spans="1:3" x14ac:dyDescent="0.35">
      <c r="A584" s="2">
        <v>45777</v>
      </c>
      <c r="B584">
        <v>41861.99</v>
      </c>
      <c r="C584">
        <v>96</v>
      </c>
    </row>
    <row r="585" spans="1:3" x14ac:dyDescent="0.35">
      <c r="A585" s="2">
        <v>45778</v>
      </c>
      <c r="B585">
        <v>7120.09</v>
      </c>
      <c r="C585">
        <v>96</v>
      </c>
    </row>
    <row r="586" spans="1:3" x14ac:dyDescent="0.35">
      <c r="A586" s="2">
        <v>45779</v>
      </c>
      <c r="B586">
        <v>-15062.91</v>
      </c>
      <c r="C586">
        <v>96</v>
      </c>
    </row>
    <row r="587" spans="1:3" x14ac:dyDescent="0.35">
      <c r="A587" s="2">
        <v>45782</v>
      </c>
      <c r="B587">
        <v>-14669.5</v>
      </c>
      <c r="C587">
        <v>96</v>
      </c>
    </row>
    <row r="588" spans="1:3" x14ac:dyDescent="0.35">
      <c r="A588" s="2">
        <v>45783</v>
      </c>
      <c r="B588">
        <v>-7827.11</v>
      </c>
      <c r="C588">
        <v>96</v>
      </c>
    </row>
    <row r="589" spans="1:3" x14ac:dyDescent="0.35">
      <c r="A589" s="2">
        <v>45784</v>
      </c>
      <c r="B589">
        <v>12580.3</v>
      </c>
      <c r="C589">
        <v>96</v>
      </c>
    </row>
    <row r="590" spans="1:3" x14ac:dyDescent="0.35">
      <c r="A590" s="2">
        <v>45785</v>
      </c>
      <c r="B590">
        <v>90957.99</v>
      </c>
      <c r="C590">
        <v>96</v>
      </c>
    </row>
    <row r="591" spans="1:3" x14ac:dyDescent="0.35">
      <c r="A591" s="2">
        <v>45786</v>
      </c>
      <c r="B591">
        <v>-40990.85</v>
      </c>
      <c r="C591">
        <v>96</v>
      </c>
    </row>
    <row r="592" spans="1:3" x14ac:dyDescent="0.35">
      <c r="A592" s="2">
        <v>45789</v>
      </c>
      <c r="B592">
        <v>-15836.54</v>
      </c>
      <c r="C592">
        <v>96</v>
      </c>
    </row>
    <row r="593" spans="1:3" x14ac:dyDescent="0.35">
      <c r="A593" s="2">
        <v>45790</v>
      </c>
      <c r="B593">
        <v>-149462.63</v>
      </c>
      <c r="C593">
        <v>96</v>
      </c>
    </row>
    <row r="594" spans="1:3" x14ac:dyDescent="0.35">
      <c r="A594" s="2">
        <v>45791</v>
      </c>
      <c r="B594">
        <v>-156170.9</v>
      </c>
      <c r="C594">
        <v>96</v>
      </c>
    </row>
    <row r="595" spans="1:3" x14ac:dyDescent="0.35">
      <c r="A595" s="2">
        <v>45792</v>
      </c>
      <c r="B595">
        <v>177247.7</v>
      </c>
      <c r="C595">
        <v>96</v>
      </c>
    </row>
    <row r="596" spans="1:3" x14ac:dyDescent="0.35">
      <c r="A596" s="2">
        <v>45793</v>
      </c>
      <c r="B596">
        <v>-103985.60000000001</v>
      </c>
      <c r="C596">
        <v>99</v>
      </c>
    </row>
    <row r="597" spans="1:3" x14ac:dyDescent="0.35">
      <c r="A597" s="2">
        <v>45796</v>
      </c>
      <c r="B597">
        <v>16440.84</v>
      </c>
      <c r="C597">
        <v>99</v>
      </c>
    </row>
    <row r="598" spans="1:3" x14ac:dyDescent="0.35">
      <c r="A598" s="2">
        <v>45797</v>
      </c>
      <c r="B598">
        <v>-32756.65</v>
      </c>
      <c r="C598">
        <v>99</v>
      </c>
    </row>
    <row r="599" spans="1:3" x14ac:dyDescent="0.35">
      <c r="A599" s="2">
        <v>45798</v>
      </c>
      <c r="B599">
        <v>51732.27</v>
      </c>
      <c r="C599">
        <v>99</v>
      </c>
    </row>
    <row r="600" spans="1:3" x14ac:dyDescent="0.35">
      <c r="A600" s="2">
        <v>45799</v>
      </c>
      <c r="B600">
        <v>-5968.25</v>
      </c>
      <c r="C600">
        <v>99</v>
      </c>
    </row>
    <row r="601" spans="1:3" x14ac:dyDescent="0.35">
      <c r="A601" s="2">
        <v>45800</v>
      </c>
      <c r="B601">
        <v>13035.49</v>
      </c>
      <c r="C601">
        <v>99</v>
      </c>
    </row>
    <row r="602" spans="1:3" x14ac:dyDescent="0.35">
      <c r="A602" s="2">
        <v>45804</v>
      </c>
      <c r="B602">
        <v>40305.99</v>
      </c>
      <c r="C602">
        <v>99</v>
      </c>
    </row>
    <row r="603" spans="1:3" x14ac:dyDescent="0.35">
      <c r="A603" s="2">
        <v>45805</v>
      </c>
      <c r="B603">
        <v>12741.1</v>
      </c>
      <c r="C603">
        <v>99</v>
      </c>
    </row>
    <row r="604" spans="1:3" x14ac:dyDescent="0.35">
      <c r="A604" s="2">
        <v>45806</v>
      </c>
      <c r="B604">
        <v>14202.53</v>
      </c>
      <c r="C604">
        <v>99</v>
      </c>
    </row>
    <row r="605" spans="1:3" x14ac:dyDescent="0.35">
      <c r="A605" s="2">
        <v>45807</v>
      </c>
      <c r="B605">
        <v>101386.27</v>
      </c>
      <c r="C605">
        <v>99</v>
      </c>
    </row>
    <row r="606" spans="1:3" x14ac:dyDescent="0.35">
      <c r="A606" s="2">
        <v>45810</v>
      </c>
      <c r="B606">
        <v>-58526.19</v>
      </c>
      <c r="C606">
        <v>99</v>
      </c>
    </row>
    <row r="607" spans="1:3" x14ac:dyDescent="0.35">
      <c r="A607" s="2">
        <v>45811</v>
      </c>
      <c r="B607">
        <v>-32140.15</v>
      </c>
      <c r="C607">
        <v>99</v>
      </c>
    </row>
    <row r="608" spans="1:3" x14ac:dyDescent="0.35">
      <c r="A608" s="2">
        <v>45812</v>
      </c>
      <c r="B608">
        <v>18232.580000000002</v>
      </c>
      <c r="C608">
        <v>99</v>
      </c>
    </row>
    <row r="609" spans="1:3" x14ac:dyDescent="0.35">
      <c r="A609" s="2">
        <v>45813</v>
      </c>
      <c r="B609">
        <v>14259.33</v>
      </c>
      <c r="C609">
        <v>99</v>
      </c>
    </row>
    <row r="610" spans="1:3" x14ac:dyDescent="0.35">
      <c r="A610" s="2">
        <v>45814</v>
      </c>
      <c r="B610">
        <v>41734.1</v>
      </c>
      <c r="C610">
        <v>100</v>
      </c>
    </row>
    <row r="611" spans="1:3" x14ac:dyDescent="0.35">
      <c r="A611" s="2">
        <v>45817</v>
      </c>
      <c r="B611">
        <v>6388.74</v>
      </c>
      <c r="C611">
        <v>100</v>
      </c>
    </row>
    <row r="612" spans="1:3" x14ac:dyDescent="0.35">
      <c r="A612" s="2">
        <v>45818</v>
      </c>
      <c r="B612">
        <v>-17860.64</v>
      </c>
      <c r="C612">
        <v>100</v>
      </c>
    </row>
    <row r="613" spans="1:3" x14ac:dyDescent="0.35">
      <c r="A613" s="2">
        <v>45819</v>
      </c>
      <c r="B613">
        <v>23365.119999999999</v>
      </c>
      <c r="C613">
        <v>100</v>
      </c>
    </row>
    <row r="614" spans="1:3" x14ac:dyDescent="0.35">
      <c r="A614" s="2">
        <v>45820</v>
      </c>
      <c r="B614">
        <v>40202.39</v>
      </c>
      <c r="C614">
        <v>100</v>
      </c>
    </row>
    <row r="615" spans="1:3" x14ac:dyDescent="0.35">
      <c r="A615" s="2">
        <v>45821</v>
      </c>
      <c r="B615">
        <v>47126.83</v>
      </c>
      <c r="C615">
        <v>104</v>
      </c>
    </row>
    <row r="616" spans="1:3" x14ac:dyDescent="0.35">
      <c r="A616" s="2">
        <v>45824</v>
      </c>
      <c r="B616">
        <v>9102.09</v>
      </c>
      <c r="C616">
        <v>104</v>
      </c>
    </row>
    <row r="617" spans="1:3" x14ac:dyDescent="0.35">
      <c r="A617" s="2">
        <v>45825</v>
      </c>
      <c r="B617">
        <v>18959.25</v>
      </c>
      <c r="C617">
        <v>104</v>
      </c>
    </row>
    <row r="618" spans="1:3" x14ac:dyDescent="0.35">
      <c r="A618" s="2">
        <v>45826</v>
      </c>
      <c r="B618">
        <v>5107.75</v>
      </c>
      <c r="C618">
        <v>104</v>
      </c>
    </row>
    <row r="619" spans="1:3" x14ac:dyDescent="0.35">
      <c r="A619" s="2">
        <v>45828</v>
      </c>
      <c r="B619">
        <v>-19585.75</v>
      </c>
      <c r="C619">
        <v>104</v>
      </c>
    </row>
    <row r="620" spans="1:3" x14ac:dyDescent="0.35">
      <c r="A620" s="2">
        <v>45831</v>
      </c>
      <c r="B620">
        <v>40640.620000000003</v>
      </c>
      <c r="C620">
        <v>104</v>
      </c>
    </row>
    <row r="621" spans="1:3" x14ac:dyDescent="0.35">
      <c r="A621" s="2">
        <v>45832</v>
      </c>
      <c r="B621">
        <v>11371</v>
      </c>
      <c r="C621">
        <v>104</v>
      </c>
    </row>
    <row r="622" spans="1:3" x14ac:dyDescent="0.35">
      <c r="A622" s="2">
        <v>45833</v>
      </c>
      <c r="B622">
        <v>-67776.429999999993</v>
      </c>
      <c r="C622">
        <v>104</v>
      </c>
    </row>
    <row r="623" spans="1:3" x14ac:dyDescent="0.35">
      <c r="A623" s="2">
        <v>45834</v>
      </c>
      <c r="B623">
        <v>-23081.14</v>
      </c>
      <c r="C623">
        <v>104</v>
      </c>
    </row>
    <row r="624" spans="1:3" x14ac:dyDescent="0.35">
      <c r="A624" s="2">
        <v>45835</v>
      </c>
      <c r="B624">
        <v>54121.96</v>
      </c>
      <c r="C624">
        <v>109</v>
      </c>
    </row>
    <row r="625" spans="1:3" x14ac:dyDescent="0.35">
      <c r="A625" s="2">
        <v>45838</v>
      </c>
      <c r="B625">
        <v>8078.83</v>
      </c>
      <c r="C625">
        <v>109</v>
      </c>
    </row>
    <row r="626" spans="1:3" x14ac:dyDescent="0.35">
      <c r="A626" s="2">
        <v>45839</v>
      </c>
      <c r="B626">
        <v>64257.98</v>
      </c>
      <c r="C626">
        <v>109</v>
      </c>
    </row>
    <row r="627" spans="1:3" x14ac:dyDescent="0.35">
      <c r="A627" s="2">
        <v>45840</v>
      </c>
      <c r="B627">
        <v>92192.65</v>
      </c>
      <c r="C627">
        <v>109</v>
      </c>
    </row>
    <row r="628" spans="1:3" x14ac:dyDescent="0.35">
      <c r="A628" s="2">
        <v>45841</v>
      </c>
      <c r="B628">
        <v>32609.599999999999</v>
      </c>
      <c r="C628">
        <v>109</v>
      </c>
    </row>
    <row r="629" spans="1:3" x14ac:dyDescent="0.35">
      <c r="A629" s="2">
        <v>45845</v>
      </c>
      <c r="B629">
        <v>-14265.73</v>
      </c>
      <c r="C629">
        <v>109</v>
      </c>
    </row>
    <row r="630" spans="1:3" x14ac:dyDescent="0.35">
      <c r="A630" s="2">
        <v>45846</v>
      </c>
      <c r="B630">
        <v>5388.74</v>
      </c>
      <c r="C630">
        <v>109</v>
      </c>
    </row>
    <row r="631" spans="1:3" x14ac:dyDescent="0.35">
      <c r="A631" s="2">
        <v>45847</v>
      </c>
      <c r="B631">
        <v>39660.29</v>
      </c>
      <c r="C631">
        <v>109</v>
      </c>
    </row>
    <row r="632" spans="1:3" x14ac:dyDescent="0.35">
      <c r="A632" s="2">
        <v>45848</v>
      </c>
      <c r="B632">
        <v>-4896.21</v>
      </c>
      <c r="C632">
        <v>109</v>
      </c>
    </row>
    <row r="633" spans="1:3" x14ac:dyDescent="0.35">
      <c r="A633" s="2">
        <v>45849</v>
      </c>
      <c r="B633">
        <v>-19006.810000000001</v>
      </c>
      <c r="C633">
        <v>115</v>
      </c>
    </row>
    <row r="634" spans="1:3" x14ac:dyDescent="0.35">
      <c r="A634" s="2">
        <v>45852</v>
      </c>
      <c r="B634">
        <v>1430.5</v>
      </c>
      <c r="C634">
        <v>115</v>
      </c>
    </row>
    <row r="635" spans="1:3" x14ac:dyDescent="0.35">
      <c r="A635" s="2">
        <v>45853</v>
      </c>
      <c r="B635">
        <v>13389.06</v>
      </c>
      <c r="C635">
        <v>115</v>
      </c>
    </row>
    <row r="636" spans="1:3" x14ac:dyDescent="0.35">
      <c r="A636" s="2">
        <v>45854</v>
      </c>
      <c r="B636">
        <v>-37725.26</v>
      </c>
      <c r="C636">
        <v>115</v>
      </c>
    </row>
    <row r="637" spans="1:3" x14ac:dyDescent="0.35">
      <c r="A637" s="2">
        <v>45855</v>
      </c>
      <c r="B637">
        <v>-46246.59</v>
      </c>
      <c r="C637">
        <v>115</v>
      </c>
    </row>
    <row r="638" spans="1:3" x14ac:dyDescent="0.35">
      <c r="A638" s="2">
        <v>45856</v>
      </c>
      <c r="B638">
        <v>68951.86</v>
      </c>
      <c r="C638">
        <v>119</v>
      </c>
    </row>
    <row r="639" spans="1:3" x14ac:dyDescent="0.35">
      <c r="A639" s="2">
        <v>45859</v>
      </c>
      <c r="B639">
        <v>-18677.47</v>
      </c>
      <c r="C639">
        <v>119</v>
      </c>
    </row>
    <row r="640" spans="1:3" x14ac:dyDescent="0.35">
      <c r="A640" s="2">
        <v>45860</v>
      </c>
      <c r="B640">
        <v>-1481.34</v>
      </c>
      <c r="C640">
        <v>119</v>
      </c>
    </row>
    <row r="641" spans="1:3" x14ac:dyDescent="0.35">
      <c r="A641" s="2">
        <v>45861</v>
      </c>
      <c r="B641">
        <v>32466.77</v>
      </c>
      <c r="C641">
        <v>119</v>
      </c>
    </row>
    <row r="642" spans="1:3" x14ac:dyDescent="0.35">
      <c r="A642" s="2">
        <v>45862</v>
      </c>
      <c r="B642">
        <v>13513.3</v>
      </c>
      <c r="C642">
        <v>119</v>
      </c>
    </row>
    <row r="643" spans="1:3" x14ac:dyDescent="0.35">
      <c r="A643" s="2">
        <v>45863</v>
      </c>
      <c r="B643">
        <v>32366.16</v>
      </c>
      <c r="C643">
        <v>120</v>
      </c>
    </row>
    <row r="644" spans="1:3" x14ac:dyDescent="0.35">
      <c r="A644" s="2">
        <v>45866</v>
      </c>
      <c r="B644">
        <v>13656.74</v>
      </c>
      <c r="C644">
        <v>120</v>
      </c>
    </row>
    <row r="645" spans="1:3" x14ac:dyDescent="0.35">
      <c r="A645" s="2">
        <v>45867</v>
      </c>
      <c r="B645">
        <v>-13848.62</v>
      </c>
      <c r="C645">
        <v>120</v>
      </c>
    </row>
    <row r="646" spans="1:3" x14ac:dyDescent="0.35">
      <c r="A646" s="2">
        <v>45868</v>
      </c>
      <c r="B646">
        <v>-12176.97</v>
      </c>
      <c r="C646">
        <v>120</v>
      </c>
    </row>
    <row r="647" spans="1:3" x14ac:dyDescent="0.35">
      <c r="A647" s="2">
        <v>45869</v>
      </c>
      <c r="B647">
        <v>47368.87</v>
      </c>
      <c r="C647">
        <v>120</v>
      </c>
    </row>
    <row r="648" spans="1:3" x14ac:dyDescent="0.35">
      <c r="A648" s="2">
        <v>45870</v>
      </c>
      <c r="B648">
        <v>21195.9</v>
      </c>
      <c r="C648">
        <v>122</v>
      </c>
    </row>
    <row r="649" spans="1:3" x14ac:dyDescent="0.35">
      <c r="A649" s="2">
        <v>45873</v>
      </c>
      <c r="B649">
        <v>299.35000000000002</v>
      </c>
      <c r="C649">
        <v>122</v>
      </c>
    </row>
    <row r="650" spans="1:3" x14ac:dyDescent="0.35">
      <c r="A650" s="2">
        <v>45874</v>
      </c>
      <c r="B650">
        <v>43661.38</v>
      </c>
      <c r="C650">
        <v>122</v>
      </c>
    </row>
    <row r="651" spans="1:3" x14ac:dyDescent="0.35">
      <c r="A651" s="2">
        <v>45875</v>
      </c>
      <c r="B651">
        <v>21663.75</v>
      </c>
      <c r="C651">
        <v>122</v>
      </c>
    </row>
    <row r="652" spans="1:3" x14ac:dyDescent="0.35">
      <c r="A652" s="2">
        <v>45876</v>
      </c>
      <c r="B652">
        <v>-60486.75</v>
      </c>
      <c r="C652">
        <v>122</v>
      </c>
    </row>
    <row r="653" spans="1:3" x14ac:dyDescent="0.35">
      <c r="A653" s="2">
        <v>45877</v>
      </c>
      <c r="B653">
        <v>-33126.129999999997</v>
      </c>
      <c r="C653">
        <v>126</v>
      </c>
    </row>
    <row r="654" spans="1:3" x14ac:dyDescent="0.35">
      <c r="A654" s="2">
        <v>45880</v>
      </c>
      <c r="B654">
        <v>6470.24</v>
      </c>
      <c r="C654">
        <v>126</v>
      </c>
    </row>
    <row r="655" spans="1:3" x14ac:dyDescent="0.35">
      <c r="A655" s="2">
        <v>45881</v>
      </c>
      <c r="B655">
        <v>-15909.97</v>
      </c>
      <c r="C655">
        <v>126</v>
      </c>
    </row>
    <row r="656" spans="1:3" x14ac:dyDescent="0.35">
      <c r="A656" s="2">
        <v>45882</v>
      </c>
      <c r="B656">
        <v>16968.07</v>
      </c>
      <c r="C656">
        <v>126</v>
      </c>
    </row>
    <row r="657" spans="1:3" x14ac:dyDescent="0.35">
      <c r="A657" s="2">
        <v>45883</v>
      </c>
      <c r="B657">
        <v>-26123.94</v>
      </c>
      <c r="C657">
        <v>126</v>
      </c>
    </row>
    <row r="658" spans="1:3" x14ac:dyDescent="0.35">
      <c r="A658" s="2">
        <v>45884</v>
      </c>
      <c r="B658">
        <v>11087.74</v>
      </c>
      <c r="C658">
        <v>132</v>
      </c>
    </row>
    <row r="659" spans="1:3" x14ac:dyDescent="0.35">
      <c r="A659" s="2">
        <v>45887</v>
      </c>
      <c r="B659">
        <v>-1402.67</v>
      </c>
      <c r="C659">
        <v>132</v>
      </c>
    </row>
    <row r="660" spans="1:3" x14ac:dyDescent="0.35">
      <c r="A660" s="2">
        <v>45888</v>
      </c>
      <c r="B660">
        <v>24916.080000000002</v>
      </c>
      <c r="C660">
        <v>132</v>
      </c>
    </row>
    <row r="661" spans="1:3" x14ac:dyDescent="0.35">
      <c r="A661" s="2">
        <v>45889</v>
      </c>
      <c r="B661">
        <v>43013.86</v>
      </c>
      <c r="C661">
        <v>132</v>
      </c>
    </row>
    <row r="662" spans="1:3" x14ac:dyDescent="0.35">
      <c r="A662" s="2">
        <v>45890</v>
      </c>
      <c r="B662">
        <v>-3185.28</v>
      </c>
      <c r="C662">
        <v>132</v>
      </c>
    </row>
    <row r="663" spans="1:3" x14ac:dyDescent="0.35">
      <c r="A663" s="2">
        <v>45891</v>
      </c>
      <c r="B663">
        <v>127721.95</v>
      </c>
      <c r="C663">
        <v>136</v>
      </c>
    </row>
    <row r="664" spans="1:3" x14ac:dyDescent="0.35">
      <c r="A664" s="2">
        <v>45894</v>
      </c>
      <c r="B664">
        <v>8680.56</v>
      </c>
      <c r="C664">
        <v>136</v>
      </c>
    </row>
    <row r="665" spans="1:3" x14ac:dyDescent="0.35">
      <c r="A665" s="2">
        <v>45895</v>
      </c>
      <c r="B665">
        <v>51554.59</v>
      </c>
      <c r="C665">
        <v>136</v>
      </c>
    </row>
    <row r="666" spans="1:3" x14ac:dyDescent="0.35">
      <c r="A666" s="2">
        <v>45896</v>
      </c>
      <c r="B666">
        <v>-12548.92</v>
      </c>
      <c r="C666">
        <v>136</v>
      </c>
    </row>
    <row r="667" spans="1:3" x14ac:dyDescent="0.35">
      <c r="A667" s="2">
        <v>45897</v>
      </c>
      <c r="B667">
        <v>5956.9</v>
      </c>
      <c r="C667">
        <v>136</v>
      </c>
    </row>
    <row r="668" spans="1:3" x14ac:dyDescent="0.35">
      <c r="A668" s="2">
        <v>45898</v>
      </c>
      <c r="B668">
        <v>35018.22</v>
      </c>
      <c r="C668">
        <v>136</v>
      </c>
    </row>
    <row r="669" spans="1:3" x14ac:dyDescent="0.35">
      <c r="A669" s="2">
        <v>45902</v>
      </c>
      <c r="B669">
        <v>21705.68</v>
      </c>
      <c r="C669">
        <v>136</v>
      </c>
    </row>
    <row r="670" spans="1:3" x14ac:dyDescent="0.35">
      <c r="A670" s="2">
        <v>45903</v>
      </c>
      <c r="B670">
        <v>844.89</v>
      </c>
      <c r="C670">
        <v>136</v>
      </c>
    </row>
    <row r="671" spans="1:3" x14ac:dyDescent="0.35">
      <c r="A671" s="2">
        <v>45904</v>
      </c>
      <c r="B671">
        <v>660.62</v>
      </c>
      <c r="C671">
        <v>136</v>
      </c>
    </row>
    <row r="672" spans="1:3" x14ac:dyDescent="0.35">
      <c r="A672" s="2">
        <v>45905</v>
      </c>
      <c r="B672">
        <v>33582</v>
      </c>
      <c r="C672">
        <v>137</v>
      </c>
    </row>
    <row r="673" spans="1:3" x14ac:dyDescent="0.35">
      <c r="A673" s="2">
        <v>45908</v>
      </c>
      <c r="B673">
        <v>-31490.95</v>
      </c>
      <c r="C673">
        <v>137</v>
      </c>
    </row>
    <row r="674" spans="1:3" x14ac:dyDescent="0.35">
      <c r="A674" s="2">
        <v>45909</v>
      </c>
      <c r="B674">
        <v>-18255.48</v>
      </c>
      <c r="C674">
        <v>137</v>
      </c>
    </row>
    <row r="675" spans="1:3" x14ac:dyDescent="0.35">
      <c r="A675" s="2">
        <v>45910</v>
      </c>
      <c r="B675">
        <v>-49176.55</v>
      </c>
      <c r="C675">
        <v>137</v>
      </c>
    </row>
    <row r="676" spans="1:3" x14ac:dyDescent="0.35">
      <c r="A676" s="2">
        <v>45911</v>
      </c>
      <c r="B676">
        <v>12785.34</v>
      </c>
      <c r="C676">
        <v>137</v>
      </c>
    </row>
    <row r="677" spans="1:3" x14ac:dyDescent="0.35">
      <c r="A677" s="2">
        <v>45912</v>
      </c>
      <c r="B677">
        <v>-44553.27</v>
      </c>
      <c r="C677">
        <v>149</v>
      </c>
    </row>
    <row r="678" spans="1:3" x14ac:dyDescent="0.35">
      <c r="A678" s="2">
        <v>45915</v>
      </c>
      <c r="B678">
        <v>-3662.56</v>
      </c>
      <c r="C678">
        <v>149</v>
      </c>
    </row>
    <row r="679" spans="1:3" x14ac:dyDescent="0.35">
      <c r="A679" s="2">
        <v>45916</v>
      </c>
      <c r="B679">
        <v>10447.58</v>
      </c>
      <c r="C679">
        <v>149</v>
      </c>
    </row>
    <row r="680" spans="1:3" x14ac:dyDescent="0.35">
      <c r="A680" s="2">
        <v>45917</v>
      </c>
      <c r="B680">
        <v>-20597.64</v>
      </c>
      <c r="C680">
        <v>149</v>
      </c>
    </row>
    <row r="681" spans="1:3" x14ac:dyDescent="0.35">
      <c r="A681" s="2">
        <v>45918</v>
      </c>
      <c r="B681">
        <v>-20469.509999999998</v>
      </c>
      <c r="C681">
        <v>149</v>
      </c>
    </row>
    <row r="682" spans="1:3" x14ac:dyDescent="0.35">
      <c r="A682" s="2">
        <v>45919</v>
      </c>
      <c r="B682">
        <v>-98598.43</v>
      </c>
      <c r="C682">
        <v>158</v>
      </c>
    </row>
    <row r="683" spans="1:3" x14ac:dyDescent="0.35">
      <c r="A683" s="2">
        <v>45922</v>
      </c>
      <c r="B683">
        <v>1077.57</v>
      </c>
      <c r="C683">
        <v>158</v>
      </c>
    </row>
    <row r="684" spans="1:3" x14ac:dyDescent="0.35">
      <c r="A684" s="2">
        <v>45923</v>
      </c>
      <c r="B684">
        <v>-28.28</v>
      </c>
      <c r="C684">
        <v>158</v>
      </c>
    </row>
    <row r="685" spans="1:3" x14ac:dyDescent="0.35">
      <c r="A685" s="2">
        <v>45924</v>
      </c>
      <c r="B685">
        <v>27939.200000000001</v>
      </c>
      <c r="C685">
        <v>158</v>
      </c>
    </row>
    <row r="686" spans="1:3" x14ac:dyDescent="0.35">
      <c r="A686" s="2">
        <v>45925</v>
      </c>
      <c r="B686">
        <v>-91612.93</v>
      </c>
      <c r="C686">
        <v>158</v>
      </c>
    </row>
    <row r="687" spans="1:3" x14ac:dyDescent="0.35">
      <c r="A687" s="2">
        <v>45926</v>
      </c>
      <c r="B687">
        <v>101563.19</v>
      </c>
      <c r="C687">
        <v>161</v>
      </c>
    </row>
    <row r="688" spans="1:3" x14ac:dyDescent="0.35">
      <c r="A688" s="2">
        <v>45929</v>
      </c>
      <c r="B688">
        <v>16219.15</v>
      </c>
      <c r="C688">
        <v>161</v>
      </c>
    </row>
    <row r="689" spans="1:3" x14ac:dyDescent="0.35">
      <c r="A689" s="2">
        <v>45930</v>
      </c>
      <c r="B689">
        <v>-12942.75</v>
      </c>
      <c r="C689">
        <v>161</v>
      </c>
    </row>
    <row r="690" spans="1:3" x14ac:dyDescent="0.35">
      <c r="A690" s="2">
        <v>45931</v>
      </c>
      <c r="B690">
        <v>-33417.61</v>
      </c>
      <c r="C690">
        <v>161</v>
      </c>
    </row>
    <row r="691" spans="1:3" x14ac:dyDescent="0.35">
      <c r="A691" s="2">
        <v>45932</v>
      </c>
      <c r="B691">
        <v>-89391.83</v>
      </c>
      <c r="C691">
        <v>161</v>
      </c>
    </row>
    <row r="692" spans="1:3" x14ac:dyDescent="0.35">
      <c r="A692" s="2">
        <v>45933</v>
      </c>
      <c r="B692">
        <v>128.46</v>
      </c>
      <c r="C692">
        <v>161</v>
      </c>
    </row>
    <row r="693" spans="1:3" x14ac:dyDescent="0.35">
      <c r="A693" s="2">
        <v>45936</v>
      </c>
      <c r="B693">
        <v>-9966.8799999999992</v>
      </c>
      <c r="C693">
        <v>161</v>
      </c>
    </row>
    <row r="694" spans="1:3" x14ac:dyDescent="0.35">
      <c r="A694" s="2">
        <v>45937</v>
      </c>
      <c r="B694">
        <v>45275.75</v>
      </c>
      <c r="C694">
        <v>161</v>
      </c>
    </row>
    <row r="695" spans="1:3" x14ac:dyDescent="0.35">
      <c r="A695" s="2">
        <v>45938</v>
      </c>
      <c r="B695">
        <v>-44621.88</v>
      </c>
      <c r="C695">
        <v>161</v>
      </c>
    </row>
    <row r="696" spans="1:3" x14ac:dyDescent="0.35">
      <c r="A696" s="2">
        <v>45939</v>
      </c>
      <c r="B696">
        <v>-28769.35</v>
      </c>
      <c r="C696">
        <v>161</v>
      </c>
    </row>
    <row r="697" spans="1:3" x14ac:dyDescent="0.35">
      <c r="A697" s="2">
        <v>45940</v>
      </c>
      <c r="B697">
        <v>152319.79999999999</v>
      </c>
      <c r="C697">
        <v>163</v>
      </c>
    </row>
    <row r="698" spans="1:3" x14ac:dyDescent="0.35">
      <c r="A698" s="2">
        <v>45943</v>
      </c>
      <c r="B698">
        <v>31992.97</v>
      </c>
      <c r="C698">
        <v>163</v>
      </c>
    </row>
    <row r="699" spans="1:3" x14ac:dyDescent="0.35">
      <c r="A699" s="2">
        <v>45944</v>
      </c>
      <c r="B699">
        <v>41730.49</v>
      </c>
      <c r="C699">
        <v>163</v>
      </c>
    </row>
    <row r="700" spans="1:3" x14ac:dyDescent="0.35">
      <c r="A700" s="2">
        <v>45945</v>
      </c>
      <c r="B700">
        <v>-81111.490000000005</v>
      </c>
      <c r="C700">
        <v>163</v>
      </c>
    </row>
    <row r="701" spans="1:3" x14ac:dyDescent="0.35">
      <c r="A701" s="2">
        <v>45946</v>
      </c>
      <c r="B701">
        <v>30924.76</v>
      </c>
      <c r="C701">
        <v>163</v>
      </c>
    </row>
    <row r="702" spans="1:3" x14ac:dyDescent="0.35">
      <c r="A702" s="2">
        <v>45947</v>
      </c>
      <c r="B702">
        <v>185119.35999999999</v>
      </c>
      <c r="C702">
        <v>165</v>
      </c>
    </row>
    <row r="703" spans="1:3" x14ac:dyDescent="0.35">
      <c r="A703" s="2">
        <v>45950</v>
      </c>
      <c r="B703">
        <v>-8241.48</v>
      </c>
      <c r="C703">
        <v>165</v>
      </c>
    </row>
    <row r="704" spans="1:3" x14ac:dyDescent="0.35">
      <c r="A704" s="2">
        <v>45951</v>
      </c>
      <c r="B704">
        <v>-13334.02</v>
      </c>
      <c r="C704">
        <v>165</v>
      </c>
    </row>
    <row r="705" spans="1:3" x14ac:dyDescent="0.35">
      <c r="A705" s="2">
        <v>45952</v>
      </c>
      <c r="B705">
        <v>98862.9</v>
      </c>
      <c r="C705">
        <v>165</v>
      </c>
    </row>
    <row r="706" spans="1:3" x14ac:dyDescent="0.35">
      <c r="A706" s="2">
        <v>45953</v>
      </c>
      <c r="B706">
        <v>74513.97</v>
      </c>
      <c r="C706">
        <v>165</v>
      </c>
    </row>
    <row r="707" spans="1:3" x14ac:dyDescent="0.35">
      <c r="A707" s="2">
        <v>45954</v>
      </c>
      <c r="B707">
        <v>5274.57</v>
      </c>
      <c r="C707">
        <v>172</v>
      </c>
    </row>
    <row r="708" spans="1:3" x14ac:dyDescent="0.35">
      <c r="A708" s="2">
        <v>45957</v>
      </c>
      <c r="B708">
        <v>-2645.38</v>
      </c>
      <c r="C708">
        <v>172</v>
      </c>
    </row>
    <row r="709" spans="1:3" x14ac:dyDescent="0.35">
      <c r="A709" s="2">
        <v>45958</v>
      </c>
      <c r="B709">
        <v>1040.6400000000001</v>
      </c>
      <c r="C709">
        <v>172</v>
      </c>
    </row>
    <row r="710" spans="1:3" x14ac:dyDescent="0.35">
      <c r="A710" s="2">
        <v>45959</v>
      </c>
      <c r="B710">
        <v>-12019.38</v>
      </c>
      <c r="C710">
        <v>172</v>
      </c>
    </row>
    <row r="711" spans="1:3" x14ac:dyDescent="0.35">
      <c r="A711" s="2">
        <v>45960</v>
      </c>
      <c r="B711">
        <v>14405.83</v>
      </c>
      <c r="C711">
        <v>172</v>
      </c>
    </row>
    <row r="712" spans="1:3" x14ac:dyDescent="0.35">
      <c r="A712" s="2">
        <v>45961</v>
      </c>
      <c r="B712">
        <v>162201.12</v>
      </c>
      <c r="C712">
        <v>176</v>
      </c>
    </row>
    <row r="713" spans="1:3" x14ac:dyDescent="0.35">
      <c r="A713" s="2">
        <v>45964</v>
      </c>
      <c r="B713">
        <v>26008</v>
      </c>
      <c r="C713">
        <v>176</v>
      </c>
    </row>
    <row r="714" spans="1:3" x14ac:dyDescent="0.35">
      <c r="A714" s="2">
        <v>45965</v>
      </c>
      <c r="B714">
        <v>-49353.39</v>
      </c>
      <c r="C714">
        <v>176</v>
      </c>
    </row>
    <row r="715" spans="1:3" x14ac:dyDescent="0.35">
      <c r="A715" s="2">
        <v>45966</v>
      </c>
      <c r="B715">
        <v>188148.78</v>
      </c>
      <c r="C715">
        <v>176</v>
      </c>
    </row>
    <row r="716" spans="1:3" x14ac:dyDescent="0.35">
      <c r="A716" s="2">
        <v>45967</v>
      </c>
      <c r="B716">
        <v>-224025.03</v>
      </c>
      <c r="C716">
        <v>176</v>
      </c>
    </row>
    <row r="717" spans="1:3" x14ac:dyDescent="0.35">
      <c r="A717" s="2">
        <v>45968</v>
      </c>
      <c r="B717">
        <v>166527.94</v>
      </c>
      <c r="C717">
        <v>182</v>
      </c>
    </row>
    <row r="718" spans="1:3" x14ac:dyDescent="0.35">
      <c r="A718" s="2">
        <v>45971</v>
      </c>
      <c r="B718">
        <v>-6987.12</v>
      </c>
      <c r="C718">
        <v>182</v>
      </c>
    </row>
    <row r="719" spans="1:3" x14ac:dyDescent="0.35">
      <c r="A719" s="2">
        <v>45972</v>
      </c>
      <c r="B719">
        <v>41360.129999999997</v>
      </c>
      <c r="C719">
        <v>182</v>
      </c>
    </row>
    <row r="720" spans="1:3" x14ac:dyDescent="0.35">
      <c r="A720" s="2">
        <v>45973</v>
      </c>
      <c r="B720">
        <v>-59902.3</v>
      </c>
      <c r="C720">
        <v>182</v>
      </c>
    </row>
    <row r="721" spans="1:3" x14ac:dyDescent="0.35">
      <c r="A721" s="2">
        <v>45974</v>
      </c>
      <c r="B721">
        <v>-60987.19</v>
      </c>
      <c r="C721">
        <v>182</v>
      </c>
    </row>
    <row r="722" spans="1:3" x14ac:dyDescent="0.35">
      <c r="A722" s="2">
        <v>45975</v>
      </c>
      <c r="B722">
        <v>-96627.75</v>
      </c>
      <c r="C722">
        <v>186</v>
      </c>
    </row>
    <row r="723" spans="1:3" x14ac:dyDescent="0.35">
      <c r="A723" s="2">
        <v>45978</v>
      </c>
      <c r="B723">
        <v>33002.300000000003</v>
      </c>
      <c r="C723">
        <v>186</v>
      </c>
    </row>
    <row r="724" spans="1:3" x14ac:dyDescent="0.35">
      <c r="A724" s="2">
        <v>45979</v>
      </c>
      <c r="B724">
        <v>6573.65</v>
      </c>
      <c r="C724">
        <v>186</v>
      </c>
    </row>
    <row r="725" spans="1:3" x14ac:dyDescent="0.35">
      <c r="A725" s="2">
        <v>45980</v>
      </c>
      <c r="B725">
        <v>61765.69</v>
      </c>
      <c r="C725">
        <v>186</v>
      </c>
    </row>
    <row r="726" spans="1:3" x14ac:dyDescent="0.35">
      <c r="A726" s="2">
        <v>45981</v>
      </c>
      <c r="B726">
        <v>-149116.18</v>
      </c>
      <c r="C726">
        <v>186</v>
      </c>
    </row>
    <row r="727" spans="1:3" x14ac:dyDescent="0.35">
      <c r="A727" s="2">
        <v>45982</v>
      </c>
      <c r="B727">
        <v>-6262.94</v>
      </c>
      <c r="C727">
        <v>200</v>
      </c>
    </row>
    <row r="728" spans="1:3" x14ac:dyDescent="0.35">
      <c r="A728" s="2">
        <v>45985</v>
      </c>
      <c r="B728">
        <v>-6657.31</v>
      </c>
      <c r="C728">
        <v>200</v>
      </c>
    </row>
    <row r="729" spans="1:3" x14ac:dyDescent="0.35">
      <c r="A729" s="2">
        <v>45986</v>
      </c>
      <c r="B729">
        <v>57857.75</v>
      </c>
      <c r="C729">
        <v>200</v>
      </c>
    </row>
    <row r="730" spans="1:3" x14ac:dyDescent="0.35">
      <c r="A730" s="2">
        <v>45987</v>
      </c>
      <c r="B730">
        <v>-113772.85</v>
      </c>
      <c r="C730">
        <v>200</v>
      </c>
    </row>
    <row r="731" spans="1:3" x14ac:dyDescent="0.35">
      <c r="A731" s="2">
        <v>45989</v>
      </c>
      <c r="B731">
        <v>-139191.57999999999</v>
      </c>
      <c r="C731">
        <v>203</v>
      </c>
    </row>
    <row r="732" spans="1:3" x14ac:dyDescent="0.35">
      <c r="A732" s="2">
        <v>45992</v>
      </c>
      <c r="B732">
        <v>6946.34</v>
      </c>
      <c r="C732">
        <v>203</v>
      </c>
    </row>
    <row r="733" spans="1:3" x14ac:dyDescent="0.35">
      <c r="A733" s="2">
        <v>45993</v>
      </c>
      <c r="B733">
        <v>115885.58</v>
      </c>
      <c r="C733">
        <v>203</v>
      </c>
    </row>
    <row r="734" spans="1:3" x14ac:dyDescent="0.35">
      <c r="A734" s="2">
        <v>45994</v>
      </c>
      <c r="B734">
        <v>13047.71</v>
      </c>
      <c r="C734">
        <v>203</v>
      </c>
    </row>
    <row r="735" spans="1:3" x14ac:dyDescent="0.35">
      <c r="A735" s="2">
        <v>45995</v>
      </c>
      <c r="B735">
        <v>20430.57</v>
      </c>
      <c r="C735">
        <v>203</v>
      </c>
    </row>
    <row r="736" spans="1:3" x14ac:dyDescent="0.35">
      <c r="A736" s="2">
        <v>45996</v>
      </c>
      <c r="B736">
        <v>50449.01</v>
      </c>
      <c r="C736">
        <v>209</v>
      </c>
    </row>
    <row r="737" spans="1:3" x14ac:dyDescent="0.35">
      <c r="A737" s="2">
        <v>45999</v>
      </c>
      <c r="B737">
        <v>985.95</v>
      </c>
      <c r="C737">
        <v>209</v>
      </c>
    </row>
    <row r="738" spans="1:3" x14ac:dyDescent="0.35">
      <c r="A738" s="2">
        <v>46000</v>
      </c>
      <c r="B738">
        <v>-15262.97</v>
      </c>
      <c r="C738">
        <v>209</v>
      </c>
    </row>
    <row r="739" spans="1:3" x14ac:dyDescent="0.35">
      <c r="A739" s="2">
        <v>46001</v>
      </c>
      <c r="B739">
        <v>-4716.8</v>
      </c>
      <c r="C739">
        <v>209</v>
      </c>
    </row>
    <row r="740" spans="1:3" x14ac:dyDescent="0.35">
      <c r="A740" s="2">
        <v>46002</v>
      </c>
      <c r="B740">
        <v>59144.480000000003</v>
      </c>
      <c r="C740">
        <v>209</v>
      </c>
    </row>
    <row r="741" spans="1:3" x14ac:dyDescent="0.35">
      <c r="A741" s="2">
        <v>46003</v>
      </c>
      <c r="B741">
        <v>98603.21</v>
      </c>
      <c r="C741">
        <v>215</v>
      </c>
    </row>
    <row r="742" spans="1:3" x14ac:dyDescent="0.35">
      <c r="A742" s="2">
        <v>46006</v>
      </c>
      <c r="B742">
        <v>51058.87</v>
      </c>
      <c r="C742">
        <v>215</v>
      </c>
    </row>
    <row r="743" spans="1:3" x14ac:dyDescent="0.35">
      <c r="A743" s="2">
        <v>46007</v>
      </c>
      <c r="B743">
        <v>92915.33</v>
      </c>
      <c r="C743">
        <v>215</v>
      </c>
    </row>
    <row r="744" spans="1:3" x14ac:dyDescent="0.35">
      <c r="A744" s="2">
        <v>46008</v>
      </c>
      <c r="B744">
        <v>-106104.17</v>
      </c>
      <c r="C744">
        <v>215</v>
      </c>
    </row>
    <row r="745" spans="1:3" x14ac:dyDescent="0.35">
      <c r="A745" s="2">
        <v>46009</v>
      </c>
      <c r="B745">
        <v>59720.01</v>
      </c>
      <c r="C745">
        <v>215</v>
      </c>
    </row>
    <row r="746" spans="1:3" x14ac:dyDescent="0.35">
      <c r="A746" s="2">
        <v>46010</v>
      </c>
      <c r="B746">
        <v>273774.7</v>
      </c>
      <c r="C746">
        <v>226</v>
      </c>
    </row>
    <row r="747" spans="1:3" x14ac:dyDescent="0.35">
      <c r="A747" s="2">
        <v>46013</v>
      </c>
      <c r="B747">
        <v>13898.67</v>
      </c>
      <c r="C747">
        <v>226</v>
      </c>
    </row>
    <row r="748" spans="1:3" x14ac:dyDescent="0.35">
      <c r="A748" s="2">
        <v>46014</v>
      </c>
      <c r="B748">
        <v>28999.32</v>
      </c>
      <c r="C748">
        <v>226</v>
      </c>
    </row>
    <row r="749" spans="1:3" x14ac:dyDescent="0.35">
      <c r="A749" s="2">
        <v>46015</v>
      </c>
      <c r="B749">
        <v>18905.12</v>
      </c>
      <c r="C749">
        <v>226</v>
      </c>
    </row>
    <row r="750" spans="1:3" x14ac:dyDescent="0.35">
      <c r="A750" s="2">
        <v>46017</v>
      </c>
      <c r="B750">
        <v>54440.52</v>
      </c>
      <c r="C750">
        <v>226</v>
      </c>
    </row>
    <row r="751" spans="1:3" x14ac:dyDescent="0.35">
      <c r="A751" s="2">
        <v>46020</v>
      </c>
      <c r="B751">
        <v>33116.32</v>
      </c>
      <c r="C751">
        <v>226</v>
      </c>
    </row>
    <row r="752" spans="1:3" x14ac:dyDescent="0.35">
      <c r="A752" s="2">
        <v>46021</v>
      </c>
      <c r="B752">
        <v>10939.09</v>
      </c>
      <c r="C752">
        <v>226</v>
      </c>
    </row>
    <row r="753" spans="1:3" x14ac:dyDescent="0.35">
      <c r="A753" s="2">
        <v>46022</v>
      </c>
      <c r="B753">
        <v>29994.01</v>
      </c>
      <c r="C753">
        <v>226</v>
      </c>
    </row>
    <row r="754" spans="1:3" x14ac:dyDescent="0.35">
      <c r="A754" s="2">
        <v>46024</v>
      </c>
      <c r="B754">
        <v>61633.17</v>
      </c>
      <c r="C754">
        <v>227</v>
      </c>
    </row>
    <row r="755" spans="1:3" x14ac:dyDescent="0.35">
      <c r="A755" s="2">
        <v>46027</v>
      </c>
      <c r="B755">
        <v>2610.2399999999998</v>
      </c>
      <c r="C755">
        <v>227</v>
      </c>
    </row>
    <row r="756" spans="1:3" x14ac:dyDescent="0.35">
      <c r="A756" s="2">
        <v>46028</v>
      </c>
      <c r="B756">
        <v>34911.17</v>
      </c>
      <c r="C756">
        <v>227</v>
      </c>
    </row>
    <row r="757" spans="1:3" x14ac:dyDescent="0.35">
      <c r="A757" s="2">
        <v>46029</v>
      </c>
      <c r="B757">
        <v>11081.52</v>
      </c>
      <c r="C757">
        <v>227</v>
      </c>
    </row>
    <row r="758" spans="1:3" x14ac:dyDescent="0.35">
      <c r="A758" s="2">
        <v>46030</v>
      </c>
      <c r="B758">
        <v>33108.519999999997</v>
      </c>
      <c r="C758">
        <v>227</v>
      </c>
    </row>
    <row r="759" spans="1:3" x14ac:dyDescent="0.35">
      <c r="A759" s="2">
        <v>46031</v>
      </c>
      <c r="B759">
        <v>13892.05</v>
      </c>
      <c r="C759">
        <v>227</v>
      </c>
    </row>
    <row r="760" spans="1:3" x14ac:dyDescent="0.35">
      <c r="A760" s="2">
        <v>46034</v>
      </c>
      <c r="B760">
        <v>-4183.6099999999997</v>
      </c>
      <c r="C760">
        <v>227</v>
      </c>
    </row>
    <row r="761" spans="1:3" x14ac:dyDescent="0.35">
      <c r="A761" s="2">
        <v>46035</v>
      </c>
      <c r="B761">
        <v>-38869.43</v>
      </c>
      <c r="C761">
        <v>227</v>
      </c>
    </row>
    <row r="762" spans="1:3" x14ac:dyDescent="0.35">
      <c r="A762" s="2">
        <v>46036</v>
      </c>
      <c r="B762">
        <v>-38684.93</v>
      </c>
      <c r="C762">
        <v>227</v>
      </c>
    </row>
    <row r="763" spans="1:3" x14ac:dyDescent="0.35">
      <c r="A763" s="2">
        <v>46037</v>
      </c>
      <c r="B763">
        <v>111160.93</v>
      </c>
      <c r="C763">
        <v>227</v>
      </c>
    </row>
    <row r="764" spans="1:3" x14ac:dyDescent="0.35">
      <c r="A764" s="2">
        <v>46038</v>
      </c>
      <c r="B764">
        <v>-67472.03</v>
      </c>
      <c r="C764">
        <v>236</v>
      </c>
    </row>
    <row r="765" spans="1:3" x14ac:dyDescent="0.35">
      <c r="A765" s="2">
        <v>46042</v>
      </c>
      <c r="B765">
        <v>60072.46</v>
      </c>
      <c r="C765">
        <v>236</v>
      </c>
    </row>
    <row r="766" spans="1:3" x14ac:dyDescent="0.35">
      <c r="A766" s="2">
        <v>46043</v>
      </c>
      <c r="B766">
        <v>66979.06</v>
      </c>
      <c r="C766">
        <v>236</v>
      </c>
    </row>
    <row r="767" spans="1:3" x14ac:dyDescent="0.35">
      <c r="A767" s="2">
        <v>46044</v>
      </c>
      <c r="B767">
        <v>-26941.06</v>
      </c>
      <c r="C767">
        <v>236</v>
      </c>
    </row>
    <row r="768" spans="1:3" x14ac:dyDescent="0.35">
      <c r="A768" s="2">
        <v>46045</v>
      </c>
      <c r="B768">
        <v>81583.16</v>
      </c>
      <c r="C768">
        <v>240</v>
      </c>
    </row>
    <row r="769" spans="1:3" x14ac:dyDescent="0.35">
      <c r="A769" s="2">
        <v>46048</v>
      </c>
      <c r="B769">
        <v>33497.949999999997</v>
      </c>
      <c r="C769">
        <v>240</v>
      </c>
    </row>
    <row r="770" spans="1:3" x14ac:dyDescent="0.35">
      <c r="A770" s="2">
        <v>46049</v>
      </c>
      <c r="B770">
        <v>51256.65</v>
      </c>
      <c r="C770">
        <v>240</v>
      </c>
    </row>
    <row r="771" spans="1:3" x14ac:dyDescent="0.35">
      <c r="A771" s="2">
        <v>46050</v>
      </c>
      <c r="B771">
        <v>-16714.62</v>
      </c>
      <c r="C771">
        <v>240</v>
      </c>
    </row>
    <row r="772" spans="1:3" x14ac:dyDescent="0.35">
      <c r="A772" s="2">
        <v>46051</v>
      </c>
      <c r="B772">
        <v>42702.65</v>
      </c>
      <c r="C772">
        <v>240</v>
      </c>
    </row>
    <row r="773" spans="1:3" x14ac:dyDescent="0.35">
      <c r="A773" s="2">
        <v>46052</v>
      </c>
      <c r="B773">
        <v>79920.570000000007</v>
      </c>
      <c r="C773">
        <v>243</v>
      </c>
    </row>
    <row r="774" spans="1:3" x14ac:dyDescent="0.35">
      <c r="A774" s="2">
        <v>46055</v>
      </c>
      <c r="B774">
        <v>28191.46</v>
      </c>
      <c r="C774">
        <v>243</v>
      </c>
    </row>
    <row r="775" spans="1:3" x14ac:dyDescent="0.35">
      <c r="A775" s="2">
        <v>46056</v>
      </c>
      <c r="B775">
        <v>-58060.73</v>
      </c>
      <c r="C775">
        <v>243</v>
      </c>
    </row>
    <row r="776" spans="1:3" x14ac:dyDescent="0.35">
      <c r="A776" s="2">
        <v>46057</v>
      </c>
      <c r="B776">
        <v>-135829.06</v>
      </c>
      <c r="C776">
        <v>243</v>
      </c>
    </row>
    <row r="777" spans="1:3" x14ac:dyDescent="0.35">
      <c r="A777" s="2">
        <v>46058</v>
      </c>
      <c r="B777">
        <v>-809159.07</v>
      </c>
      <c r="C777">
        <v>243</v>
      </c>
    </row>
    <row r="778" spans="1:3" x14ac:dyDescent="0.35">
      <c r="A778" s="2">
        <v>46059</v>
      </c>
      <c r="B778">
        <v>2277164.2400000002</v>
      </c>
      <c r="C778">
        <v>246</v>
      </c>
    </row>
    <row r="779" spans="1:3" x14ac:dyDescent="0.35">
      <c r="A779" s="2">
        <v>46062</v>
      </c>
      <c r="B779">
        <v>24207.96</v>
      </c>
      <c r="C779">
        <v>246</v>
      </c>
    </row>
    <row r="780" spans="1:3" x14ac:dyDescent="0.35">
      <c r="A780" s="2">
        <v>46063</v>
      </c>
      <c r="B780">
        <v>36249.89</v>
      </c>
      <c r="C780">
        <v>246</v>
      </c>
    </row>
    <row r="781" spans="1:3" x14ac:dyDescent="0.35">
      <c r="A781" s="2">
        <v>46064</v>
      </c>
      <c r="B781">
        <v>92658.65</v>
      </c>
      <c r="C781">
        <v>246</v>
      </c>
    </row>
    <row r="782" spans="1:3" x14ac:dyDescent="0.35">
      <c r="A782" s="2">
        <v>46065</v>
      </c>
      <c r="B782">
        <v>-14899.73</v>
      </c>
      <c r="C782">
        <v>246</v>
      </c>
    </row>
    <row r="783" spans="1:3" x14ac:dyDescent="0.35">
      <c r="A783" s="2">
        <v>46066</v>
      </c>
      <c r="B783">
        <v>299438.26</v>
      </c>
      <c r="C783">
        <v>255</v>
      </c>
    </row>
    <row r="784" spans="1:3" x14ac:dyDescent="0.35">
      <c r="A784" s="2">
        <v>46070</v>
      </c>
      <c r="B784">
        <v>-21298.05</v>
      </c>
      <c r="C784">
        <v>255</v>
      </c>
    </row>
    <row r="785" spans="1:3" x14ac:dyDescent="0.35">
      <c r="A785" s="2">
        <v>46071</v>
      </c>
      <c r="B785">
        <v>6532.35</v>
      </c>
      <c r="C785">
        <v>255</v>
      </c>
    </row>
    <row r="786" spans="1:3" x14ac:dyDescent="0.35">
      <c r="A786" s="2">
        <v>46072</v>
      </c>
      <c r="B786">
        <v>45324.82</v>
      </c>
      <c r="C786">
        <v>255</v>
      </c>
    </row>
    <row r="787" spans="1:3" x14ac:dyDescent="0.35">
      <c r="A787" s="2">
        <v>46073</v>
      </c>
      <c r="B787">
        <v>52215.15</v>
      </c>
      <c r="C787">
        <v>263</v>
      </c>
    </row>
    <row r="788" spans="1:3" x14ac:dyDescent="0.35">
      <c r="A788" s="2">
        <v>46076</v>
      </c>
      <c r="B788">
        <v>42297.9</v>
      </c>
      <c r="C788">
        <v>263</v>
      </c>
    </row>
    <row r="789" spans="1:3" x14ac:dyDescent="0.35">
      <c r="A789" s="2">
        <v>46077</v>
      </c>
      <c r="B789">
        <v>25025.68</v>
      </c>
      <c r="C789">
        <v>263</v>
      </c>
    </row>
    <row r="790" spans="1:3" x14ac:dyDescent="0.35">
      <c r="A790" s="2">
        <v>46078</v>
      </c>
      <c r="B790">
        <v>123821.22</v>
      </c>
      <c r="C790">
        <v>263</v>
      </c>
    </row>
    <row r="791" spans="1:3" x14ac:dyDescent="0.35">
      <c r="A791" s="2">
        <v>46079</v>
      </c>
      <c r="B791">
        <v>104114.1</v>
      </c>
      <c r="C791">
        <v>263</v>
      </c>
    </row>
    <row r="792" spans="1:3" x14ac:dyDescent="0.35">
      <c r="A792" s="2">
        <v>46080</v>
      </c>
      <c r="B792">
        <v>106605.21</v>
      </c>
      <c r="C792">
        <v>263</v>
      </c>
    </row>
    <row r="793" spans="1:3" x14ac:dyDescent="0.35">
      <c r="A793" s="2">
        <v>46083</v>
      </c>
      <c r="B793">
        <v>55780.25</v>
      </c>
      <c r="C793">
        <v>263</v>
      </c>
    </row>
    <row r="794" spans="1:3" x14ac:dyDescent="0.35">
      <c r="A794" s="2">
        <v>46084</v>
      </c>
      <c r="B794">
        <v>101278.19</v>
      </c>
      <c r="C794">
        <v>263</v>
      </c>
    </row>
    <row r="795" spans="1:3" x14ac:dyDescent="0.35">
      <c r="A795" s="2">
        <v>46085</v>
      </c>
      <c r="B795">
        <v>25788.98</v>
      </c>
      <c r="C795">
        <v>263</v>
      </c>
    </row>
    <row r="796" spans="1:3" x14ac:dyDescent="0.35">
      <c r="A796" s="2">
        <v>46086</v>
      </c>
      <c r="B796">
        <v>148056.69</v>
      </c>
      <c r="C796">
        <v>263</v>
      </c>
    </row>
    <row r="797" spans="1:3" x14ac:dyDescent="0.35">
      <c r="A797" s="2">
        <v>46087</v>
      </c>
      <c r="B797">
        <v>113628.09</v>
      </c>
      <c r="C797">
        <v>263</v>
      </c>
    </row>
    <row r="798" spans="1:3" x14ac:dyDescent="0.35">
      <c r="A798" s="2">
        <v>46090</v>
      </c>
      <c r="B798">
        <v>30654.26</v>
      </c>
      <c r="C798">
        <v>263</v>
      </c>
    </row>
    <row r="799" spans="1:3" x14ac:dyDescent="0.35">
      <c r="A799" s="2">
        <v>46091</v>
      </c>
      <c r="B799">
        <v>7034.35</v>
      </c>
      <c r="C799">
        <v>263</v>
      </c>
    </row>
    <row r="800" spans="1:3" x14ac:dyDescent="0.35">
      <c r="A800" s="2">
        <v>46092</v>
      </c>
      <c r="B800">
        <v>-43027.53</v>
      </c>
      <c r="C800">
        <v>263</v>
      </c>
    </row>
    <row r="801" spans="1:3" x14ac:dyDescent="0.35">
      <c r="A801" s="2">
        <v>46093</v>
      </c>
      <c r="B801">
        <v>120881.67</v>
      </c>
      <c r="C801">
        <v>263</v>
      </c>
    </row>
    <row r="802" spans="1:3" x14ac:dyDescent="0.35">
      <c r="A802" s="2">
        <v>46094</v>
      </c>
      <c r="B802">
        <v>-12967.63</v>
      </c>
      <c r="C802">
        <v>266</v>
      </c>
    </row>
    <row r="803" spans="1:3" x14ac:dyDescent="0.35">
      <c r="A803" s="2">
        <v>46097</v>
      </c>
      <c r="B803">
        <v>-8029.96</v>
      </c>
      <c r="C803">
        <v>266</v>
      </c>
    </row>
    <row r="804" spans="1:3" x14ac:dyDescent="0.35">
      <c r="A804" s="2">
        <v>46098</v>
      </c>
      <c r="B804">
        <v>34679.93</v>
      </c>
      <c r="C804">
        <v>266</v>
      </c>
    </row>
    <row r="805" spans="1:3" x14ac:dyDescent="0.35">
      <c r="A805" s="2">
        <v>46099</v>
      </c>
      <c r="B805">
        <v>119774.34</v>
      </c>
      <c r="C805">
        <v>266</v>
      </c>
    </row>
    <row r="806" spans="1:3" x14ac:dyDescent="0.35">
      <c r="A806" s="2">
        <v>46100</v>
      </c>
      <c r="B806">
        <v>29522.68</v>
      </c>
      <c r="C806">
        <v>266</v>
      </c>
    </row>
    <row r="807" spans="1:3" x14ac:dyDescent="0.35">
      <c r="A807" s="2">
        <v>46101</v>
      </c>
      <c r="B807">
        <v>26730.07</v>
      </c>
      <c r="C807">
        <v>266</v>
      </c>
    </row>
    <row r="808" spans="1:3" x14ac:dyDescent="0.35">
      <c r="A808" s="2">
        <v>46104</v>
      </c>
      <c r="B808">
        <v>54343.63</v>
      </c>
      <c r="C808">
        <v>266</v>
      </c>
    </row>
    <row r="809" spans="1:3" x14ac:dyDescent="0.35">
      <c r="A809" s="2">
        <v>46105</v>
      </c>
      <c r="B809">
        <v>1233.18</v>
      </c>
      <c r="C809">
        <v>266</v>
      </c>
    </row>
    <row r="810" spans="1:3" x14ac:dyDescent="0.35">
      <c r="A810" s="2">
        <v>46106</v>
      </c>
      <c r="B810">
        <v>-10760.06</v>
      </c>
      <c r="C810">
        <v>266</v>
      </c>
    </row>
    <row r="811" spans="1:3" x14ac:dyDescent="0.35">
      <c r="A811" s="2">
        <v>46107</v>
      </c>
      <c r="B811">
        <v>133240.15</v>
      </c>
      <c r="C811">
        <v>266</v>
      </c>
    </row>
    <row r="812" spans="1:3" x14ac:dyDescent="0.35">
      <c r="A812" s="2">
        <v>46108</v>
      </c>
      <c r="B812">
        <v>-146461.67000000001</v>
      </c>
      <c r="C812">
        <v>266</v>
      </c>
    </row>
    <row r="813" spans="1:3" x14ac:dyDescent="0.35">
      <c r="A813" s="2">
        <v>46111</v>
      </c>
      <c r="B813">
        <v>31400.79</v>
      </c>
      <c r="C813">
        <v>266</v>
      </c>
    </row>
    <row r="814" spans="1:3" x14ac:dyDescent="0.35">
      <c r="A814" s="2">
        <v>46112</v>
      </c>
      <c r="B814">
        <v>275898.08</v>
      </c>
      <c r="C814">
        <v>266</v>
      </c>
    </row>
    <row r="815" spans="1:3" x14ac:dyDescent="0.35">
      <c r="B815">
        <f>SUM(B2:B814)</f>
        <v>18794551.499999993</v>
      </c>
    </row>
  </sheetData>
  <autoFilter ref="B1:B81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monthly_attribution</vt:lpstr>
      <vt:lpstr>summary</vt:lpstr>
      <vt:lpstr>daily_pnl_active_pairs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Lilly Cordover</cp:lastModifiedBy>
  <dcterms:created xsi:type="dcterms:W3CDTF">2026-04-16T18:21:13Z</dcterms:created>
  <dcterms:modified xsi:type="dcterms:W3CDTF">2026-04-16T19:13:24Z</dcterms:modified>
</cp:coreProperties>
</file>