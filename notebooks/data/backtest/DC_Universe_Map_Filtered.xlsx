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erdn\Documents\Investing\ls-algo\notebooks\data\backtest\"/>
    </mc:Choice>
  </mc:AlternateContent>
  <xr:revisionPtr revIDLastSave="0" documentId="13_ncr:1_{6C8B70B1-AAAD-4A3F-9667-75C23B8183EE}" xr6:coauthVersionLast="47" xr6:coauthVersionMax="47" xr10:uidLastSave="{00000000-0000-0000-0000-000000000000}"/>
  <bookViews>
    <workbookView xWindow="3930" yWindow="1760" windowWidth="16920" windowHeight="10450" xr2:uid="{00000000-000D-0000-FFFF-FFFF00000000}"/>
  </bookViews>
  <sheets>
    <sheet name="Universe Map" sheetId="1" r:id="rId1"/>
    <sheet name="Sizing $40M Gros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0" i="2" l="1"/>
  <c r="L90" i="2"/>
  <c r="K90" i="2"/>
  <c r="J90" i="2"/>
  <c r="I90" i="2"/>
  <c r="H90" i="2"/>
  <c r="B90" i="2"/>
</calcChain>
</file>

<file path=xl/sharedStrings.xml><?xml version="1.0" encoding="utf-8"?>
<sst xmlns="http://schemas.openxmlformats.org/spreadsheetml/2006/main" count="345" uniqueCount="251">
  <si>
    <t>Underlying</t>
  </si>
  <si>
    <t># ETFs</t>
  </si>
  <si>
    <t>Total AUM ($M)</t>
  </si>
  <si>
    <t>Avg |β|</t>
  </si>
  <si>
    <t>Avg Blended Decay</t>
  </si>
  <si>
    <t>Avg Borrow</t>
  </si>
  <si>
    <t>Avg Decay Score</t>
  </si>
  <si>
    <t>ETF 1</t>
  </si>
  <si>
    <t>AUM ($M) 1</t>
  </si>
  <si>
    <t>|β| 1</t>
  </si>
  <si>
    <t>Decay Score 1</t>
  </si>
  <si>
    <t>Borrow 1</t>
  </si>
  <si>
    <t>ETF 2</t>
  </si>
  <si>
    <t>AUM ($M) 2</t>
  </si>
  <si>
    <t>|β| 2</t>
  </si>
  <si>
    <t>Decay Score 2</t>
  </si>
  <si>
    <t>Borrow 2</t>
  </si>
  <si>
    <t>ETF 3</t>
  </si>
  <si>
    <t>AUM ($M) 3</t>
  </si>
  <si>
    <t>|β| 3</t>
  </si>
  <si>
    <t>Decay Score 3</t>
  </si>
  <si>
    <t>Borrow 3</t>
  </si>
  <si>
    <t>ETF 4</t>
  </si>
  <si>
    <t>AUM ($M) 4</t>
  </si>
  <si>
    <t>|β| 4</t>
  </si>
  <si>
    <t>Decay Score 4</t>
  </si>
  <si>
    <t>Borrow 4</t>
  </si>
  <si>
    <t>SMR</t>
  </si>
  <si>
    <t>SMU</t>
  </si>
  <si>
    <t>SMUP</t>
  </si>
  <si>
    <t>QBTS</t>
  </si>
  <si>
    <t>QBTX</t>
  </si>
  <si>
    <t>BMNR</t>
  </si>
  <si>
    <t>BMNU</t>
  </si>
  <si>
    <t>BMNG</t>
  </si>
  <si>
    <t>ASTS</t>
  </si>
  <si>
    <t>ASTX</t>
  </si>
  <si>
    <t>CRWV</t>
  </si>
  <si>
    <t>CRWG</t>
  </si>
  <si>
    <t>CWVX</t>
  </si>
  <si>
    <t>WULF</t>
  </si>
  <si>
    <t>WULX</t>
  </si>
  <si>
    <t>NBIS</t>
  </si>
  <si>
    <t>NEBX</t>
  </si>
  <si>
    <t>NBIL</t>
  </si>
  <si>
    <t>NBIG</t>
  </si>
  <si>
    <t>SMCI</t>
  </si>
  <si>
    <t>SMCL</t>
  </si>
  <si>
    <t>CRCL</t>
  </si>
  <si>
    <t>CRCA</t>
  </si>
  <si>
    <t>CRCG</t>
  </si>
  <si>
    <t>ALAB</t>
  </si>
  <si>
    <t>LABX</t>
  </si>
  <si>
    <t>BE</t>
  </si>
  <si>
    <t>BEX</t>
  </si>
  <si>
    <t>CLSK</t>
  </si>
  <si>
    <t>CLSX</t>
  </si>
  <si>
    <t>GLXY</t>
  </si>
  <si>
    <t>GLXU</t>
  </si>
  <si>
    <t>XRPZ</t>
  </si>
  <si>
    <t>XXRP</t>
  </si>
  <si>
    <t>XRPT</t>
  </si>
  <si>
    <t>ETHA</t>
  </si>
  <si>
    <t>ETHU</t>
  </si>
  <si>
    <t>ETHT</t>
  </si>
  <si>
    <t>ETU</t>
  </si>
  <si>
    <t>CRDO</t>
  </si>
  <si>
    <t>CRDU</t>
  </si>
  <si>
    <t>FIG</t>
  </si>
  <si>
    <t>FIGG</t>
  </si>
  <si>
    <t>SOEZ</t>
  </si>
  <si>
    <t>SOLT</t>
  </si>
  <si>
    <t>COIN</t>
  </si>
  <si>
    <t>CONL</t>
  </si>
  <si>
    <t>APP</t>
  </si>
  <si>
    <t>APPX</t>
  </si>
  <si>
    <t>UUUU</t>
  </si>
  <si>
    <t>UUUG</t>
  </si>
  <si>
    <t>SOXX</t>
  </si>
  <si>
    <t>SOXL</t>
  </si>
  <si>
    <t>HOOD</t>
  </si>
  <si>
    <t>ROBN</t>
  </si>
  <si>
    <t>HOOG</t>
  </si>
  <si>
    <t>LITE</t>
  </si>
  <si>
    <t>LITX</t>
  </si>
  <si>
    <t>INTC</t>
  </si>
  <si>
    <t>INTW</t>
  </si>
  <si>
    <t>UPST</t>
  </si>
  <si>
    <t>UPSX</t>
  </si>
  <si>
    <t>CLS</t>
  </si>
  <si>
    <t>CSEX</t>
  </si>
  <si>
    <t>MU</t>
  </si>
  <si>
    <t>MUU</t>
  </si>
  <si>
    <t>MULL</t>
  </si>
  <si>
    <t>ACHR</t>
  </si>
  <si>
    <t>ARCX</t>
  </si>
  <si>
    <t>SATS</t>
  </si>
  <si>
    <t>SATG</t>
  </si>
  <si>
    <t>VRT</t>
  </si>
  <si>
    <t>VRTL</t>
  </si>
  <si>
    <t>GDX</t>
  </si>
  <si>
    <t>GDXU</t>
  </si>
  <si>
    <t>NUGT</t>
  </si>
  <si>
    <t>TEM</t>
  </si>
  <si>
    <t>TEMT</t>
  </si>
  <si>
    <t>RDDT</t>
  </si>
  <si>
    <t>RDTL</t>
  </si>
  <si>
    <t>RBLX</t>
  </si>
  <si>
    <t>RBLU</t>
  </si>
  <si>
    <t>AMD</t>
  </si>
  <si>
    <t>AMDL</t>
  </si>
  <si>
    <t>AMUU</t>
  </si>
  <si>
    <t>AMDG</t>
  </si>
  <si>
    <t>TSLA</t>
  </si>
  <si>
    <t>TSLL</t>
  </si>
  <si>
    <t>TSLT</t>
  </si>
  <si>
    <t>TSLR</t>
  </si>
  <si>
    <t>TSLG</t>
  </si>
  <si>
    <t>IBIT</t>
  </si>
  <si>
    <t>BITX</t>
  </si>
  <si>
    <t>BITU</t>
  </si>
  <si>
    <t>BTCL</t>
  </si>
  <si>
    <t>FXI</t>
  </si>
  <si>
    <t>YINN</t>
  </si>
  <si>
    <t>MRVL</t>
  </si>
  <si>
    <t>MVLL</t>
  </si>
  <si>
    <t>URA</t>
  </si>
  <si>
    <t>URAA</t>
  </si>
  <si>
    <t>SNOW</t>
  </si>
  <si>
    <t>SNOU</t>
  </si>
  <si>
    <t>BULL</t>
  </si>
  <si>
    <t>BULG</t>
  </si>
  <si>
    <t>PLTR</t>
  </si>
  <si>
    <t>PLTU</t>
  </si>
  <si>
    <t>PTIR</t>
  </si>
  <si>
    <t>PLTG</t>
  </si>
  <si>
    <t>BABA</t>
  </si>
  <si>
    <t>BABX</t>
  </si>
  <si>
    <t>NVDA</t>
  </si>
  <si>
    <t>NVDL</t>
  </si>
  <si>
    <t>NVDU</t>
  </si>
  <si>
    <t>NVDX</t>
  </si>
  <si>
    <t>NVDG</t>
  </si>
  <si>
    <t>LRCX</t>
  </si>
  <si>
    <t>LRCU</t>
  </si>
  <si>
    <t>ARM</t>
  </si>
  <si>
    <t>ARMG</t>
  </si>
  <si>
    <t>TSM</t>
  </si>
  <si>
    <t>TSMU</t>
  </si>
  <si>
    <t>TSMG</t>
  </si>
  <si>
    <t>GEV</t>
  </si>
  <si>
    <t>GEVX</t>
  </si>
  <si>
    <t>KTOS</t>
  </si>
  <si>
    <t>KTUP</t>
  </si>
  <si>
    <t>AVGO</t>
  </si>
  <si>
    <t>AVL</t>
  </si>
  <si>
    <t>AVGG</t>
  </si>
  <si>
    <t>AVGU</t>
  </si>
  <si>
    <t>UBER</t>
  </si>
  <si>
    <t>UBRL</t>
  </si>
  <si>
    <t>CRM</t>
  </si>
  <si>
    <t>CRMG</t>
  </si>
  <si>
    <t>UNH</t>
  </si>
  <si>
    <t>UNHG</t>
  </si>
  <si>
    <t>EWW</t>
  </si>
  <si>
    <t>MEXX</t>
  </si>
  <si>
    <t>GDXJ</t>
  </si>
  <si>
    <t>JNUG</t>
  </si>
  <si>
    <t>NFLX</t>
  </si>
  <si>
    <t>NFLU</t>
  </si>
  <si>
    <t>KWEB</t>
  </si>
  <si>
    <t>CWEB</t>
  </si>
  <si>
    <t>CEG</t>
  </si>
  <si>
    <t>CEGX</t>
  </si>
  <si>
    <t>GOOGL</t>
  </si>
  <si>
    <t>GGLL</t>
  </si>
  <si>
    <t>GOOX</t>
  </si>
  <si>
    <t>EWY</t>
  </si>
  <si>
    <t>KORU</t>
  </si>
  <si>
    <t>TER</t>
  </si>
  <si>
    <t>TERG</t>
  </si>
  <si>
    <t>DELL</t>
  </si>
  <si>
    <t>DLLL</t>
  </si>
  <si>
    <t>META</t>
  </si>
  <si>
    <t>METU</t>
  </si>
  <si>
    <t>FBL</t>
  </si>
  <si>
    <t>AMZN</t>
  </si>
  <si>
    <t>AMZU</t>
  </si>
  <si>
    <t>AMZZ</t>
  </si>
  <si>
    <t>PANW</t>
  </si>
  <si>
    <t>PALU</t>
  </si>
  <si>
    <t>ASML</t>
  </si>
  <si>
    <t>ASMG</t>
  </si>
  <si>
    <t>WDC</t>
  </si>
  <si>
    <t>WDCX</t>
  </si>
  <si>
    <t>CRWD</t>
  </si>
  <si>
    <t>CRWL</t>
  </si>
  <si>
    <t>LLY</t>
  </si>
  <si>
    <t>ELIL</t>
  </si>
  <si>
    <t>PYPL</t>
  </si>
  <si>
    <t>PYPG</t>
  </si>
  <si>
    <t>BA</t>
  </si>
  <si>
    <t>BOEU</t>
  </si>
  <si>
    <t>MSFT</t>
  </si>
  <si>
    <t>MSFU</t>
  </si>
  <si>
    <t>MSFL</t>
  </si>
  <si>
    <t>MSFX</t>
  </si>
  <si>
    <t>ASHR</t>
  </si>
  <si>
    <t>CHAU</t>
  </si>
  <si>
    <t>NOW</t>
  </si>
  <si>
    <t>NOWL</t>
  </si>
  <si>
    <t>XLE</t>
  </si>
  <si>
    <t>ERX</t>
  </si>
  <si>
    <t>XOP</t>
  </si>
  <si>
    <t>GUSH</t>
  </si>
  <si>
    <t>SHOP</t>
  </si>
  <si>
    <t>SHPU</t>
  </si>
  <si>
    <t>XOM</t>
  </si>
  <si>
    <t>XOMX</t>
  </si>
  <si>
    <t>ORCL</t>
  </si>
  <si>
    <t>ORCU</t>
  </si>
  <si>
    <t>ADBE</t>
  </si>
  <si>
    <t>ADBG</t>
  </si>
  <si>
    <t>AAPL</t>
  </si>
  <si>
    <t>AAPU</t>
  </si>
  <si>
    <t>AAPB</t>
  </si>
  <si>
    <t>AAPX</t>
  </si>
  <si>
    <t>ARKK</t>
  </si>
  <si>
    <t>TARK</t>
  </si>
  <si>
    <t>XBI</t>
  </si>
  <si>
    <t>LABU</t>
  </si>
  <si>
    <t>CSCO</t>
  </si>
  <si>
    <t>CSCL</t>
  </si>
  <si>
    <t>LMT</t>
  </si>
  <si>
    <t>LMTL</t>
  </si>
  <si>
    <t>COST</t>
  </si>
  <si>
    <t>COTG</t>
  </si>
  <si>
    <t>Hedge Ratio</t>
  </si>
  <si>
    <t>Gross Alloc</t>
  </si>
  <si>
    <t>Long Alloc</t>
  </si>
  <si>
    <t>Short Alloc</t>
  </si>
  <si>
    <t>Exp Annual Decay ($)</t>
  </si>
  <si>
    <t>Exp Annual Borrow ($)</t>
  </si>
  <si>
    <t>Exp Net P&amp;L ($)</t>
  </si>
  <si>
    <t>TOTAL</t>
  </si>
  <si>
    <t>PORTFOLIO SUMMARY</t>
  </si>
  <si>
    <t>Gross Target</t>
  </si>
  <si>
    <t># Underlyings</t>
  </si>
  <si>
    <t>Per-Underlying Gross</t>
  </si>
  <si>
    <t>Per-Underlying Long</t>
  </si>
  <si>
    <t>Per-Underlying 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</si>
</sst>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%"/>
    <numFmt numFmtId="166" formatCode="\$#,##0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"/>
      <name val="Arial"/>
    </font>
    <font>
      <sz val="9"/>
      <name val="Arial"/>
    </font>
    <font>
      <b/>
      <sz val="9"/>
      <color rgb="FF2F5496"/>
      <name val="Arial"/>
    </font>
    <font>
      <b/>
      <sz val="10"/>
      <name val="Arial"/>
    </font>
    <font>
      <b/>
      <sz val="11"/>
      <name val="Arial"/>
    </font>
    <font>
      <sz val="9"/>
      <color rgb="FF0000FF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/>
    <xf numFmtId="0" fontId="3" fillId="3" borderId="0" xfId="0" applyFont="1" applyFill="1"/>
    <xf numFmtId="164" fontId="3" fillId="3" borderId="0" xfId="0" applyNumberFormat="1" applyFont="1" applyFill="1"/>
    <xf numFmtId="2" fontId="3" fillId="3" borderId="0" xfId="0" applyNumberFormat="1" applyFont="1" applyFill="1"/>
    <xf numFmtId="165" fontId="3" fillId="3" borderId="0" xfId="0" applyNumberFormat="1" applyFont="1" applyFill="1"/>
    <xf numFmtId="0" fontId="4" fillId="3" borderId="0" xfId="0" applyFont="1" applyFill="1"/>
    <xf numFmtId="0" fontId="0" fillId="3" borderId="0" xfId="0" applyFill="1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2" fontId="3" fillId="0" borderId="0" xfId="0" applyNumberFormat="1" applyFont="1"/>
    <xf numFmtId="165" fontId="3" fillId="0" borderId="0" xfId="0" applyNumberFormat="1" applyFont="1"/>
    <xf numFmtId="0" fontId="4" fillId="0" borderId="0" xfId="0" applyFont="1"/>
    <xf numFmtId="166" fontId="3" fillId="3" borderId="0" xfId="0" applyNumberFormat="1" applyFont="1" applyFill="1"/>
    <xf numFmtId="166" fontId="3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6" fillId="0" borderId="0" xfId="0" applyFont="1"/>
    <xf numFmtId="166" fontId="7" fillId="0" borderId="0" xfId="0" applyNumberFormat="1" applyFont="1"/>
    <xf numFmtId="3" fontId="7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9"/>
  <sheetViews>
    <sheetView tabSelected="1" topLeftCell="F1" workbookViewId="0">
      <pane ySplit="1" topLeftCell="A2" activePane="bottomLeft" state="frozen"/>
      <selection pane="bottomLeft" activeCell="N3" sqref="N3"/>
    </sheetView>
  </sheetViews>
  <sheetFormatPr defaultRowHeight="14.5" x14ac:dyDescent="0.35"/>
  <cols>
    <col min="1" max="1" width="12" customWidth="1"/>
    <col min="2" max="2" width="7" customWidth="1"/>
    <col min="3" max="3" width="13" customWidth="1"/>
    <col min="4" max="4" width="8" customWidth="1"/>
    <col min="5" max="5" width="15" customWidth="1"/>
    <col min="6" max="6" width="10" customWidth="1"/>
    <col min="7" max="7" width="14" customWidth="1"/>
    <col min="8" max="8" width="8" customWidth="1"/>
    <col min="9" max="9" width="12" customWidth="1"/>
    <col min="10" max="10" width="6" customWidth="1"/>
    <col min="11" max="11" width="11" customWidth="1"/>
    <col min="12" max="12" width="9" customWidth="1"/>
    <col min="13" max="13" width="8" customWidth="1"/>
    <col min="14" max="14" width="10.7265625" bestFit="1" customWidth="1"/>
    <col min="15" max="15" width="6" customWidth="1"/>
    <col min="16" max="16" width="11" customWidth="1"/>
    <col min="17" max="17" width="9" customWidth="1"/>
    <col min="18" max="18" width="8" customWidth="1"/>
    <col min="19" max="19" width="12" customWidth="1"/>
    <col min="20" max="20" width="6" customWidth="1"/>
    <col min="21" max="21" width="11" customWidth="1"/>
    <col min="22" max="22" width="9" customWidth="1"/>
    <col min="23" max="23" width="8" customWidth="1"/>
    <col min="24" max="24" width="12" customWidth="1"/>
    <col min="25" max="25" width="6" customWidth="1"/>
    <col min="26" max="26" width="11" customWidth="1"/>
    <col min="27" max="27" width="9" customWidth="1"/>
  </cols>
  <sheetData>
    <row r="1" spans="1:27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5">
      <c r="A2" s="2" t="s">
        <v>27</v>
      </c>
      <c r="B2" s="3">
        <v>2</v>
      </c>
      <c r="C2" s="4">
        <v>81.93862</v>
      </c>
      <c r="D2" s="5">
        <v>2.021938</v>
      </c>
      <c r="E2" s="6">
        <v>2.3804824999999998</v>
      </c>
      <c r="F2" s="6">
        <v>0.145288</v>
      </c>
      <c r="G2" s="6">
        <v>2.3078384999999999</v>
      </c>
      <c r="H2" s="7" t="s">
        <v>28</v>
      </c>
      <c r="I2" s="4">
        <v>67.795671999999996</v>
      </c>
      <c r="J2" s="5">
        <v>1.986165</v>
      </c>
      <c r="K2" s="6">
        <v>1.2719860000000001</v>
      </c>
      <c r="L2" s="6"/>
      <c r="M2" s="7" t="s">
        <v>29</v>
      </c>
      <c r="N2" s="4">
        <v>14.142948000000001</v>
      </c>
      <c r="O2" s="5">
        <v>2.0577109999999998</v>
      </c>
      <c r="P2" s="6">
        <v>3.3436910000000002</v>
      </c>
      <c r="Q2" s="6">
        <v>0.145288</v>
      </c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x14ac:dyDescent="0.35">
      <c r="A3" s="9" t="s">
        <v>30</v>
      </c>
      <c r="B3" s="10">
        <v>1</v>
      </c>
      <c r="C3" s="11">
        <v>69.177608000000006</v>
      </c>
      <c r="D3" s="12">
        <v>1.9927379999999999</v>
      </c>
      <c r="E3" s="13">
        <v>1.418636</v>
      </c>
      <c r="F3" s="13">
        <v>0.114172</v>
      </c>
      <c r="G3" s="13">
        <v>1.3044640000000001</v>
      </c>
      <c r="H3" s="14" t="s">
        <v>31</v>
      </c>
      <c r="I3" s="11">
        <v>69.177608000000006</v>
      </c>
      <c r="J3" s="12">
        <v>1.9927379999999999</v>
      </c>
      <c r="K3" s="13">
        <v>1.3044640000000001</v>
      </c>
      <c r="L3" s="13">
        <v>0.114172</v>
      </c>
    </row>
    <row r="4" spans="1:27" x14ac:dyDescent="0.35">
      <c r="A4" s="2" t="s">
        <v>32</v>
      </c>
      <c r="B4" s="3">
        <v>2</v>
      </c>
      <c r="C4" s="4">
        <v>241.74620400000001</v>
      </c>
      <c r="D4" s="5">
        <v>1.9686129999999999</v>
      </c>
      <c r="E4" s="6">
        <v>1.3257749999999999</v>
      </c>
      <c r="F4" s="6">
        <v>0.26342399999999999</v>
      </c>
      <c r="G4" s="6">
        <v>1.1940630000000001</v>
      </c>
      <c r="H4" s="7" t="s">
        <v>33</v>
      </c>
      <c r="I4" s="4">
        <v>220.33843200000001</v>
      </c>
      <c r="J4" s="5">
        <v>1.9441090000000001</v>
      </c>
      <c r="K4" s="6">
        <v>1.363993</v>
      </c>
      <c r="L4" s="6"/>
      <c r="M4" s="7" t="s">
        <v>34</v>
      </c>
      <c r="N4" s="4">
        <v>21.407772000000001</v>
      </c>
      <c r="O4" s="5">
        <v>1.993117</v>
      </c>
      <c r="P4" s="6">
        <v>1.024133</v>
      </c>
      <c r="Q4" s="6">
        <v>0.26342399999999999</v>
      </c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x14ac:dyDescent="0.35">
      <c r="A5" s="9" t="s">
        <v>35</v>
      </c>
      <c r="B5" s="10">
        <v>1</v>
      </c>
      <c r="C5" s="11">
        <v>210.13529600000001</v>
      </c>
      <c r="D5" s="12">
        <v>1.9895320000000001</v>
      </c>
      <c r="E5" s="13">
        <v>1.312238</v>
      </c>
      <c r="F5" s="13">
        <v>0.16302800000000001</v>
      </c>
      <c r="G5" s="13">
        <v>1.1492100000000001</v>
      </c>
      <c r="H5" s="14" t="s">
        <v>36</v>
      </c>
      <c r="I5" s="11">
        <v>210.13529600000001</v>
      </c>
      <c r="J5" s="12">
        <v>1.9895320000000001</v>
      </c>
      <c r="K5" s="13">
        <v>1.1492100000000001</v>
      </c>
      <c r="L5" s="13">
        <v>0.16302800000000001</v>
      </c>
    </row>
    <row r="6" spans="1:27" x14ac:dyDescent="0.35">
      <c r="A6" s="2" t="s">
        <v>37</v>
      </c>
      <c r="B6" s="3">
        <v>2</v>
      </c>
      <c r="C6" s="4">
        <v>183.31435999999999</v>
      </c>
      <c r="D6" s="5">
        <v>1.993406</v>
      </c>
      <c r="E6" s="6">
        <v>1.110466</v>
      </c>
      <c r="F6" s="6">
        <v>0.101782</v>
      </c>
      <c r="G6" s="6">
        <v>1.0595749999999999</v>
      </c>
      <c r="H6" s="7" t="s">
        <v>38</v>
      </c>
      <c r="I6" s="4">
        <v>100.471704</v>
      </c>
      <c r="J6" s="5">
        <v>1.9969060000000001</v>
      </c>
      <c r="K6" s="6">
        <v>1.0501549999999999</v>
      </c>
      <c r="L6" s="6">
        <v>0.101782</v>
      </c>
      <c r="M6" s="7" t="s">
        <v>39</v>
      </c>
      <c r="N6" s="4">
        <v>82.842656000000005</v>
      </c>
      <c r="O6" s="5">
        <v>1.989906</v>
      </c>
      <c r="P6" s="6">
        <v>1.0689949999999999</v>
      </c>
      <c r="Q6" s="6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x14ac:dyDescent="0.35">
      <c r="A7" s="9" t="s">
        <v>40</v>
      </c>
      <c r="B7" s="10">
        <v>1</v>
      </c>
      <c r="C7" s="11">
        <v>13.449014999999999</v>
      </c>
      <c r="D7" s="12">
        <v>1.9966569999999999</v>
      </c>
      <c r="E7" s="13">
        <v>1.26058</v>
      </c>
      <c r="F7" s="13">
        <v>0.20791799999999999</v>
      </c>
      <c r="G7" s="13">
        <v>1.052662</v>
      </c>
      <c r="H7" s="14" t="s">
        <v>41</v>
      </c>
      <c r="I7" s="11">
        <v>13.449014999999999</v>
      </c>
      <c r="J7" s="12">
        <v>1.9966569999999999</v>
      </c>
      <c r="K7" s="13">
        <v>1.052662</v>
      </c>
      <c r="L7" s="13">
        <v>0.20791799999999999</v>
      </c>
    </row>
    <row r="8" spans="1:27" x14ac:dyDescent="0.35">
      <c r="A8" s="2" t="s">
        <v>42</v>
      </c>
      <c r="B8" s="3">
        <v>3</v>
      </c>
      <c r="C8" s="4">
        <v>160.85533599999999</v>
      </c>
      <c r="D8" s="5">
        <v>2.0016660000000002</v>
      </c>
      <c r="E8" s="6">
        <v>1.135586666666667</v>
      </c>
      <c r="F8" s="6">
        <v>0.1217613333333333</v>
      </c>
      <c r="G8" s="6">
        <v>1.0138253333333329</v>
      </c>
      <c r="H8" s="7" t="s">
        <v>43</v>
      </c>
      <c r="I8" s="4">
        <v>101.826544</v>
      </c>
      <c r="J8" s="5">
        <v>1.998508</v>
      </c>
      <c r="K8" s="6">
        <v>0.98321000000000003</v>
      </c>
      <c r="L8" s="6">
        <v>9.7671999999999995E-2</v>
      </c>
      <c r="M8" s="7" t="s">
        <v>44</v>
      </c>
      <c r="N8" s="4">
        <v>46.732095999999999</v>
      </c>
      <c r="O8" s="5">
        <v>1.9978819999999999</v>
      </c>
      <c r="P8" s="6">
        <v>0.94131100000000001</v>
      </c>
      <c r="Q8" s="6">
        <v>0.186948</v>
      </c>
      <c r="R8" s="7" t="s">
        <v>45</v>
      </c>
      <c r="S8" s="4">
        <v>12.296696000000001</v>
      </c>
      <c r="T8" s="5">
        <v>2.0086080000000002</v>
      </c>
      <c r="U8" s="6">
        <v>1.1169549999999999</v>
      </c>
      <c r="V8" s="6">
        <v>8.0664E-2</v>
      </c>
      <c r="W8" s="8"/>
      <c r="X8" s="8"/>
      <c r="Y8" s="8"/>
      <c r="Z8" s="8"/>
      <c r="AA8" s="8"/>
    </row>
    <row r="9" spans="1:27" x14ac:dyDescent="0.35">
      <c r="A9" s="9" t="s">
        <v>46</v>
      </c>
      <c r="B9" s="10">
        <v>1</v>
      </c>
      <c r="C9" s="11">
        <v>50.536624000000003</v>
      </c>
      <c r="D9" s="12">
        <v>1.989717</v>
      </c>
      <c r="E9" s="13">
        <v>1.2537370000000001</v>
      </c>
      <c r="F9" s="13">
        <v>0.29569600000000001</v>
      </c>
      <c r="G9" s="13">
        <v>0.95804100000000003</v>
      </c>
      <c r="H9" s="14" t="s">
        <v>47</v>
      </c>
      <c r="I9" s="11">
        <v>50.536624000000003</v>
      </c>
      <c r="J9" s="12">
        <v>1.989717</v>
      </c>
      <c r="K9" s="13">
        <v>0.95804100000000003</v>
      </c>
      <c r="L9" s="13">
        <v>0.29569600000000001</v>
      </c>
    </row>
    <row r="10" spans="1:27" x14ac:dyDescent="0.35">
      <c r="A10" s="2" t="s">
        <v>48</v>
      </c>
      <c r="B10" s="3">
        <v>2</v>
      </c>
      <c r="C10" s="4">
        <v>258.610344</v>
      </c>
      <c r="D10" s="5">
        <v>1.9839275000000001</v>
      </c>
      <c r="E10" s="6">
        <v>1.134676</v>
      </c>
      <c r="F10" s="6">
        <v>0.229769</v>
      </c>
      <c r="G10" s="6">
        <v>0.90490700000000013</v>
      </c>
      <c r="H10" s="7" t="s">
        <v>49</v>
      </c>
      <c r="I10" s="4">
        <v>166.656352</v>
      </c>
      <c r="J10" s="5">
        <v>1.9781690000000001</v>
      </c>
      <c r="K10" s="6">
        <v>0.8706290000000001</v>
      </c>
      <c r="L10" s="6">
        <v>0.28095599999999998</v>
      </c>
      <c r="M10" s="7" t="s">
        <v>50</v>
      </c>
      <c r="N10" s="4">
        <v>91.953992</v>
      </c>
      <c r="O10" s="5">
        <v>1.9896860000000001</v>
      </c>
      <c r="P10" s="6">
        <v>0.93918500000000005</v>
      </c>
      <c r="Q10" s="6">
        <v>0.17858199999999999</v>
      </c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x14ac:dyDescent="0.35">
      <c r="A11" s="9" t="s">
        <v>51</v>
      </c>
      <c r="B11" s="10">
        <v>1</v>
      </c>
      <c r="C11" s="11">
        <v>38.607771999999997</v>
      </c>
      <c r="D11" s="12">
        <v>1.9942759999999999</v>
      </c>
      <c r="E11" s="13">
        <v>0.90000199999999997</v>
      </c>
      <c r="F11" s="13">
        <v>7.3813999999999894E-2</v>
      </c>
      <c r="G11" s="13">
        <v>0.82618799999999992</v>
      </c>
      <c r="H11" s="14" t="s">
        <v>52</v>
      </c>
      <c r="I11" s="11">
        <v>38.607771999999997</v>
      </c>
      <c r="J11" s="12">
        <v>1.9942759999999999</v>
      </c>
      <c r="K11" s="13">
        <v>0.82618799999999992</v>
      </c>
      <c r="L11" s="13">
        <v>7.3813999999999894E-2</v>
      </c>
    </row>
    <row r="12" spans="1:27" x14ac:dyDescent="0.35">
      <c r="A12" s="2" t="s">
        <v>53</v>
      </c>
      <c r="B12" s="3">
        <v>1</v>
      </c>
      <c r="C12" s="4">
        <v>41.908568000000002</v>
      </c>
      <c r="D12" s="5">
        <v>1.9766170000000001</v>
      </c>
      <c r="E12" s="6">
        <v>1.0051540000000001</v>
      </c>
      <c r="F12" s="6">
        <v>0.186278</v>
      </c>
      <c r="G12" s="6">
        <v>0.81887600000000016</v>
      </c>
      <c r="H12" s="7" t="s">
        <v>54</v>
      </c>
      <c r="I12" s="4">
        <v>41.908568000000002</v>
      </c>
      <c r="J12" s="5">
        <v>1.9766170000000001</v>
      </c>
      <c r="K12" s="6">
        <v>0.81887600000000016</v>
      </c>
      <c r="L12" s="6">
        <v>0.186278</v>
      </c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x14ac:dyDescent="0.35">
      <c r="A13" s="9" t="s">
        <v>55</v>
      </c>
      <c r="B13" s="10">
        <v>1</v>
      </c>
      <c r="C13" s="11">
        <v>13.778926999999999</v>
      </c>
      <c r="D13" s="12">
        <v>1.998537</v>
      </c>
      <c r="E13" s="13">
        <v>1.0787580000000001</v>
      </c>
      <c r="F13" s="13">
        <v>0.266934</v>
      </c>
      <c r="G13" s="13">
        <v>0.8118240000000001</v>
      </c>
      <c r="H13" s="14" t="s">
        <v>56</v>
      </c>
      <c r="I13" s="11">
        <v>13.778926999999999</v>
      </c>
      <c r="J13" s="12">
        <v>1.998537</v>
      </c>
      <c r="K13" s="13">
        <v>0.8118240000000001</v>
      </c>
      <c r="L13" s="13">
        <v>0.266934</v>
      </c>
    </row>
    <row r="14" spans="1:27" x14ac:dyDescent="0.35">
      <c r="A14" s="2" t="s">
        <v>57</v>
      </c>
      <c r="B14" s="3">
        <v>1</v>
      </c>
      <c r="C14" s="4">
        <v>9.0801110000000005</v>
      </c>
      <c r="D14" s="5">
        <v>2.0117639999999999</v>
      </c>
      <c r="E14" s="6">
        <v>0.95393099999999997</v>
      </c>
      <c r="F14" s="6">
        <v>0.14643600000000001</v>
      </c>
      <c r="G14" s="6">
        <v>0.80749499999999996</v>
      </c>
      <c r="H14" s="7" t="s">
        <v>58</v>
      </c>
      <c r="I14" s="4">
        <v>9.0801110000000005</v>
      </c>
      <c r="J14" s="5">
        <v>2.0117639999999999</v>
      </c>
      <c r="K14" s="6">
        <v>0.80749499999999996</v>
      </c>
      <c r="L14" s="6">
        <v>0.14643600000000001</v>
      </c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x14ac:dyDescent="0.35">
      <c r="A15" s="9" t="s">
        <v>59</v>
      </c>
      <c r="B15" s="10">
        <v>2</v>
      </c>
      <c r="C15" s="11">
        <v>173.35184799999999</v>
      </c>
      <c r="D15" s="12">
        <v>2.0190885000000001</v>
      </c>
      <c r="E15" s="13">
        <v>0.81266349999999998</v>
      </c>
      <c r="F15" s="13">
        <v>8.7808999999999943E-2</v>
      </c>
      <c r="G15" s="13">
        <v>0.72485449999999996</v>
      </c>
      <c r="H15" s="14" t="s">
        <v>60</v>
      </c>
      <c r="I15" s="11">
        <v>102.72188</v>
      </c>
      <c r="J15" s="12">
        <v>2.0197919999999998</v>
      </c>
      <c r="K15" s="13">
        <v>0.76376699999999997</v>
      </c>
      <c r="L15" s="13">
        <v>6.2051999999999899E-2</v>
      </c>
      <c r="M15" s="14" t="s">
        <v>61</v>
      </c>
      <c r="N15" s="11">
        <v>70.629968000000005</v>
      </c>
      <c r="O15" s="12">
        <v>2.0183849999999999</v>
      </c>
      <c r="P15" s="13">
        <v>0.68594200000000005</v>
      </c>
      <c r="Q15" s="13">
        <v>0.113566</v>
      </c>
    </row>
    <row r="16" spans="1:27" x14ac:dyDescent="0.35">
      <c r="A16" s="2" t="s">
        <v>62</v>
      </c>
      <c r="B16" s="3">
        <v>3</v>
      </c>
      <c r="C16" s="4">
        <v>896.90476100000001</v>
      </c>
      <c r="D16" s="5">
        <v>1.9939806666666671</v>
      </c>
      <c r="E16" s="6">
        <v>0.76723300000000005</v>
      </c>
      <c r="F16" s="6">
        <v>4.9367999999999967E-2</v>
      </c>
      <c r="G16" s="6">
        <v>0.71786500000000009</v>
      </c>
      <c r="H16" s="7" t="s">
        <v>63</v>
      </c>
      <c r="I16" s="4">
        <v>706.58816000000002</v>
      </c>
      <c r="J16" s="5">
        <v>2.0010439999999998</v>
      </c>
      <c r="K16" s="6">
        <v>0.77913500000000002</v>
      </c>
      <c r="L16" s="6">
        <v>8.0079999999999995E-3</v>
      </c>
      <c r="M16" s="7" t="s">
        <v>64</v>
      </c>
      <c r="N16" s="4">
        <v>179.475888</v>
      </c>
      <c r="O16" s="5">
        <v>1.991322</v>
      </c>
      <c r="P16" s="6">
        <v>0.66703099999999993</v>
      </c>
      <c r="Q16" s="6">
        <v>0.10194</v>
      </c>
      <c r="R16" s="7" t="s">
        <v>65</v>
      </c>
      <c r="S16" s="4">
        <v>10.840712999999999</v>
      </c>
      <c r="T16" s="5">
        <v>1.989576</v>
      </c>
      <c r="U16" s="6">
        <v>0.70742900000000009</v>
      </c>
      <c r="V16" s="6">
        <v>3.8155999999999898E-2</v>
      </c>
      <c r="W16" s="8"/>
      <c r="X16" s="8"/>
      <c r="Y16" s="8"/>
      <c r="Z16" s="8"/>
      <c r="AA16" s="8"/>
    </row>
    <row r="17" spans="1:27" x14ac:dyDescent="0.35">
      <c r="A17" s="9" t="s">
        <v>66</v>
      </c>
      <c r="B17" s="10">
        <v>1</v>
      </c>
      <c r="C17" s="11">
        <v>33.673008000000003</v>
      </c>
      <c r="D17" s="12">
        <v>1.9882219999999999</v>
      </c>
      <c r="E17" s="13">
        <v>0.90058700000000003</v>
      </c>
      <c r="F17" s="13">
        <v>0.18858799999999989</v>
      </c>
      <c r="G17" s="13">
        <v>0.71199900000000005</v>
      </c>
      <c r="H17" s="14" t="s">
        <v>67</v>
      </c>
      <c r="I17" s="11">
        <v>33.673008000000003</v>
      </c>
      <c r="J17" s="12">
        <v>1.9882219999999999</v>
      </c>
      <c r="K17" s="13">
        <v>0.71199900000000005</v>
      </c>
      <c r="L17" s="13">
        <v>0.18858799999999989</v>
      </c>
    </row>
    <row r="18" spans="1:27" x14ac:dyDescent="0.35">
      <c r="A18" s="2" t="s">
        <v>68</v>
      </c>
      <c r="B18" s="3">
        <v>1</v>
      </c>
      <c r="C18" s="4">
        <v>16.615836000000002</v>
      </c>
      <c r="D18" s="5">
        <v>1.995871</v>
      </c>
      <c r="E18" s="6">
        <v>0.69254400000000005</v>
      </c>
      <c r="F18" s="6">
        <v>0</v>
      </c>
      <c r="G18" s="6">
        <v>0.69254400000000005</v>
      </c>
      <c r="H18" s="7" t="s">
        <v>69</v>
      </c>
      <c r="I18" s="4">
        <v>16.615836000000002</v>
      </c>
      <c r="J18" s="5">
        <v>1.995871</v>
      </c>
      <c r="K18" s="6">
        <v>0.69254400000000005</v>
      </c>
      <c r="L18" s="6">
        <v>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x14ac:dyDescent="0.35">
      <c r="A19" s="9" t="s">
        <v>70</v>
      </c>
      <c r="B19" s="10">
        <v>1</v>
      </c>
      <c r="C19" s="11">
        <v>138.82278400000001</v>
      </c>
      <c r="D19" s="12">
        <v>2.014402</v>
      </c>
      <c r="E19" s="13">
        <v>0.705507</v>
      </c>
      <c r="F19" s="13">
        <v>8.0206E-2</v>
      </c>
      <c r="G19" s="13">
        <v>0.625301</v>
      </c>
      <c r="H19" s="14" t="s">
        <v>71</v>
      </c>
      <c r="I19" s="11">
        <v>138.82278400000001</v>
      </c>
      <c r="J19" s="12">
        <v>2.014402</v>
      </c>
      <c r="K19" s="13">
        <v>0.625301</v>
      </c>
      <c r="L19" s="13">
        <v>8.0206E-2</v>
      </c>
    </row>
    <row r="20" spans="1:27" x14ac:dyDescent="0.35">
      <c r="A20" s="2" t="s">
        <v>72</v>
      </c>
      <c r="B20" s="3">
        <v>1</v>
      </c>
      <c r="C20" s="4">
        <v>470.322272</v>
      </c>
      <c r="D20" s="5">
        <v>1.987096</v>
      </c>
      <c r="E20" s="6">
        <v>0.76501600000000003</v>
      </c>
      <c r="F20" s="6">
        <v>0.166876</v>
      </c>
      <c r="G20" s="6">
        <v>0.59814000000000001</v>
      </c>
      <c r="H20" s="7" t="s">
        <v>73</v>
      </c>
      <c r="I20" s="4">
        <v>470.322272</v>
      </c>
      <c r="J20" s="5">
        <v>1.987096</v>
      </c>
      <c r="K20" s="6">
        <v>0.59814000000000001</v>
      </c>
      <c r="L20" s="6">
        <v>0.166876</v>
      </c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x14ac:dyDescent="0.35">
      <c r="A21" s="9" t="s">
        <v>74</v>
      </c>
      <c r="B21" s="10">
        <v>1</v>
      </c>
      <c r="C21" s="11">
        <v>169.664016</v>
      </c>
      <c r="D21" s="12">
        <v>1.9843010000000001</v>
      </c>
      <c r="E21" s="13">
        <v>0.64901600000000004</v>
      </c>
      <c r="F21" s="13">
        <v>7.8548000000000007E-2</v>
      </c>
      <c r="G21" s="13">
        <v>0.57046799999999998</v>
      </c>
      <c r="H21" s="14" t="s">
        <v>75</v>
      </c>
      <c r="I21" s="11">
        <v>169.664016</v>
      </c>
      <c r="J21" s="12">
        <v>1.9843010000000001</v>
      </c>
      <c r="K21" s="13">
        <v>0.57046799999999998</v>
      </c>
      <c r="L21" s="13">
        <v>7.8548000000000007E-2</v>
      </c>
    </row>
    <row r="22" spans="1:27" x14ac:dyDescent="0.35">
      <c r="A22" s="2" t="s">
        <v>76</v>
      </c>
      <c r="B22" s="3">
        <v>1</v>
      </c>
      <c r="C22" s="4">
        <v>14.925299000000001</v>
      </c>
      <c r="D22" s="5">
        <v>1.995098</v>
      </c>
      <c r="E22" s="6">
        <v>0.73613899999999999</v>
      </c>
      <c r="F22" s="6">
        <v>0.17165</v>
      </c>
      <c r="G22" s="6">
        <v>0.56448900000000002</v>
      </c>
      <c r="H22" s="7" t="s">
        <v>77</v>
      </c>
      <c r="I22" s="4">
        <v>14.925299000000001</v>
      </c>
      <c r="J22" s="5">
        <v>1.995098</v>
      </c>
      <c r="K22" s="6">
        <v>0.56448900000000002</v>
      </c>
      <c r="L22" s="6">
        <v>0.17165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x14ac:dyDescent="0.35">
      <c r="A23" s="9" t="s">
        <v>78</v>
      </c>
      <c r="B23" s="10">
        <v>1</v>
      </c>
      <c r="C23" s="11">
        <v>11939.088384000001</v>
      </c>
      <c r="D23" s="12">
        <v>2.9603769999999998</v>
      </c>
      <c r="E23" s="13">
        <v>0.53764900000000004</v>
      </c>
      <c r="F23" s="13">
        <v>1.7498E-2</v>
      </c>
      <c r="G23" s="13">
        <v>0.52015100000000003</v>
      </c>
      <c r="H23" s="14" t="s">
        <v>79</v>
      </c>
      <c r="I23" s="11">
        <v>11939.088384000001</v>
      </c>
      <c r="J23" s="12">
        <v>2.9603769999999998</v>
      </c>
      <c r="K23" s="13">
        <v>0.52015100000000003</v>
      </c>
      <c r="L23" s="13">
        <v>1.7498E-2</v>
      </c>
    </row>
    <row r="24" spans="1:27" x14ac:dyDescent="0.35">
      <c r="A24" s="2" t="s">
        <v>80</v>
      </c>
      <c r="B24" s="3">
        <v>2</v>
      </c>
      <c r="C24" s="4">
        <v>140.75152</v>
      </c>
      <c r="D24" s="5">
        <v>2.0093969999999999</v>
      </c>
      <c r="E24" s="6">
        <v>0.69652800000000004</v>
      </c>
      <c r="F24" s="6">
        <v>0.20579500000000001</v>
      </c>
      <c r="G24" s="6">
        <v>0.49073299999999997</v>
      </c>
      <c r="H24" s="7" t="s">
        <v>81</v>
      </c>
      <c r="I24" s="4">
        <v>92.701055999999994</v>
      </c>
      <c r="J24" s="5">
        <v>2.0120450000000001</v>
      </c>
      <c r="K24" s="6">
        <v>0.57613300000000001</v>
      </c>
      <c r="L24" s="6">
        <v>0.16810199999999989</v>
      </c>
      <c r="M24" s="7" t="s">
        <v>82</v>
      </c>
      <c r="N24" s="4">
        <v>48.050463999999998</v>
      </c>
      <c r="O24" s="5">
        <v>2.0067490000000001</v>
      </c>
      <c r="P24" s="6">
        <v>0.40533299999999989</v>
      </c>
      <c r="Q24" s="6">
        <v>0.24348800000000001</v>
      </c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x14ac:dyDescent="0.35">
      <c r="A25" s="9" t="s">
        <v>83</v>
      </c>
      <c r="B25" s="10">
        <v>1</v>
      </c>
      <c r="C25" s="11">
        <v>210.574288</v>
      </c>
      <c r="D25" s="12">
        <v>1.979924</v>
      </c>
      <c r="E25" s="13">
        <v>0.64753499999999997</v>
      </c>
      <c r="F25" s="13">
        <v>0.15849199999999999</v>
      </c>
      <c r="G25" s="13">
        <v>0.48904300000000001</v>
      </c>
      <c r="H25" s="14" t="s">
        <v>84</v>
      </c>
      <c r="I25" s="11">
        <v>210.574288</v>
      </c>
      <c r="J25" s="12">
        <v>1.979924</v>
      </c>
      <c r="K25" s="13">
        <v>0.48904300000000001</v>
      </c>
      <c r="L25" s="13">
        <v>0.15849199999999999</v>
      </c>
    </row>
    <row r="26" spans="1:27" x14ac:dyDescent="0.35">
      <c r="A26" s="2" t="s">
        <v>85</v>
      </c>
      <c r="B26" s="3">
        <v>1</v>
      </c>
      <c r="C26" s="4">
        <v>120.932992</v>
      </c>
      <c r="D26" s="5">
        <v>1.9876370000000001</v>
      </c>
      <c r="E26" s="6">
        <v>0.53121200000000002</v>
      </c>
      <c r="F26" s="6">
        <v>5.4718000000000003E-2</v>
      </c>
      <c r="G26" s="6">
        <v>0.47649399999999997</v>
      </c>
      <c r="H26" s="7" t="s">
        <v>86</v>
      </c>
      <c r="I26" s="4">
        <v>120.932992</v>
      </c>
      <c r="J26" s="5">
        <v>1.9876370000000001</v>
      </c>
      <c r="K26" s="6">
        <v>0.47649399999999997</v>
      </c>
      <c r="L26" s="6">
        <v>5.4718000000000003E-2</v>
      </c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x14ac:dyDescent="0.35">
      <c r="A27" s="9" t="s">
        <v>87</v>
      </c>
      <c r="B27" s="10">
        <v>1</v>
      </c>
      <c r="C27" s="11">
        <v>20.771360000000001</v>
      </c>
      <c r="D27" s="12">
        <v>1.9893419999999999</v>
      </c>
      <c r="E27" s="13">
        <v>0.72179899999999997</v>
      </c>
      <c r="F27" s="13">
        <v>0.26538</v>
      </c>
      <c r="G27" s="13">
        <v>0.45641899999999991</v>
      </c>
      <c r="H27" s="14" t="s">
        <v>88</v>
      </c>
      <c r="I27" s="11">
        <v>20.771360000000001</v>
      </c>
      <c r="J27" s="12">
        <v>1.9893419999999999</v>
      </c>
      <c r="K27" s="13">
        <v>0.45641899999999991</v>
      </c>
      <c r="L27" s="13">
        <v>0.26538</v>
      </c>
    </row>
    <row r="28" spans="1:27" x14ac:dyDescent="0.35">
      <c r="A28" s="2" t="s">
        <v>89</v>
      </c>
      <c r="B28" s="3">
        <v>1</v>
      </c>
      <c r="C28" s="4">
        <v>8.9140979999999992</v>
      </c>
      <c r="D28" s="5">
        <v>1.9984850000000001</v>
      </c>
      <c r="E28" s="6">
        <v>0.52756199999999998</v>
      </c>
      <c r="F28" s="6">
        <v>7.8921999999999895E-2</v>
      </c>
      <c r="G28" s="6">
        <v>0.44863999999999998</v>
      </c>
      <c r="H28" s="7" t="s">
        <v>90</v>
      </c>
      <c r="I28" s="4">
        <v>8.9140979999999992</v>
      </c>
      <c r="J28" s="5">
        <v>1.9984850000000001</v>
      </c>
      <c r="K28" s="6">
        <v>0.44863999999999998</v>
      </c>
      <c r="L28" s="6">
        <v>7.8921999999999895E-2</v>
      </c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x14ac:dyDescent="0.35">
      <c r="A29" s="9" t="s">
        <v>91</v>
      </c>
      <c r="B29" s="10">
        <v>2</v>
      </c>
      <c r="C29" s="11">
        <v>1322.99352</v>
      </c>
      <c r="D29" s="12">
        <v>1.9957940000000001</v>
      </c>
      <c r="E29" s="13">
        <v>0.54110400000000003</v>
      </c>
      <c r="F29" s="13">
        <v>9.4261999999999999E-2</v>
      </c>
      <c r="G29" s="13">
        <v>0.44684200000000002</v>
      </c>
      <c r="H29" s="14" t="s">
        <v>92</v>
      </c>
      <c r="I29" s="11">
        <v>1083.8886399999999</v>
      </c>
      <c r="J29" s="12">
        <v>1.9940960000000001</v>
      </c>
      <c r="K29" s="13">
        <v>0.46239999999999998</v>
      </c>
      <c r="L29" s="13">
        <v>4.3150000000000001E-2</v>
      </c>
      <c r="M29" s="14" t="s">
        <v>93</v>
      </c>
      <c r="N29" s="11">
        <v>239.10488000000001</v>
      </c>
      <c r="O29" s="12">
        <v>1.997492</v>
      </c>
      <c r="P29" s="13">
        <v>0.431284</v>
      </c>
      <c r="Q29" s="13">
        <v>0.145374</v>
      </c>
    </row>
    <row r="30" spans="1:27" x14ac:dyDescent="0.35">
      <c r="A30" s="2" t="s">
        <v>94</v>
      </c>
      <c r="B30" s="3">
        <v>1</v>
      </c>
      <c r="C30" s="4">
        <v>14.070665999999999</v>
      </c>
      <c r="D30" s="5">
        <v>1.9894480000000001</v>
      </c>
      <c r="E30" s="6">
        <v>0.69427000000000005</v>
      </c>
      <c r="F30" s="6">
        <v>0.25478400000000001</v>
      </c>
      <c r="G30" s="6">
        <v>0.43948599999999999</v>
      </c>
      <c r="H30" s="7" t="s">
        <v>95</v>
      </c>
      <c r="I30" s="4">
        <v>14.070665999999999</v>
      </c>
      <c r="J30" s="5">
        <v>1.9894480000000001</v>
      </c>
      <c r="K30" s="6">
        <v>0.43948599999999999</v>
      </c>
      <c r="L30" s="6">
        <v>0.25478400000000001</v>
      </c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x14ac:dyDescent="0.35">
      <c r="A31" s="9" t="s">
        <v>96</v>
      </c>
      <c r="B31" s="10">
        <v>1</v>
      </c>
      <c r="C31" s="11">
        <v>5.6559460000000001</v>
      </c>
      <c r="D31" s="12">
        <v>2.0104649999999999</v>
      </c>
      <c r="E31" s="13">
        <v>0.70647300000000002</v>
      </c>
      <c r="F31" s="13">
        <v>0.26717000000000002</v>
      </c>
      <c r="G31" s="13">
        <v>0.439303</v>
      </c>
      <c r="H31" s="14" t="s">
        <v>97</v>
      </c>
      <c r="I31" s="11">
        <v>5.6559460000000001</v>
      </c>
      <c r="J31" s="12">
        <v>2.0104649999999999</v>
      </c>
      <c r="K31" s="13">
        <v>0.439303</v>
      </c>
      <c r="L31" s="13">
        <v>0.26717000000000002</v>
      </c>
    </row>
    <row r="32" spans="1:27" x14ac:dyDescent="0.35">
      <c r="A32" s="2" t="s">
        <v>98</v>
      </c>
      <c r="B32" s="3">
        <v>1</v>
      </c>
      <c r="C32" s="4">
        <v>35.467452000000002</v>
      </c>
      <c r="D32" s="5">
        <v>1.982097</v>
      </c>
      <c r="E32" s="6">
        <v>0.49296600000000002</v>
      </c>
      <c r="F32" s="6">
        <v>6.368E-2</v>
      </c>
      <c r="G32" s="6">
        <v>0.429286</v>
      </c>
      <c r="H32" s="7" t="s">
        <v>99</v>
      </c>
      <c r="I32" s="4">
        <v>35.467452000000002</v>
      </c>
      <c r="J32" s="5">
        <v>1.982097</v>
      </c>
      <c r="K32" s="6">
        <v>0.429286</v>
      </c>
      <c r="L32" s="6">
        <v>6.368E-2</v>
      </c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x14ac:dyDescent="0.35">
      <c r="A33" s="9" t="s">
        <v>100</v>
      </c>
      <c r="B33" s="10">
        <v>2</v>
      </c>
      <c r="C33" s="11">
        <v>5797.815552</v>
      </c>
      <c r="D33" s="12">
        <v>2.5121150000000001</v>
      </c>
      <c r="E33" s="13">
        <v>0.45007150000000001</v>
      </c>
      <c r="F33" s="13">
        <v>2.3284999999999952E-2</v>
      </c>
      <c r="G33" s="13">
        <v>0.42678650000000001</v>
      </c>
      <c r="H33" s="14" t="s">
        <v>101</v>
      </c>
      <c r="I33" s="11">
        <v>4089.1601919999998</v>
      </c>
      <c r="J33" s="12">
        <v>3.0434070000000002</v>
      </c>
      <c r="K33" s="13">
        <v>0.65594699999999995</v>
      </c>
      <c r="L33" s="13">
        <v>3.4192E-2</v>
      </c>
      <c r="M33" s="14" t="s">
        <v>102</v>
      </c>
      <c r="N33" s="11">
        <v>1708.65536</v>
      </c>
      <c r="O33" s="12">
        <v>1.980823</v>
      </c>
      <c r="P33" s="13">
        <v>0.197626</v>
      </c>
      <c r="Q33" s="13">
        <v>1.2377999999999899E-2</v>
      </c>
    </row>
    <row r="34" spans="1:27" x14ac:dyDescent="0.35">
      <c r="A34" s="2" t="s">
        <v>103</v>
      </c>
      <c r="B34" s="3">
        <v>1</v>
      </c>
      <c r="C34" s="4">
        <v>37.901712000000003</v>
      </c>
      <c r="D34" s="5">
        <v>1.985336</v>
      </c>
      <c r="E34" s="6">
        <v>0.65544500000000006</v>
      </c>
      <c r="F34" s="6">
        <v>0.23402600000000001</v>
      </c>
      <c r="G34" s="6">
        <v>0.42141899999999999</v>
      </c>
      <c r="H34" s="7" t="s">
        <v>104</v>
      </c>
      <c r="I34" s="4">
        <v>37.901712000000003</v>
      </c>
      <c r="J34" s="5">
        <v>1.985336</v>
      </c>
      <c r="K34" s="6">
        <v>0.42141899999999999</v>
      </c>
      <c r="L34" s="6">
        <v>0.23402600000000001</v>
      </c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x14ac:dyDescent="0.35">
      <c r="A35" s="9" t="s">
        <v>105</v>
      </c>
      <c r="B35" s="10">
        <v>1</v>
      </c>
      <c r="C35" s="11">
        <v>47.330191999999997</v>
      </c>
      <c r="D35" s="12">
        <v>1.98187</v>
      </c>
      <c r="E35" s="13">
        <v>0.639984</v>
      </c>
      <c r="F35" s="13">
        <v>0.21906999999999999</v>
      </c>
      <c r="G35" s="13">
        <v>0.42091400000000001</v>
      </c>
      <c r="H35" s="14" t="s">
        <v>106</v>
      </c>
      <c r="I35" s="11">
        <v>47.330191999999997</v>
      </c>
      <c r="J35" s="12">
        <v>1.98187</v>
      </c>
      <c r="K35" s="13">
        <v>0.42091400000000001</v>
      </c>
      <c r="L35" s="13">
        <v>0.21906999999999999</v>
      </c>
    </row>
    <row r="36" spans="1:27" x14ac:dyDescent="0.35">
      <c r="A36" s="2" t="s">
        <v>107</v>
      </c>
      <c r="B36" s="3">
        <v>1</v>
      </c>
      <c r="C36" s="4">
        <v>11.531488</v>
      </c>
      <c r="D36" s="5">
        <v>2.019056</v>
      </c>
      <c r="E36" s="6">
        <v>0.49216900000000002</v>
      </c>
      <c r="F36" s="6">
        <v>9.2294000000000001E-2</v>
      </c>
      <c r="G36" s="6">
        <v>0.39987499999999998</v>
      </c>
      <c r="H36" s="7" t="s">
        <v>108</v>
      </c>
      <c r="I36" s="4">
        <v>11.531488</v>
      </c>
      <c r="J36" s="5">
        <v>2.019056</v>
      </c>
      <c r="K36" s="6">
        <v>0.39987499999999998</v>
      </c>
      <c r="L36" s="6">
        <v>9.2294000000000001E-2</v>
      </c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x14ac:dyDescent="0.35">
      <c r="A37" s="9" t="s">
        <v>109</v>
      </c>
      <c r="B37" s="10">
        <v>3</v>
      </c>
      <c r="C37" s="11">
        <v>620.55511799999999</v>
      </c>
      <c r="D37" s="12">
        <v>2.002688333333333</v>
      </c>
      <c r="E37" s="13">
        <v>0.45565000000000011</v>
      </c>
      <c r="F37" s="13">
        <v>5.6436666666666642E-2</v>
      </c>
      <c r="G37" s="13">
        <v>0.39921333333333342</v>
      </c>
      <c r="H37" s="14" t="s">
        <v>110</v>
      </c>
      <c r="I37" s="11">
        <v>566.05689600000005</v>
      </c>
      <c r="J37" s="12">
        <v>1.997317</v>
      </c>
      <c r="K37" s="13">
        <v>0.34136699999999998</v>
      </c>
      <c r="L37" s="13">
        <v>6.7264000000000004E-2</v>
      </c>
      <c r="M37" s="14" t="s">
        <v>111</v>
      </c>
      <c r="N37" s="11">
        <v>35.490231999999999</v>
      </c>
      <c r="O37" s="12">
        <v>2.0079699999999998</v>
      </c>
      <c r="P37" s="13">
        <v>0.42444300000000001</v>
      </c>
      <c r="Q37" s="13">
        <v>5.4127999999999898E-2</v>
      </c>
      <c r="R37" s="14" t="s">
        <v>112</v>
      </c>
      <c r="S37" s="11">
        <v>19.007989999999999</v>
      </c>
      <c r="T37" s="12">
        <v>2.0027780000000002</v>
      </c>
      <c r="U37" s="13">
        <v>0.43182999999999999</v>
      </c>
      <c r="V37" s="13">
        <v>4.7918000000000002E-2</v>
      </c>
    </row>
    <row r="38" spans="1:27" x14ac:dyDescent="0.35">
      <c r="A38" s="2" t="s">
        <v>113</v>
      </c>
      <c r="B38" s="3">
        <v>4</v>
      </c>
      <c r="C38" s="4">
        <v>5485.1649360000001</v>
      </c>
      <c r="D38" s="5">
        <v>1.9939162500000001</v>
      </c>
      <c r="E38" s="6">
        <v>0.49518800000000002</v>
      </c>
      <c r="F38" s="6">
        <v>0.104145</v>
      </c>
      <c r="G38" s="6">
        <v>0.39104299999999997</v>
      </c>
      <c r="H38" s="7" t="s">
        <v>114</v>
      </c>
      <c r="I38" s="4">
        <v>5009.5211520000003</v>
      </c>
      <c r="J38" s="5">
        <v>1.992883</v>
      </c>
      <c r="K38" s="6">
        <v>0.40381299999999998</v>
      </c>
      <c r="L38" s="6">
        <v>9.0207999999999997E-2</v>
      </c>
      <c r="M38" s="7" t="s">
        <v>115</v>
      </c>
      <c r="N38" s="4">
        <v>266.88467200000002</v>
      </c>
      <c r="O38" s="5">
        <v>1.992848</v>
      </c>
      <c r="P38" s="6">
        <v>0.378888</v>
      </c>
      <c r="Q38" s="6">
        <v>0.15238599999999999</v>
      </c>
      <c r="R38" s="7" t="s">
        <v>116</v>
      </c>
      <c r="S38" s="4">
        <v>167.95227199999999</v>
      </c>
      <c r="T38" s="5">
        <v>1.99891</v>
      </c>
      <c r="U38" s="6">
        <v>0.44134800000000002</v>
      </c>
      <c r="V38" s="6">
        <v>4.0744000000000002E-2</v>
      </c>
      <c r="W38" s="7" t="s">
        <v>117</v>
      </c>
      <c r="X38" s="4">
        <v>40.806840000000001</v>
      </c>
      <c r="Y38" s="5">
        <v>1.9910239999999999</v>
      </c>
      <c r="Z38" s="6">
        <v>0.3401229999999999</v>
      </c>
      <c r="AA38" s="6">
        <v>0.133242</v>
      </c>
    </row>
    <row r="39" spans="1:27" x14ac:dyDescent="0.35">
      <c r="A39" s="9" t="s">
        <v>118</v>
      </c>
      <c r="B39" s="10">
        <v>3</v>
      </c>
      <c r="C39" s="11">
        <v>1281.131864</v>
      </c>
      <c r="D39" s="12">
        <v>2.0011700000000001</v>
      </c>
      <c r="E39" s="13">
        <v>0.42576766666666671</v>
      </c>
      <c r="F39" s="13">
        <v>5.8328666666666668E-2</v>
      </c>
      <c r="G39" s="13">
        <v>0.36743900000000002</v>
      </c>
      <c r="H39" s="14" t="s">
        <v>119</v>
      </c>
      <c r="I39" s="11">
        <v>905.30687999999998</v>
      </c>
      <c r="J39" s="12">
        <v>2.0046170000000001</v>
      </c>
      <c r="K39" s="13">
        <v>0.37698999999999999</v>
      </c>
      <c r="L39" s="13">
        <v>6.7276000000000002E-2</v>
      </c>
      <c r="M39" s="14" t="s">
        <v>120</v>
      </c>
      <c r="N39" s="11">
        <v>350.55414400000001</v>
      </c>
      <c r="O39" s="12">
        <v>1.992375</v>
      </c>
      <c r="P39" s="13">
        <v>0.34466200000000002</v>
      </c>
      <c r="Q39" s="13">
        <v>6.1589999999999999E-2</v>
      </c>
      <c r="R39" s="14" t="s">
        <v>121</v>
      </c>
      <c r="S39" s="11">
        <v>25.27084</v>
      </c>
      <c r="T39" s="12">
        <v>2.0065179999999998</v>
      </c>
      <c r="U39" s="13">
        <v>0.38066499999999998</v>
      </c>
      <c r="V39" s="13">
        <v>4.6120000000000001E-2</v>
      </c>
    </row>
    <row r="40" spans="1:27" x14ac:dyDescent="0.35">
      <c r="A40" s="2" t="s">
        <v>122</v>
      </c>
      <c r="B40" s="3">
        <v>1</v>
      </c>
      <c r="C40" s="4">
        <v>775.17497600000002</v>
      </c>
      <c r="D40" s="5">
        <v>2.9735900000000002</v>
      </c>
      <c r="E40" s="6">
        <v>0.36703799999999998</v>
      </c>
      <c r="F40" s="6"/>
      <c r="G40" s="6">
        <v>0.36703799999999998</v>
      </c>
      <c r="H40" s="7" t="s">
        <v>123</v>
      </c>
      <c r="I40" s="4">
        <v>775.17497600000002</v>
      </c>
      <c r="J40" s="5">
        <v>2.9735900000000002</v>
      </c>
      <c r="K40" s="6">
        <v>0.36703799999999998</v>
      </c>
      <c r="L40" s="6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x14ac:dyDescent="0.35">
      <c r="A41" s="9" t="s">
        <v>124</v>
      </c>
      <c r="B41" s="10">
        <v>1</v>
      </c>
      <c r="C41" s="11">
        <v>43.377808000000002</v>
      </c>
      <c r="D41" s="12">
        <v>1.9923519999999999</v>
      </c>
      <c r="E41" s="13">
        <v>0.54322700000000002</v>
      </c>
      <c r="F41" s="13">
        <v>0.18015</v>
      </c>
      <c r="G41" s="13">
        <v>0.36307699999999998</v>
      </c>
      <c r="H41" s="14" t="s">
        <v>125</v>
      </c>
      <c r="I41" s="11">
        <v>43.377808000000002</v>
      </c>
      <c r="J41" s="12">
        <v>1.9923519999999999</v>
      </c>
      <c r="K41" s="13">
        <v>0.36307699999999998</v>
      </c>
      <c r="L41" s="13">
        <v>0.18015</v>
      </c>
    </row>
    <row r="42" spans="1:27" x14ac:dyDescent="0.35">
      <c r="A42" s="2" t="s">
        <v>126</v>
      </c>
      <c r="B42" s="3">
        <v>1</v>
      </c>
      <c r="C42" s="4">
        <v>62.770076000000003</v>
      </c>
      <c r="D42" s="5">
        <v>1.9334180000000001</v>
      </c>
      <c r="E42" s="6">
        <v>0.380303</v>
      </c>
      <c r="F42" s="6">
        <v>2.8233999999999999E-2</v>
      </c>
      <c r="G42" s="6">
        <v>0.35206900000000002</v>
      </c>
      <c r="H42" s="7" t="s">
        <v>127</v>
      </c>
      <c r="I42" s="4">
        <v>62.770076000000003</v>
      </c>
      <c r="J42" s="5">
        <v>1.9334180000000001</v>
      </c>
      <c r="K42" s="6">
        <v>0.35206900000000002</v>
      </c>
      <c r="L42" s="6">
        <v>2.8233999999999999E-2</v>
      </c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x14ac:dyDescent="0.35">
      <c r="A43" s="9" t="s">
        <v>128</v>
      </c>
      <c r="B43" s="10">
        <v>1</v>
      </c>
      <c r="C43" s="11">
        <v>11.378818000000001</v>
      </c>
      <c r="D43" s="12">
        <v>2.024181</v>
      </c>
      <c r="E43" s="13">
        <v>0.34114</v>
      </c>
      <c r="F43" s="13">
        <v>0</v>
      </c>
      <c r="G43" s="13">
        <v>0.34114</v>
      </c>
      <c r="H43" s="14" t="s">
        <v>129</v>
      </c>
      <c r="I43" s="11">
        <v>11.378818000000001</v>
      </c>
      <c r="J43" s="12">
        <v>2.024181</v>
      </c>
      <c r="K43" s="13">
        <v>0.34114</v>
      </c>
      <c r="L43" s="13">
        <v>0</v>
      </c>
    </row>
    <row r="44" spans="1:27" x14ac:dyDescent="0.35">
      <c r="A44" s="2" t="s">
        <v>130</v>
      </c>
      <c r="B44" s="3">
        <v>1</v>
      </c>
      <c r="C44" s="4">
        <v>5.4807959999999998</v>
      </c>
      <c r="D44" s="5">
        <v>1.9845390000000001</v>
      </c>
      <c r="E44" s="6">
        <v>0.50004800000000005</v>
      </c>
      <c r="F44" s="6">
        <v>0.1697239999999999</v>
      </c>
      <c r="G44" s="6">
        <v>0.33032400000000001</v>
      </c>
      <c r="H44" s="7" t="s">
        <v>131</v>
      </c>
      <c r="I44" s="4">
        <v>5.4807959999999998</v>
      </c>
      <c r="J44" s="5">
        <v>1.9845390000000001</v>
      </c>
      <c r="K44" s="6">
        <v>0.33032400000000001</v>
      </c>
      <c r="L44" s="6">
        <v>0.1697239999999999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x14ac:dyDescent="0.35">
      <c r="A45" s="9" t="s">
        <v>132</v>
      </c>
      <c r="B45" s="10">
        <v>3</v>
      </c>
      <c r="C45" s="11">
        <v>944.0516879999999</v>
      </c>
      <c r="D45" s="12">
        <v>1.994922333333333</v>
      </c>
      <c r="E45" s="13">
        <v>0.46961199999999997</v>
      </c>
      <c r="F45" s="13">
        <v>0.14111533333333329</v>
      </c>
      <c r="G45" s="13">
        <v>0.32849666666666671</v>
      </c>
      <c r="H45" s="14" t="s">
        <v>133</v>
      </c>
      <c r="I45" s="11">
        <v>490.413344</v>
      </c>
      <c r="J45" s="12">
        <v>1.991719</v>
      </c>
      <c r="K45" s="13">
        <v>0.35068700000000003</v>
      </c>
      <c r="L45" s="13">
        <v>0.14613399999999999</v>
      </c>
      <c r="M45" s="14" t="s">
        <v>134</v>
      </c>
      <c r="N45" s="11">
        <v>428.56822399999999</v>
      </c>
      <c r="O45" s="12">
        <v>1.9967520000000001</v>
      </c>
      <c r="P45" s="13">
        <v>0.47287499999999999</v>
      </c>
      <c r="Q45" s="13">
        <v>2.5458000000000001E-2</v>
      </c>
      <c r="R45" s="14" t="s">
        <v>135</v>
      </c>
      <c r="S45" s="11">
        <v>25.070119999999999</v>
      </c>
      <c r="T45" s="12">
        <v>1.9962960000000001</v>
      </c>
      <c r="U45" s="13">
        <v>0.16192799999999991</v>
      </c>
      <c r="V45" s="13">
        <v>0.25175399999999998</v>
      </c>
    </row>
    <row r="46" spans="1:27" x14ac:dyDescent="0.35">
      <c r="A46" s="2" t="s">
        <v>136</v>
      </c>
      <c r="B46" s="3">
        <v>1</v>
      </c>
      <c r="C46" s="4">
        <v>116.944576</v>
      </c>
      <c r="D46" s="5">
        <v>2.005954</v>
      </c>
      <c r="E46" s="6">
        <v>0.28390100000000001</v>
      </c>
      <c r="F46" s="6">
        <v>3.1799999999990001E-4</v>
      </c>
      <c r="G46" s="6">
        <v>0.28358299999999997</v>
      </c>
      <c r="H46" s="7" t="s">
        <v>137</v>
      </c>
      <c r="I46" s="4">
        <v>116.944576</v>
      </c>
      <c r="J46" s="5">
        <v>2.005954</v>
      </c>
      <c r="K46" s="6">
        <v>0.28358299999999997</v>
      </c>
      <c r="L46" s="6">
        <v>3.1799999999990001E-4</v>
      </c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x14ac:dyDescent="0.35">
      <c r="A47" s="9" t="s">
        <v>138</v>
      </c>
      <c r="B47" s="10">
        <v>4</v>
      </c>
      <c r="C47" s="11">
        <v>4981.7940280000003</v>
      </c>
      <c r="D47" s="12">
        <v>1.9849755</v>
      </c>
      <c r="E47" s="13">
        <v>0.36651499999999998</v>
      </c>
      <c r="F47" s="13">
        <v>8.9789500000000008E-2</v>
      </c>
      <c r="G47" s="13">
        <v>0.27672550000000001</v>
      </c>
      <c r="H47" s="14" t="s">
        <v>139</v>
      </c>
      <c r="I47" s="11">
        <v>3934.344192</v>
      </c>
      <c r="J47" s="12">
        <v>1.987592</v>
      </c>
      <c r="K47" s="13">
        <v>0.292516</v>
      </c>
      <c r="L47" s="13">
        <v>7.7401999999999999E-2</v>
      </c>
      <c r="M47" s="14" t="s">
        <v>140</v>
      </c>
      <c r="N47" s="11">
        <v>539.92729599999996</v>
      </c>
      <c r="O47" s="12">
        <v>1.986197</v>
      </c>
      <c r="P47" s="13">
        <v>0.26475900000000002</v>
      </c>
      <c r="Q47" s="13">
        <v>8.8134000000000004E-2</v>
      </c>
      <c r="R47" s="14" t="s">
        <v>141</v>
      </c>
      <c r="S47" s="11">
        <v>474.377408</v>
      </c>
      <c r="T47" s="12">
        <v>1.997339</v>
      </c>
      <c r="U47" s="13">
        <v>0.22892799999999999</v>
      </c>
      <c r="V47" s="13">
        <v>0.178864</v>
      </c>
      <c r="W47" s="14" t="s">
        <v>142</v>
      </c>
      <c r="X47" s="11">
        <v>33.145131999999997</v>
      </c>
      <c r="Y47" s="12">
        <v>1.968774</v>
      </c>
      <c r="Z47" s="13">
        <v>0.32069900000000001</v>
      </c>
      <c r="AA47" s="13">
        <v>1.4758E-2</v>
      </c>
    </row>
    <row r="48" spans="1:27" x14ac:dyDescent="0.35">
      <c r="A48" s="2" t="s">
        <v>143</v>
      </c>
      <c r="B48" s="3">
        <v>1</v>
      </c>
      <c r="C48" s="4">
        <v>22.249967999999999</v>
      </c>
      <c r="D48" s="5">
        <v>2.0451649999999999</v>
      </c>
      <c r="E48" s="6">
        <v>0.35382400000000003</v>
      </c>
      <c r="F48" s="6">
        <v>8.2693999999999906E-2</v>
      </c>
      <c r="G48" s="6">
        <v>0.27112999999999998</v>
      </c>
      <c r="H48" s="7" t="s">
        <v>144</v>
      </c>
      <c r="I48" s="4">
        <v>22.249967999999999</v>
      </c>
      <c r="J48" s="5">
        <v>2.0451649999999999</v>
      </c>
      <c r="K48" s="6">
        <v>0.27112999999999998</v>
      </c>
      <c r="L48" s="6">
        <v>8.2693999999999906E-2</v>
      </c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x14ac:dyDescent="0.35">
      <c r="A49" s="9" t="s">
        <v>145</v>
      </c>
      <c r="B49" s="10">
        <v>1</v>
      </c>
      <c r="C49" s="11">
        <v>23.880984000000002</v>
      </c>
      <c r="D49" s="12">
        <v>1.996893</v>
      </c>
      <c r="E49" s="13">
        <v>0.45224700000000001</v>
      </c>
      <c r="F49" s="13">
        <v>0.18851799999999999</v>
      </c>
      <c r="G49" s="13">
        <v>0.26372899999999999</v>
      </c>
      <c r="H49" s="14" t="s">
        <v>146</v>
      </c>
      <c r="I49" s="11">
        <v>23.880984000000002</v>
      </c>
      <c r="J49" s="12">
        <v>1.996893</v>
      </c>
      <c r="K49" s="13">
        <v>0.26372899999999999</v>
      </c>
      <c r="L49" s="13">
        <v>0.18851799999999999</v>
      </c>
    </row>
    <row r="50" spans="1:27" x14ac:dyDescent="0.35">
      <c r="A50" s="2" t="s">
        <v>147</v>
      </c>
      <c r="B50" s="3">
        <v>2</v>
      </c>
      <c r="C50" s="4">
        <v>58.851692</v>
      </c>
      <c r="D50" s="5">
        <v>1.9848185</v>
      </c>
      <c r="E50" s="6">
        <v>0.29476000000000002</v>
      </c>
      <c r="F50" s="6">
        <v>7.1401999999999993E-2</v>
      </c>
      <c r="G50" s="6">
        <v>0.25905899999999987</v>
      </c>
      <c r="H50" s="7" t="s">
        <v>148</v>
      </c>
      <c r="I50" s="4">
        <v>40.090975999999998</v>
      </c>
      <c r="J50" s="5">
        <v>1.990245</v>
      </c>
      <c r="K50" s="6">
        <v>0.31064900000000001</v>
      </c>
      <c r="L50" s="6"/>
      <c r="M50" s="7" t="s">
        <v>149</v>
      </c>
      <c r="N50" s="4">
        <v>18.760715999999999</v>
      </c>
      <c r="O50" s="5">
        <v>1.979392</v>
      </c>
      <c r="P50" s="6">
        <v>0.2074689999999999</v>
      </c>
      <c r="Q50" s="6">
        <v>7.1401999999999993E-2</v>
      </c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x14ac:dyDescent="0.35">
      <c r="A51" s="9" t="s">
        <v>150</v>
      </c>
      <c r="B51" s="10">
        <v>1</v>
      </c>
      <c r="C51" s="11">
        <v>31.513082000000001</v>
      </c>
      <c r="D51" s="12">
        <v>1.9928539999999999</v>
      </c>
      <c r="E51" s="13">
        <v>0.300176</v>
      </c>
      <c r="F51" s="13">
        <v>4.3539999999999898E-2</v>
      </c>
      <c r="G51" s="13">
        <v>0.25663599999999998</v>
      </c>
      <c r="H51" s="14" t="s">
        <v>151</v>
      </c>
      <c r="I51" s="11">
        <v>31.513082000000001</v>
      </c>
      <c r="J51" s="12">
        <v>1.9928539999999999</v>
      </c>
      <c r="K51" s="13">
        <v>0.25663599999999998</v>
      </c>
      <c r="L51" s="13">
        <v>4.3539999999999898E-2</v>
      </c>
    </row>
    <row r="52" spans="1:27" x14ac:dyDescent="0.35">
      <c r="A52" s="2" t="s">
        <v>152</v>
      </c>
      <c r="B52" s="3">
        <v>1</v>
      </c>
      <c r="C52" s="4">
        <v>5.7546530000000002</v>
      </c>
      <c r="D52" s="5">
        <v>2.026284</v>
      </c>
      <c r="E52" s="6">
        <v>0.54959400000000003</v>
      </c>
      <c r="F52" s="6">
        <v>0.29820000000000002</v>
      </c>
      <c r="G52" s="6">
        <v>0.25139400000000001</v>
      </c>
      <c r="H52" s="7" t="s">
        <v>153</v>
      </c>
      <c r="I52" s="4">
        <v>5.7546530000000002</v>
      </c>
      <c r="J52" s="5">
        <v>2.026284</v>
      </c>
      <c r="K52" s="6">
        <v>0.25139400000000001</v>
      </c>
      <c r="L52" s="6">
        <v>0.29820000000000002</v>
      </c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x14ac:dyDescent="0.35">
      <c r="A53" s="9" t="s">
        <v>154</v>
      </c>
      <c r="B53" s="10">
        <v>3</v>
      </c>
      <c r="C53" s="11">
        <v>228.14725200000001</v>
      </c>
      <c r="D53" s="12">
        <v>1.992623</v>
      </c>
      <c r="E53" s="13">
        <v>0.3130823333333333</v>
      </c>
      <c r="F53" s="13">
        <v>7.8378666666666666E-2</v>
      </c>
      <c r="G53" s="13">
        <v>0.23470366666666659</v>
      </c>
      <c r="H53" s="14" t="s">
        <v>155</v>
      </c>
      <c r="I53" s="11">
        <v>174.00463999999999</v>
      </c>
      <c r="J53" s="12">
        <v>1.987484</v>
      </c>
      <c r="K53" s="13">
        <v>0.312031</v>
      </c>
      <c r="L53" s="13">
        <v>6.1781999999999997E-2</v>
      </c>
      <c r="M53" s="14" t="s">
        <v>156</v>
      </c>
      <c r="N53" s="11">
        <v>35.168059999999997</v>
      </c>
      <c r="O53" s="12">
        <v>1.9985120000000001</v>
      </c>
      <c r="P53" s="13">
        <v>0.29248099999999999</v>
      </c>
      <c r="Q53" s="13">
        <v>0</v>
      </c>
      <c r="R53" s="14" t="s">
        <v>157</v>
      </c>
      <c r="S53" s="11">
        <v>18.974551999999999</v>
      </c>
      <c r="T53" s="12">
        <v>1.991873</v>
      </c>
      <c r="U53" s="13">
        <v>9.9598999999999993E-2</v>
      </c>
      <c r="V53" s="13">
        <v>0.17335400000000001</v>
      </c>
    </row>
    <row r="54" spans="1:27" x14ac:dyDescent="0.35">
      <c r="A54" s="2" t="s">
        <v>158</v>
      </c>
      <c r="B54" s="3">
        <v>1</v>
      </c>
      <c r="C54" s="4">
        <v>20.725899999999999</v>
      </c>
      <c r="D54" s="5">
        <v>1.9952810000000001</v>
      </c>
      <c r="E54" s="6">
        <v>0.22823599999999999</v>
      </c>
      <c r="F54" s="6">
        <v>0</v>
      </c>
      <c r="G54" s="6">
        <v>0.22823599999999999</v>
      </c>
      <c r="H54" s="7" t="s">
        <v>159</v>
      </c>
      <c r="I54" s="4">
        <v>20.725899999999999</v>
      </c>
      <c r="J54" s="5">
        <v>1.9952810000000001</v>
      </c>
      <c r="K54" s="6">
        <v>0.22823599999999999</v>
      </c>
      <c r="L54" s="6">
        <v>0</v>
      </c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x14ac:dyDescent="0.35">
      <c r="A55" s="9" t="s">
        <v>160</v>
      </c>
      <c r="B55" s="10">
        <v>1</v>
      </c>
      <c r="C55" s="11">
        <v>26.105556</v>
      </c>
      <c r="D55" s="12">
        <v>1.9835130000000001</v>
      </c>
      <c r="E55" s="13">
        <v>0.23824400000000001</v>
      </c>
      <c r="F55" s="13">
        <v>2.3223999999999901E-2</v>
      </c>
      <c r="G55" s="13">
        <v>0.21501999999999999</v>
      </c>
      <c r="H55" s="14" t="s">
        <v>161</v>
      </c>
      <c r="I55" s="11">
        <v>26.105556</v>
      </c>
      <c r="J55" s="12">
        <v>1.9835130000000001</v>
      </c>
      <c r="K55" s="13">
        <v>0.21501999999999999</v>
      </c>
      <c r="L55" s="13">
        <v>2.3223999999999901E-2</v>
      </c>
    </row>
    <row r="56" spans="1:27" x14ac:dyDescent="0.35">
      <c r="A56" s="2" t="s">
        <v>162</v>
      </c>
      <c r="B56" s="3">
        <v>1</v>
      </c>
      <c r="C56" s="4">
        <v>157.95272</v>
      </c>
      <c r="D56" s="5">
        <v>1.9964120000000001</v>
      </c>
      <c r="E56" s="6">
        <v>0.27733600000000003</v>
      </c>
      <c r="F56" s="6">
        <v>6.2350000000000003E-2</v>
      </c>
      <c r="G56" s="6">
        <v>0.21498600000000001</v>
      </c>
      <c r="H56" s="7" t="s">
        <v>163</v>
      </c>
      <c r="I56" s="4">
        <v>157.95272</v>
      </c>
      <c r="J56" s="5">
        <v>1.9964120000000001</v>
      </c>
      <c r="K56" s="6">
        <v>0.21498600000000001</v>
      </c>
      <c r="L56" s="6">
        <v>6.2350000000000003E-2</v>
      </c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x14ac:dyDescent="0.35">
      <c r="A57" s="9" t="s">
        <v>164</v>
      </c>
      <c r="B57" s="10">
        <v>1</v>
      </c>
      <c r="C57" s="11">
        <v>31.075612</v>
      </c>
      <c r="D57" s="12">
        <v>2.9575480000000001</v>
      </c>
      <c r="E57" s="13">
        <v>0.291327</v>
      </c>
      <c r="F57" s="13">
        <v>8.0337999999999896E-2</v>
      </c>
      <c r="G57" s="13">
        <v>0.21098900000000001</v>
      </c>
      <c r="H57" s="14" t="s">
        <v>165</v>
      </c>
      <c r="I57" s="11">
        <v>31.075612</v>
      </c>
      <c r="J57" s="12">
        <v>2.9575480000000001</v>
      </c>
      <c r="K57" s="13">
        <v>0.21098900000000001</v>
      </c>
      <c r="L57" s="13">
        <v>8.0337999999999896E-2</v>
      </c>
    </row>
    <row r="58" spans="1:27" x14ac:dyDescent="0.35">
      <c r="A58" s="2" t="s">
        <v>166</v>
      </c>
      <c r="B58" s="3">
        <v>1</v>
      </c>
      <c r="C58" s="4">
        <v>909.680384</v>
      </c>
      <c r="D58" s="5">
        <v>1.974065</v>
      </c>
      <c r="E58" s="6">
        <v>0.242479</v>
      </c>
      <c r="F58" s="6">
        <v>4.9135999999999999E-2</v>
      </c>
      <c r="G58" s="6">
        <v>0.19334299999999999</v>
      </c>
      <c r="H58" s="7" t="s">
        <v>167</v>
      </c>
      <c r="I58" s="4">
        <v>909.680384</v>
      </c>
      <c r="J58" s="5">
        <v>1.974065</v>
      </c>
      <c r="K58" s="6">
        <v>0.19334299999999999</v>
      </c>
      <c r="L58" s="6">
        <v>4.9135999999999999E-2</v>
      </c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x14ac:dyDescent="0.35">
      <c r="A59" s="9" t="s">
        <v>168</v>
      </c>
      <c r="B59" s="10">
        <v>1</v>
      </c>
      <c r="C59" s="11">
        <v>93.080656000000005</v>
      </c>
      <c r="D59" s="12">
        <v>1.990005</v>
      </c>
      <c r="E59" s="13">
        <v>0.23093</v>
      </c>
      <c r="F59" s="13">
        <v>4.4021999999999999E-2</v>
      </c>
      <c r="G59" s="13">
        <v>0.18690799999999999</v>
      </c>
      <c r="H59" s="14" t="s">
        <v>169</v>
      </c>
      <c r="I59" s="11">
        <v>93.080656000000005</v>
      </c>
      <c r="J59" s="12">
        <v>1.990005</v>
      </c>
      <c r="K59" s="13">
        <v>0.18690799999999999</v>
      </c>
      <c r="L59" s="13">
        <v>4.4021999999999999E-2</v>
      </c>
    </row>
    <row r="60" spans="1:27" x14ac:dyDescent="0.35">
      <c r="A60" s="2" t="s">
        <v>170</v>
      </c>
      <c r="B60" s="3">
        <v>1</v>
      </c>
      <c r="C60" s="4">
        <v>220.41977600000001</v>
      </c>
      <c r="D60" s="5">
        <v>1.9873590000000001</v>
      </c>
      <c r="E60" s="6">
        <v>0.18946499999999999</v>
      </c>
      <c r="F60" s="6">
        <v>1.03279999999999E-2</v>
      </c>
      <c r="G60" s="6">
        <v>0.17913699999999999</v>
      </c>
      <c r="H60" s="7" t="s">
        <v>171</v>
      </c>
      <c r="I60" s="4">
        <v>220.41977600000001</v>
      </c>
      <c r="J60" s="5">
        <v>1.9873590000000001</v>
      </c>
      <c r="K60" s="6">
        <v>0.17913699999999999</v>
      </c>
      <c r="L60" s="6">
        <v>1.03279999999999E-2</v>
      </c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x14ac:dyDescent="0.35">
      <c r="A61" s="9" t="s">
        <v>172</v>
      </c>
      <c r="B61" s="10">
        <v>1</v>
      </c>
      <c r="C61" s="11">
        <v>15.904439</v>
      </c>
      <c r="D61" s="12">
        <v>1.9790300000000001</v>
      </c>
      <c r="E61" s="13">
        <v>0.32473200000000002</v>
      </c>
      <c r="F61" s="13">
        <v>0.154754</v>
      </c>
      <c r="G61" s="13">
        <v>0.16997799999999999</v>
      </c>
      <c r="H61" s="14" t="s">
        <v>173</v>
      </c>
      <c r="I61" s="11">
        <v>15.904439</v>
      </c>
      <c r="J61" s="12">
        <v>1.9790300000000001</v>
      </c>
      <c r="K61" s="13">
        <v>0.16997799999999999</v>
      </c>
      <c r="L61" s="13">
        <v>0.154754</v>
      </c>
    </row>
    <row r="62" spans="1:27" x14ac:dyDescent="0.35">
      <c r="A62" s="2" t="s">
        <v>174</v>
      </c>
      <c r="B62" s="3">
        <v>2</v>
      </c>
      <c r="C62" s="4">
        <v>1158.5455159999999</v>
      </c>
      <c r="D62" s="5">
        <v>1.9877324999999999</v>
      </c>
      <c r="E62" s="6">
        <v>0.2001435</v>
      </c>
      <c r="F62" s="6">
        <v>3.1300999999999947E-2</v>
      </c>
      <c r="G62" s="6">
        <v>0.16884250000000001</v>
      </c>
      <c r="H62" s="7" t="s">
        <v>175</v>
      </c>
      <c r="I62" s="4">
        <v>1096.7833599999999</v>
      </c>
      <c r="J62" s="5">
        <v>1.9918880000000001</v>
      </c>
      <c r="K62" s="6">
        <v>0.13077900000000001</v>
      </c>
      <c r="L62" s="6">
        <v>6.2601999999999894E-2</v>
      </c>
      <c r="M62" s="7" t="s">
        <v>176</v>
      </c>
      <c r="N62" s="4">
        <v>61.762155999999997</v>
      </c>
      <c r="O62" s="5">
        <v>1.9835769999999999</v>
      </c>
      <c r="P62" s="6">
        <v>0.20690600000000001</v>
      </c>
      <c r="Q62" s="6">
        <v>0</v>
      </c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x14ac:dyDescent="0.35">
      <c r="A63" s="9" t="s">
        <v>177</v>
      </c>
      <c r="B63" s="10">
        <v>1</v>
      </c>
      <c r="C63" s="11">
        <v>1154.738304</v>
      </c>
      <c r="D63" s="12">
        <v>2.9309099999999999</v>
      </c>
      <c r="E63" s="13">
        <v>0.36334699999999998</v>
      </c>
      <c r="F63" s="13">
        <v>0.195302</v>
      </c>
      <c r="G63" s="13">
        <v>0.16804499999999989</v>
      </c>
      <c r="H63" s="14" t="s">
        <v>178</v>
      </c>
      <c r="I63" s="11">
        <v>1154.738304</v>
      </c>
      <c r="J63" s="12">
        <v>2.9309099999999999</v>
      </c>
      <c r="K63" s="13">
        <v>0.16804499999999989</v>
      </c>
      <c r="L63" s="13">
        <v>0.195302</v>
      </c>
    </row>
    <row r="64" spans="1:27" x14ac:dyDescent="0.35">
      <c r="A64" s="2" t="s">
        <v>179</v>
      </c>
      <c r="B64" s="3">
        <v>1</v>
      </c>
      <c r="C64" s="4">
        <v>8.4812390000000004</v>
      </c>
      <c r="D64" s="5">
        <v>1.9962839999999999</v>
      </c>
      <c r="E64" s="6">
        <v>0.34526400000000002</v>
      </c>
      <c r="F64" s="6">
        <v>0.17777000000000001</v>
      </c>
      <c r="G64" s="6">
        <v>0.167494</v>
      </c>
      <c r="H64" s="7" t="s">
        <v>180</v>
      </c>
      <c r="I64" s="4">
        <v>8.4812390000000004</v>
      </c>
      <c r="J64" s="5">
        <v>1.9962839999999999</v>
      </c>
      <c r="K64" s="6">
        <v>0.167494</v>
      </c>
      <c r="L64" s="6">
        <v>0.17777000000000001</v>
      </c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x14ac:dyDescent="0.35">
      <c r="A65" s="9" t="s">
        <v>181</v>
      </c>
      <c r="B65" s="10">
        <v>1</v>
      </c>
      <c r="C65" s="11">
        <v>17.954478000000002</v>
      </c>
      <c r="D65" s="12">
        <v>1.985717</v>
      </c>
      <c r="E65" s="13">
        <v>0.37485600000000002</v>
      </c>
      <c r="F65" s="13">
        <v>0.20951399999999989</v>
      </c>
      <c r="G65" s="13">
        <v>0.16534199999999999</v>
      </c>
      <c r="H65" s="14" t="s">
        <v>182</v>
      </c>
      <c r="I65" s="11">
        <v>17.954478000000002</v>
      </c>
      <c r="J65" s="12">
        <v>1.985717</v>
      </c>
      <c r="K65" s="13">
        <v>0.16534199999999999</v>
      </c>
      <c r="L65" s="13">
        <v>0.20951399999999989</v>
      </c>
    </row>
    <row r="66" spans="1:27" x14ac:dyDescent="0.35">
      <c r="A66" s="2" t="s">
        <v>183</v>
      </c>
      <c r="B66" s="3">
        <v>2</v>
      </c>
      <c r="C66" s="4">
        <v>608.64564799999994</v>
      </c>
      <c r="D66" s="5">
        <v>1.9980325000000001</v>
      </c>
      <c r="E66" s="6">
        <v>0.22540550000000001</v>
      </c>
      <c r="F66" s="6">
        <v>6.7878999999999953E-2</v>
      </c>
      <c r="G66" s="6">
        <v>0.15752650000000001</v>
      </c>
      <c r="H66" s="7" t="s">
        <v>184</v>
      </c>
      <c r="I66" s="4">
        <v>392.45497599999999</v>
      </c>
      <c r="J66" s="5">
        <v>1.9988939999999999</v>
      </c>
      <c r="K66" s="6">
        <v>0.1069019999999999</v>
      </c>
      <c r="L66" s="6">
        <v>0.124524</v>
      </c>
      <c r="M66" s="7" t="s">
        <v>185</v>
      </c>
      <c r="N66" s="4">
        <v>216.19067200000001</v>
      </c>
      <c r="O66" s="5">
        <v>1.997171</v>
      </c>
      <c r="P66" s="6">
        <v>0.208151</v>
      </c>
      <c r="Q66" s="6">
        <v>1.12339999999999E-2</v>
      </c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x14ac:dyDescent="0.35">
      <c r="A67" s="9" t="s">
        <v>186</v>
      </c>
      <c r="B67" s="10">
        <v>2</v>
      </c>
      <c r="C67" s="11">
        <v>434.79087600000003</v>
      </c>
      <c r="D67" s="12">
        <v>1.9895240000000001</v>
      </c>
      <c r="E67" s="13">
        <v>0.194523</v>
      </c>
      <c r="F67" s="13">
        <v>4.3357999999999987E-2</v>
      </c>
      <c r="G67" s="13">
        <v>0.15116499999999999</v>
      </c>
      <c r="H67" s="14" t="s">
        <v>187</v>
      </c>
      <c r="I67" s="11">
        <v>384.69305600000001</v>
      </c>
      <c r="J67" s="12">
        <v>1.9870429999999999</v>
      </c>
      <c r="K67" s="13">
        <v>0.16164799999999999</v>
      </c>
      <c r="L67" s="13">
        <v>4.6413999999999997E-2</v>
      </c>
      <c r="M67" s="14" t="s">
        <v>188</v>
      </c>
      <c r="N67" s="11">
        <v>50.097819999999999</v>
      </c>
      <c r="O67" s="12">
        <v>1.992005</v>
      </c>
      <c r="P67" s="13">
        <v>0.140682</v>
      </c>
      <c r="Q67" s="13">
        <v>4.0301999999999998E-2</v>
      </c>
    </row>
    <row r="68" spans="1:27" x14ac:dyDescent="0.35">
      <c r="A68" s="2" t="s">
        <v>189</v>
      </c>
      <c r="B68" s="3">
        <v>1</v>
      </c>
      <c r="C68" s="4">
        <v>12.858961000000001</v>
      </c>
      <c r="D68" s="5">
        <v>2.005776</v>
      </c>
      <c r="E68" s="6">
        <v>0.23316000000000001</v>
      </c>
      <c r="F68" s="6">
        <v>8.2554000000000002E-2</v>
      </c>
      <c r="G68" s="6">
        <v>0.15060599999999999</v>
      </c>
      <c r="H68" s="7" t="s">
        <v>190</v>
      </c>
      <c r="I68" s="4">
        <v>12.858961000000001</v>
      </c>
      <c r="J68" s="5">
        <v>2.005776</v>
      </c>
      <c r="K68" s="6">
        <v>0.15060599999999999</v>
      </c>
      <c r="L68" s="6">
        <v>8.2554000000000002E-2</v>
      </c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x14ac:dyDescent="0.35">
      <c r="A69" s="9" t="s">
        <v>191</v>
      </c>
      <c r="B69" s="10">
        <v>1</v>
      </c>
      <c r="C69" s="11">
        <v>33.660268000000002</v>
      </c>
      <c r="D69" s="12">
        <v>1.984356</v>
      </c>
      <c r="E69" s="13">
        <v>0.277752</v>
      </c>
      <c r="F69" s="13">
        <v>0.12789800000000001</v>
      </c>
      <c r="G69" s="13">
        <v>0.14985399999999999</v>
      </c>
      <c r="H69" s="14" t="s">
        <v>192</v>
      </c>
      <c r="I69" s="11">
        <v>33.660268000000002</v>
      </c>
      <c r="J69" s="12">
        <v>1.984356</v>
      </c>
      <c r="K69" s="13">
        <v>0.14985399999999999</v>
      </c>
      <c r="L69" s="13">
        <v>0.12789800000000001</v>
      </c>
    </row>
    <row r="70" spans="1:27" x14ac:dyDescent="0.35">
      <c r="A70" s="2" t="s">
        <v>193</v>
      </c>
      <c r="B70" s="3">
        <v>1</v>
      </c>
      <c r="C70" s="4">
        <v>41.118948000000003</v>
      </c>
      <c r="D70" s="5">
        <v>2.0545369999999998</v>
      </c>
      <c r="E70" s="6">
        <v>0.37632100000000002</v>
      </c>
      <c r="F70" s="6">
        <v>0.22870599999999999</v>
      </c>
      <c r="G70" s="6">
        <v>0.147615</v>
      </c>
      <c r="H70" s="7" t="s">
        <v>194</v>
      </c>
      <c r="I70" s="4">
        <v>41.118948000000003</v>
      </c>
      <c r="J70" s="5">
        <v>2.0545369999999998</v>
      </c>
      <c r="K70" s="6">
        <v>0.147615</v>
      </c>
      <c r="L70" s="6">
        <v>0.22870599999999999</v>
      </c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x14ac:dyDescent="0.35">
      <c r="A71" s="9" t="s">
        <v>195</v>
      </c>
      <c r="B71" s="10">
        <v>1</v>
      </c>
      <c r="C71" s="11">
        <v>30.132632000000001</v>
      </c>
      <c r="D71" s="12">
        <v>1.9966680000000001</v>
      </c>
      <c r="E71" s="13">
        <v>0.381409</v>
      </c>
      <c r="F71" s="13">
        <v>0.24157000000000001</v>
      </c>
      <c r="G71" s="13">
        <v>0.13983899999999999</v>
      </c>
      <c r="H71" s="14" t="s">
        <v>196</v>
      </c>
      <c r="I71" s="11">
        <v>30.132632000000001</v>
      </c>
      <c r="J71" s="12">
        <v>1.9966680000000001</v>
      </c>
      <c r="K71" s="13">
        <v>0.13983899999999999</v>
      </c>
      <c r="L71" s="13">
        <v>0.24157000000000001</v>
      </c>
    </row>
    <row r="72" spans="1:27" x14ac:dyDescent="0.35">
      <c r="A72" s="2" t="s">
        <v>197</v>
      </c>
      <c r="B72" s="3">
        <v>1</v>
      </c>
      <c r="C72" s="4">
        <v>15.538971</v>
      </c>
      <c r="D72" s="5">
        <v>1.991371</v>
      </c>
      <c r="E72" s="6">
        <v>0.273837</v>
      </c>
      <c r="F72" s="6">
        <v>0.14011000000000001</v>
      </c>
      <c r="G72" s="6">
        <v>0.1337269999999999</v>
      </c>
      <c r="H72" s="7" t="s">
        <v>198</v>
      </c>
      <c r="I72" s="4">
        <v>15.538971</v>
      </c>
      <c r="J72" s="5">
        <v>1.991371</v>
      </c>
      <c r="K72" s="6">
        <v>0.1337269999999999</v>
      </c>
      <c r="L72" s="6">
        <v>0.14011000000000001</v>
      </c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x14ac:dyDescent="0.35">
      <c r="A73" s="9" t="s">
        <v>199</v>
      </c>
      <c r="B73" s="10">
        <v>1</v>
      </c>
      <c r="C73" s="11">
        <v>31.777324</v>
      </c>
      <c r="D73" s="12">
        <v>1.9948999999999999</v>
      </c>
      <c r="E73" s="13">
        <v>0.30543900000000002</v>
      </c>
      <c r="F73" s="13">
        <v>0.17558599999999999</v>
      </c>
      <c r="G73" s="13">
        <v>0.129853</v>
      </c>
      <c r="H73" s="14" t="s">
        <v>200</v>
      </c>
      <c r="I73" s="11">
        <v>31.777324</v>
      </c>
      <c r="J73" s="12">
        <v>1.9948999999999999</v>
      </c>
      <c r="K73" s="13">
        <v>0.129853</v>
      </c>
      <c r="L73" s="13">
        <v>0.17558599999999999</v>
      </c>
    </row>
    <row r="74" spans="1:27" x14ac:dyDescent="0.35">
      <c r="A74" s="2" t="s">
        <v>201</v>
      </c>
      <c r="B74" s="3">
        <v>1</v>
      </c>
      <c r="C74" s="4">
        <v>19.462004</v>
      </c>
      <c r="D74" s="5">
        <v>1.987357</v>
      </c>
      <c r="E74" s="6">
        <v>0.19411100000000001</v>
      </c>
      <c r="F74" s="6">
        <v>7.2218000000000004E-2</v>
      </c>
      <c r="G74" s="6">
        <v>0.121893</v>
      </c>
      <c r="H74" s="7" t="s">
        <v>202</v>
      </c>
      <c r="I74" s="4">
        <v>19.462004</v>
      </c>
      <c r="J74" s="5">
        <v>1.987357</v>
      </c>
      <c r="K74" s="6">
        <v>0.121893</v>
      </c>
      <c r="L74" s="6">
        <v>7.2218000000000004E-2</v>
      </c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x14ac:dyDescent="0.35">
      <c r="A75" s="9" t="s">
        <v>203</v>
      </c>
      <c r="B75" s="10">
        <v>3</v>
      </c>
      <c r="C75" s="11">
        <v>743.08863999999994</v>
      </c>
      <c r="D75" s="12">
        <v>1.996675666666667</v>
      </c>
      <c r="E75" s="13">
        <v>0.16292933333333329</v>
      </c>
      <c r="F75" s="13">
        <v>4.3603999999999969E-2</v>
      </c>
      <c r="G75" s="13">
        <v>0.1193253333333333</v>
      </c>
      <c r="H75" s="14" t="s">
        <v>204</v>
      </c>
      <c r="I75" s="11">
        <v>628.27699199999995</v>
      </c>
      <c r="J75" s="12">
        <v>1.990969</v>
      </c>
      <c r="K75" s="13">
        <v>0.127162</v>
      </c>
      <c r="L75" s="13">
        <v>3.4178E-2</v>
      </c>
      <c r="M75" s="14" t="s">
        <v>205</v>
      </c>
      <c r="N75" s="11">
        <v>94.687535999999994</v>
      </c>
      <c r="O75" s="12">
        <v>1.9915890000000001</v>
      </c>
      <c r="P75" s="13">
        <v>0.141481</v>
      </c>
      <c r="Q75" s="13">
        <v>3.1199999999989998E-4</v>
      </c>
      <c r="R75" s="14" t="s">
        <v>206</v>
      </c>
      <c r="S75" s="11">
        <v>20.124112</v>
      </c>
      <c r="T75" s="12">
        <v>2.0074689999999999</v>
      </c>
      <c r="U75" s="13">
        <v>8.9332999999999899E-2</v>
      </c>
      <c r="V75" s="13">
        <v>9.6322000000000005E-2</v>
      </c>
    </row>
    <row r="76" spans="1:27" x14ac:dyDescent="0.35">
      <c r="A76" s="2" t="s">
        <v>207</v>
      </c>
      <c r="B76" s="3">
        <v>1</v>
      </c>
      <c r="C76" s="4">
        <v>130.975336</v>
      </c>
      <c r="D76" s="5">
        <v>1.9666300000000001</v>
      </c>
      <c r="E76" s="6">
        <v>0.11774</v>
      </c>
      <c r="F76" s="6">
        <v>7.5240000000000003E-3</v>
      </c>
      <c r="G76" s="6">
        <v>0.11021599999999999</v>
      </c>
      <c r="H76" s="7" t="s">
        <v>208</v>
      </c>
      <c r="I76" s="4">
        <v>130.975336</v>
      </c>
      <c r="J76" s="5">
        <v>1.9666300000000001</v>
      </c>
      <c r="K76" s="6">
        <v>0.11021599999999999</v>
      </c>
      <c r="L76" s="6">
        <v>7.5240000000000003E-3</v>
      </c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x14ac:dyDescent="0.35">
      <c r="A77" s="9" t="s">
        <v>209</v>
      </c>
      <c r="B77" s="10">
        <v>1</v>
      </c>
      <c r="C77" s="11">
        <v>33.504691999999999</v>
      </c>
      <c r="D77" s="12">
        <v>1.9964740000000001</v>
      </c>
      <c r="E77" s="13">
        <v>0.25217899999999999</v>
      </c>
      <c r="F77" s="13">
        <v>0.144618</v>
      </c>
      <c r="G77" s="13">
        <v>0.10756099999999991</v>
      </c>
      <c r="H77" s="14" t="s">
        <v>210</v>
      </c>
      <c r="I77" s="11">
        <v>33.504691999999999</v>
      </c>
      <c r="J77" s="12">
        <v>1.9964740000000001</v>
      </c>
      <c r="K77" s="13">
        <v>0.10756099999999991</v>
      </c>
      <c r="L77" s="13">
        <v>0.144618</v>
      </c>
    </row>
    <row r="78" spans="1:27" x14ac:dyDescent="0.35">
      <c r="A78" s="2" t="s">
        <v>211</v>
      </c>
      <c r="B78" s="3">
        <v>1</v>
      </c>
      <c r="C78" s="4">
        <v>314.59670399999999</v>
      </c>
      <c r="D78" s="5">
        <v>1.9883660000000001</v>
      </c>
      <c r="E78" s="6">
        <v>0.102551</v>
      </c>
      <c r="F78" s="6"/>
      <c r="G78" s="6">
        <v>0.102551</v>
      </c>
      <c r="H78" s="7" t="s">
        <v>212</v>
      </c>
      <c r="I78" s="4">
        <v>314.59670399999999</v>
      </c>
      <c r="J78" s="5">
        <v>1.9883660000000001</v>
      </c>
      <c r="K78" s="6">
        <v>0.102551</v>
      </c>
      <c r="L78" s="6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x14ac:dyDescent="0.35">
      <c r="A79" s="9" t="s">
        <v>213</v>
      </c>
      <c r="B79" s="10">
        <v>1</v>
      </c>
      <c r="C79" s="11">
        <v>296.02287999999999</v>
      </c>
      <c r="D79" s="12">
        <v>2.010751</v>
      </c>
      <c r="E79" s="13">
        <v>0.142933</v>
      </c>
      <c r="F79" s="13">
        <v>4.1647999999999998E-2</v>
      </c>
      <c r="G79" s="13">
        <v>0.101285</v>
      </c>
      <c r="H79" s="14" t="s">
        <v>214</v>
      </c>
      <c r="I79" s="11">
        <v>296.02287999999999</v>
      </c>
      <c r="J79" s="12">
        <v>2.010751</v>
      </c>
      <c r="K79" s="13">
        <v>0.101285</v>
      </c>
      <c r="L79" s="13">
        <v>4.1647999999999998E-2</v>
      </c>
    </row>
    <row r="80" spans="1:27" x14ac:dyDescent="0.35">
      <c r="A80" s="2" t="s">
        <v>215</v>
      </c>
      <c r="B80" s="3">
        <v>1</v>
      </c>
      <c r="C80" s="4">
        <v>8.5518110000000007</v>
      </c>
      <c r="D80" s="5">
        <v>2.0118290000000001</v>
      </c>
      <c r="E80" s="6">
        <v>0.33789599999999997</v>
      </c>
      <c r="F80" s="6">
        <v>0.26377800000000001</v>
      </c>
      <c r="G80" s="6">
        <v>7.4117999999999906E-2</v>
      </c>
      <c r="H80" s="7" t="s">
        <v>216</v>
      </c>
      <c r="I80" s="4">
        <v>8.5518110000000007</v>
      </c>
      <c r="J80" s="5">
        <v>2.0118290000000001</v>
      </c>
      <c r="K80" s="6">
        <v>7.4117999999999906E-2</v>
      </c>
      <c r="L80" s="6">
        <v>0.26377800000000001</v>
      </c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x14ac:dyDescent="0.35">
      <c r="A81" s="9" t="s">
        <v>217</v>
      </c>
      <c r="B81" s="10">
        <v>1</v>
      </c>
      <c r="C81" s="11">
        <v>10.298233</v>
      </c>
      <c r="D81" s="12">
        <v>1.968812</v>
      </c>
      <c r="E81" s="13">
        <v>0.12479999999999999</v>
      </c>
      <c r="F81" s="13">
        <v>6.6806000000000004E-2</v>
      </c>
      <c r="G81" s="13">
        <v>5.79939999999999E-2</v>
      </c>
      <c r="H81" s="14" t="s">
        <v>218</v>
      </c>
      <c r="I81" s="11">
        <v>10.298233</v>
      </c>
      <c r="J81" s="12">
        <v>1.968812</v>
      </c>
      <c r="K81" s="13">
        <v>5.79939999999999E-2</v>
      </c>
      <c r="L81" s="13">
        <v>6.6806000000000004E-2</v>
      </c>
    </row>
    <row r="82" spans="1:27" x14ac:dyDescent="0.35">
      <c r="A82" s="2" t="s">
        <v>219</v>
      </c>
      <c r="B82" s="3">
        <v>1</v>
      </c>
      <c r="C82" s="4">
        <v>25.819420000000001</v>
      </c>
      <c r="D82" s="5">
        <v>2.006313</v>
      </c>
      <c r="E82" s="6">
        <v>0.297012</v>
      </c>
      <c r="F82" s="6">
        <v>0.24007000000000001</v>
      </c>
      <c r="G82" s="6">
        <v>5.6941999999999902E-2</v>
      </c>
      <c r="H82" s="7" t="s">
        <v>220</v>
      </c>
      <c r="I82" s="4">
        <v>25.819420000000001</v>
      </c>
      <c r="J82" s="5">
        <v>2.006313</v>
      </c>
      <c r="K82" s="6">
        <v>5.6941999999999902E-2</v>
      </c>
      <c r="L82" s="6">
        <v>0.24007000000000001</v>
      </c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x14ac:dyDescent="0.35">
      <c r="A83" s="9" t="s">
        <v>221</v>
      </c>
      <c r="B83" s="10">
        <v>1</v>
      </c>
      <c r="C83" s="11">
        <v>28.875713999999999</v>
      </c>
      <c r="D83" s="12">
        <v>1.991619</v>
      </c>
      <c r="E83" s="13">
        <v>0.229736</v>
      </c>
      <c r="F83" s="13">
        <v>0.17505599999999999</v>
      </c>
      <c r="G83" s="13">
        <v>5.4679999999999999E-2</v>
      </c>
      <c r="H83" s="14" t="s">
        <v>222</v>
      </c>
      <c r="I83" s="11">
        <v>28.875713999999999</v>
      </c>
      <c r="J83" s="12">
        <v>1.991619</v>
      </c>
      <c r="K83" s="13">
        <v>5.4679999999999999E-2</v>
      </c>
      <c r="L83" s="13">
        <v>0.17505599999999999</v>
      </c>
    </row>
    <row r="84" spans="1:27" x14ac:dyDescent="0.35">
      <c r="A84" s="2" t="s">
        <v>223</v>
      </c>
      <c r="B84" s="3">
        <v>3</v>
      </c>
      <c r="C84" s="4">
        <v>181.444951</v>
      </c>
      <c r="D84" s="5">
        <v>1.9899389999999999</v>
      </c>
      <c r="E84" s="6">
        <v>0.17462466666666671</v>
      </c>
      <c r="F84" s="6">
        <v>0.13306333333333331</v>
      </c>
      <c r="G84" s="6">
        <v>4.1561333333333332E-2</v>
      </c>
      <c r="H84" s="7" t="s">
        <v>224</v>
      </c>
      <c r="I84" s="4">
        <v>154.67248000000001</v>
      </c>
      <c r="J84" s="5">
        <v>1.9839610000000001</v>
      </c>
      <c r="K84" s="6">
        <v>-3.6709999999999998E-3</v>
      </c>
      <c r="L84" s="6">
        <v>0.174598</v>
      </c>
      <c r="M84" s="7" t="s">
        <v>225</v>
      </c>
      <c r="N84" s="4">
        <v>18.942388000000001</v>
      </c>
      <c r="O84" s="5">
        <v>1.990693</v>
      </c>
      <c r="P84" s="6">
        <v>0.15348400000000001</v>
      </c>
      <c r="Q84" s="6">
        <v>7.4119999999998996E-3</v>
      </c>
      <c r="R84" s="7" t="s">
        <v>226</v>
      </c>
      <c r="S84" s="4">
        <v>7.8300830000000001</v>
      </c>
      <c r="T84" s="5">
        <v>1.995163</v>
      </c>
      <c r="U84" s="6">
        <v>-2.5128999999999999E-2</v>
      </c>
      <c r="V84" s="6">
        <v>0.21718000000000001</v>
      </c>
      <c r="W84" s="8"/>
      <c r="X84" s="8"/>
      <c r="Y84" s="8"/>
      <c r="Z84" s="8"/>
      <c r="AA84" s="8"/>
    </row>
    <row r="85" spans="1:27" x14ac:dyDescent="0.35">
      <c r="A85" s="9" t="s">
        <v>227</v>
      </c>
      <c r="B85" s="10">
        <v>1</v>
      </c>
      <c r="C85" s="11">
        <v>22.296972</v>
      </c>
      <c r="D85" s="12">
        <v>1.977975</v>
      </c>
      <c r="E85" s="13">
        <v>0.23155400000000001</v>
      </c>
      <c r="F85" s="13">
        <v>0.19295399999999999</v>
      </c>
      <c r="G85" s="13">
        <v>3.8599999999999898E-2</v>
      </c>
      <c r="H85" s="14" t="s">
        <v>228</v>
      </c>
      <c r="I85" s="11">
        <v>22.296972</v>
      </c>
      <c r="J85" s="12">
        <v>1.977975</v>
      </c>
      <c r="K85" s="13">
        <v>3.8599999999999898E-2</v>
      </c>
      <c r="L85" s="13">
        <v>0.19295399999999999</v>
      </c>
    </row>
    <row r="86" spans="1:27" x14ac:dyDescent="0.35">
      <c r="A86" s="2" t="s">
        <v>229</v>
      </c>
      <c r="B86" s="3">
        <v>1</v>
      </c>
      <c r="C86" s="4">
        <v>556.87769600000001</v>
      </c>
      <c r="D86" s="5">
        <v>2.9876360000000002</v>
      </c>
      <c r="E86" s="6">
        <v>0.319741</v>
      </c>
      <c r="F86" s="6">
        <v>0.29685600000000001</v>
      </c>
      <c r="G86" s="6">
        <v>2.2884999999999898E-2</v>
      </c>
      <c r="H86" s="7" t="s">
        <v>230</v>
      </c>
      <c r="I86" s="4">
        <v>556.87769600000001</v>
      </c>
      <c r="J86" s="5">
        <v>2.9876360000000002</v>
      </c>
      <c r="K86" s="6">
        <v>2.2884999999999898E-2</v>
      </c>
      <c r="L86" s="6">
        <v>0.29685600000000001</v>
      </c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x14ac:dyDescent="0.35">
      <c r="A87" s="9" t="s">
        <v>231</v>
      </c>
      <c r="B87" s="10">
        <v>1</v>
      </c>
      <c r="C87" s="11">
        <v>6.1478710000000003</v>
      </c>
      <c r="D87" s="12">
        <v>2.0274040000000002</v>
      </c>
      <c r="E87" s="13">
        <v>0.156225</v>
      </c>
      <c r="F87" s="13">
        <v>0.14171600000000001</v>
      </c>
      <c r="G87" s="13">
        <v>1.45089999999999E-2</v>
      </c>
      <c r="H87" s="14" t="s">
        <v>232</v>
      </c>
      <c r="I87" s="11">
        <v>6.1478710000000003</v>
      </c>
      <c r="J87" s="12">
        <v>2.0274040000000002</v>
      </c>
      <c r="K87" s="13">
        <v>1.45089999999999E-2</v>
      </c>
      <c r="L87" s="13">
        <v>0.14171600000000001</v>
      </c>
    </row>
    <row r="88" spans="1:27" x14ac:dyDescent="0.35">
      <c r="A88" s="2" t="s">
        <v>233</v>
      </c>
      <c r="B88" s="3">
        <v>1</v>
      </c>
      <c r="C88" s="4">
        <v>8.0455909999999999</v>
      </c>
      <c r="D88" s="5">
        <v>1.983813</v>
      </c>
      <c r="E88" s="6">
        <v>0.111496</v>
      </c>
      <c r="F88" s="6">
        <v>0.1941399999999999</v>
      </c>
      <c r="G88" s="6">
        <v>-8.2643999999999898E-2</v>
      </c>
      <c r="H88" s="7" t="s">
        <v>234</v>
      </c>
      <c r="I88" s="4">
        <v>8.0455909999999999</v>
      </c>
      <c r="J88" s="5">
        <v>1.983813</v>
      </c>
      <c r="K88" s="6">
        <v>-8.2643999999999898E-2</v>
      </c>
      <c r="L88" s="6">
        <v>0.1941399999999999</v>
      </c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x14ac:dyDescent="0.35">
      <c r="A89" s="9" t="s">
        <v>235</v>
      </c>
      <c r="B89" s="10">
        <v>1</v>
      </c>
      <c r="C89" s="11">
        <v>5.8190869999999997</v>
      </c>
      <c r="D89" s="12">
        <v>1.986863</v>
      </c>
      <c r="E89" s="13">
        <v>9.7106999999999999E-2</v>
      </c>
      <c r="F89" s="13">
        <v>0.24038200000000001</v>
      </c>
      <c r="G89" s="13">
        <v>-0.14327500000000001</v>
      </c>
      <c r="H89" s="14" t="s">
        <v>236</v>
      </c>
      <c r="I89" s="11">
        <v>5.8190869999999997</v>
      </c>
      <c r="J89" s="12">
        <v>1.986863</v>
      </c>
      <c r="K89" s="13">
        <v>-0.14327500000000001</v>
      </c>
      <c r="L89" s="13">
        <v>0.24038200000000001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7"/>
  <sheetViews>
    <sheetView topLeftCell="F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12" customWidth="1"/>
    <col min="2" max="2" width="7" customWidth="1"/>
    <col min="3" max="3" width="13" customWidth="1"/>
    <col min="4" max="4" width="8" customWidth="1"/>
    <col min="5" max="5" width="9" customWidth="1"/>
    <col min="6" max="6" width="14" customWidth="1"/>
    <col min="7" max="7" width="10" customWidth="1"/>
    <col min="8" max="10" width="13" customWidth="1"/>
    <col min="11" max="13" width="16" customWidth="1"/>
  </cols>
  <sheetData>
    <row r="1" spans="1:13" ht="2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237</v>
      </c>
      <c r="F1" s="1" t="s">
        <v>6</v>
      </c>
      <c r="G1" s="1" t="s">
        <v>5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243</v>
      </c>
    </row>
    <row r="2" spans="1:13" x14ac:dyDescent="0.35">
      <c r="A2" s="3" t="s">
        <v>27</v>
      </c>
      <c r="B2" s="3">
        <v>2</v>
      </c>
      <c r="C2" s="4">
        <v>81.93862</v>
      </c>
      <c r="D2" s="5">
        <v>2.021938</v>
      </c>
      <c r="E2" s="5">
        <v>0.49457500675094879</v>
      </c>
      <c r="F2" s="6">
        <v>2.3078384999999999</v>
      </c>
      <c r="G2" s="6">
        <v>0.145288</v>
      </c>
      <c r="H2" s="15">
        <v>454545.45454545447</v>
      </c>
      <c r="I2" s="15">
        <v>304130.23936054518</v>
      </c>
      <c r="J2" s="15">
        <v>150415.21518490929</v>
      </c>
      <c r="K2" s="15">
        <v>347134.02458951838</v>
      </c>
      <c r="L2" s="15">
        <v>21853.52578378511</v>
      </c>
      <c r="M2" s="15">
        <v>325280.49880573328</v>
      </c>
    </row>
    <row r="3" spans="1:13" x14ac:dyDescent="0.35">
      <c r="A3" s="10" t="s">
        <v>30</v>
      </c>
      <c r="B3" s="10">
        <v>1</v>
      </c>
      <c r="C3" s="11">
        <v>69.177608000000006</v>
      </c>
      <c r="D3" s="12">
        <v>1.9927379999999999</v>
      </c>
      <c r="E3" s="12">
        <v>0.50182211610357208</v>
      </c>
      <c r="F3" s="13">
        <v>1.3044640000000001</v>
      </c>
      <c r="G3" s="13">
        <v>0.114172</v>
      </c>
      <c r="H3" s="16">
        <v>454545.45454545447</v>
      </c>
      <c r="I3" s="16">
        <v>302662.645376909</v>
      </c>
      <c r="J3" s="16">
        <v>151882.8091685455</v>
      </c>
      <c r="K3" s="16">
        <v>198125.65677923759</v>
      </c>
      <c r="L3" s="16">
        <v>17340.764088391181</v>
      </c>
      <c r="M3" s="16">
        <v>180784.89269084641</v>
      </c>
    </row>
    <row r="4" spans="1:13" x14ac:dyDescent="0.35">
      <c r="A4" s="3" t="s">
        <v>32</v>
      </c>
      <c r="B4" s="3">
        <v>2</v>
      </c>
      <c r="C4" s="4">
        <v>241.74620400000001</v>
      </c>
      <c r="D4" s="5">
        <v>1.9686129999999999</v>
      </c>
      <c r="E4" s="5">
        <v>0.50797185632727204</v>
      </c>
      <c r="F4" s="6">
        <v>1.1940630000000001</v>
      </c>
      <c r="G4" s="6">
        <v>0.26342399999999999</v>
      </c>
      <c r="H4" s="15">
        <v>454545.45454545447</v>
      </c>
      <c r="I4" s="15">
        <v>301428.34074670251</v>
      </c>
      <c r="J4" s="15">
        <v>153117.11379875199</v>
      </c>
      <c r="K4" s="15">
        <v>182831.48025387921</v>
      </c>
      <c r="L4" s="15">
        <v>40334.722585322452</v>
      </c>
      <c r="M4" s="15">
        <v>142496.75766855679</v>
      </c>
    </row>
    <row r="5" spans="1:13" x14ac:dyDescent="0.35">
      <c r="A5" s="10" t="s">
        <v>35</v>
      </c>
      <c r="B5" s="10">
        <v>1</v>
      </c>
      <c r="C5" s="11">
        <v>210.13529600000001</v>
      </c>
      <c r="D5" s="12">
        <v>1.9895320000000001</v>
      </c>
      <c r="E5" s="12">
        <v>0.50263076944728713</v>
      </c>
      <c r="F5" s="13">
        <v>1.1492100000000001</v>
      </c>
      <c r="G5" s="13">
        <v>0.16302800000000001</v>
      </c>
      <c r="H5" s="16">
        <v>454545.45454545447</v>
      </c>
      <c r="I5" s="16">
        <v>302499.76493736391</v>
      </c>
      <c r="J5" s="16">
        <v>152045.6896080907</v>
      </c>
      <c r="K5" s="16">
        <v>174732.42695451391</v>
      </c>
      <c r="L5" s="16">
        <v>24787.704685427809</v>
      </c>
      <c r="M5" s="16">
        <v>149944.72226908611</v>
      </c>
    </row>
    <row r="6" spans="1:13" x14ac:dyDescent="0.35">
      <c r="A6" s="3" t="s">
        <v>37</v>
      </c>
      <c r="B6" s="3">
        <v>2</v>
      </c>
      <c r="C6" s="4">
        <v>183.31435999999999</v>
      </c>
      <c r="D6" s="5">
        <v>1.993406</v>
      </c>
      <c r="E6" s="5">
        <v>0.50165395308331573</v>
      </c>
      <c r="F6" s="6">
        <v>1.0595749999999999</v>
      </c>
      <c r="G6" s="6">
        <v>0.101782</v>
      </c>
      <c r="H6" s="15">
        <v>454545.45454545447</v>
      </c>
      <c r="I6" s="15">
        <v>302696.53911418509</v>
      </c>
      <c r="J6" s="15">
        <v>151848.91543126939</v>
      </c>
      <c r="K6" s="15">
        <v>160895.31456808731</v>
      </c>
      <c r="L6" s="15">
        <v>15455.486310425469</v>
      </c>
      <c r="M6" s="15">
        <v>145439.82825766181</v>
      </c>
    </row>
    <row r="7" spans="1:13" x14ac:dyDescent="0.35">
      <c r="A7" s="10" t="s">
        <v>40</v>
      </c>
      <c r="B7" s="10">
        <v>1</v>
      </c>
      <c r="C7" s="11">
        <v>13.449014999999999</v>
      </c>
      <c r="D7" s="12">
        <v>1.9966569999999999</v>
      </c>
      <c r="E7" s="12">
        <v>0.50083714929504675</v>
      </c>
      <c r="F7" s="13">
        <v>1.052662</v>
      </c>
      <c r="G7" s="13">
        <v>0.20791799999999999</v>
      </c>
      <c r="H7" s="16">
        <v>454545.45454545447</v>
      </c>
      <c r="I7" s="16">
        <v>302861.27629433852</v>
      </c>
      <c r="J7" s="16">
        <v>151684.17825111601</v>
      </c>
      <c r="K7" s="16">
        <v>159672.17044617629</v>
      </c>
      <c r="L7" s="16">
        <v>31537.87097361554</v>
      </c>
      <c r="M7" s="16">
        <v>128134.2994725608</v>
      </c>
    </row>
    <row r="8" spans="1:13" x14ac:dyDescent="0.35">
      <c r="A8" s="3" t="s">
        <v>42</v>
      </c>
      <c r="B8" s="3">
        <v>3</v>
      </c>
      <c r="C8" s="4">
        <v>160.85533599999999</v>
      </c>
      <c r="D8" s="5">
        <v>2.0016660000000002</v>
      </c>
      <c r="E8" s="5">
        <v>0.49958384665573569</v>
      </c>
      <c r="F8" s="6">
        <v>1.0138253333333329</v>
      </c>
      <c r="G8" s="6">
        <v>0.1217613333333333</v>
      </c>
      <c r="H8" s="15">
        <v>454545.45454545447</v>
      </c>
      <c r="I8" s="15">
        <v>303114.39774384687</v>
      </c>
      <c r="J8" s="15">
        <v>151431.05680160769</v>
      </c>
      <c r="K8" s="15">
        <v>153524.6416389088</v>
      </c>
      <c r="L8" s="15">
        <v>18438.44738423948</v>
      </c>
      <c r="M8" s="15">
        <v>135086.1942546693</v>
      </c>
    </row>
    <row r="9" spans="1:13" x14ac:dyDescent="0.35">
      <c r="A9" s="10" t="s">
        <v>46</v>
      </c>
      <c r="B9" s="10">
        <v>1</v>
      </c>
      <c r="C9" s="11">
        <v>50.536624000000003</v>
      </c>
      <c r="D9" s="12">
        <v>1.989717</v>
      </c>
      <c r="E9" s="12">
        <v>0.50258403582016942</v>
      </c>
      <c r="F9" s="13">
        <v>0.95804100000000003</v>
      </c>
      <c r="G9" s="13">
        <v>0.29569600000000001</v>
      </c>
      <c r="H9" s="16">
        <v>454545.45454545447</v>
      </c>
      <c r="I9" s="16">
        <v>302509.1733370811</v>
      </c>
      <c r="J9" s="16">
        <v>152036.2812083734</v>
      </c>
      <c r="K9" s="16">
        <v>145656.99088515129</v>
      </c>
      <c r="L9" s="16">
        <v>44956.520208191192</v>
      </c>
      <c r="M9" s="16">
        <v>100700.4706769601</v>
      </c>
    </row>
    <row r="10" spans="1:13" x14ac:dyDescent="0.35">
      <c r="A10" s="3" t="s">
        <v>48</v>
      </c>
      <c r="B10" s="3">
        <v>2</v>
      </c>
      <c r="C10" s="4">
        <v>258.610344</v>
      </c>
      <c r="D10" s="5">
        <v>1.9839275000000001</v>
      </c>
      <c r="E10" s="5">
        <v>0.50405067725509123</v>
      </c>
      <c r="F10" s="6">
        <v>0.90490700000000013</v>
      </c>
      <c r="G10" s="6">
        <v>0.229769</v>
      </c>
      <c r="H10" s="15">
        <v>454545.45454545447</v>
      </c>
      <c r="I10" s="15">
        <v>302214.18827123888</v>
      </c>
      <c r="J10" s="15">
        <v>152331.2662742156</v>
      </c>
      <c r="K10" s="15">
        <v>137845.6291704016</v>
      </c>
      <c r="L10" s="15">
        <v>35001.002720560253</v>
      </c>
      <c r="M10" s="15">
        <v>102844.62644984139</v>
      </c>
    </row>
    <row r="11" spans="1:13" x14ac:dyDescent="0.35">
      <c r="A11" s="10" t="s">
        <v>51</v>
      </c>
      <c r="B11" s="10">
        <v>1</v>
      </c>
      <c r="C11" s="11">
        <v>38.607771999999997</v>
      </c>
      <c r="D11" s="12">
        <v>1.9942759999999999</v>
      </c>
      <c r="E11" s="12">
        <v>0.50143510727702689</v>
      </c>
      <c r="F11" s="13">
        <v>0.82618799999999992</v>
      </c>
      <c r="G11" s="13">
        <v>7.3813999999999894E-2</v>
      </c>
      <c r="H11" s="16">
        <v>454545.45454545447</v>
      </c>
      <c r="I11" s="16">
        <v>302740.65948132059</v>
      </c>
      <c r="J11" s="16">
        <v>151804.79506413391</v>
      </c>
      <c r="K11" s="16">
        <v>125419.30002444659</v>
      </c>
      <c r="L11" s="16">
        <v>11205.31914286396</v>
      </c>
      <c r="M11" s="16">
        <v>114213.9808815827</v>
      </c>
    </row>
    <row r="12" spans="1:13" x14ac:dyDescent="0.35">
      <c r="A12" s="3" t="s">
        <v>53</v>
      </c>
      <c r="B12" s="3">
        <v>1</v>
      </c>
      <c r="C12" s="4">
        <v>41.908568000000002</v>
      </c>
      <c r="D12" s="5">
        <v>1.9766170000000001</v>
      </c>
      <c r="E12" s="5">
        <v>0.50591490410130036</v>
      </c>
      <c r="F12" s="6">
        <v>0.81887600000000016</v>
      </c>
      <c r="G12" s="6">
        <v>0.186278</v>
      </c>
      <c r="H12" s="15">
        <v>454545.45454545447</v>
      </c>
      <c r="I12" s="15">
        <v>301840.06633277738</v>
      </c>
      <c r="J12" s="15">
        <v>152705.38821267709</v>
      </c>
      <c r="K12" s="15">
        <v>125046.7774780442</v>
      </c>
      <c r="L12" s="15">
        <v>28445.654305481079</v>
      </c>
      <c r="M12" s="15">
        <v>96601.123172563166</v>
      </c>
    </row>
    <row r="13" spans="1:13" x14ac:dyDescent="0.35">
      <c r="A13" s="10" t="s">
        <v>55</v>
      </c>
      <c r="B13" s="10">
        <v>1</v>
      </c>
      <c r="C13" s="11">
        <v>13.778926999999999</v>
      </c>
      <c r="D13" s="12">
        <v>1.998537</v>
      </c>
      <c r="E13" s="12">
        <v>0.50036601774197831</v>
      </c>
      <c r="F13" s="13">
        <v>0.8118240000000001</v>
      </c>
      <c r="G13" s="13">
        <v>0.266934</v>
      </c>
      <c r="H13" s="16">
        <v>454545.45454545447</v>
      </c>
      <c r="I13" s="16">
        <v>302956.37809068518</v>
      </c>
      <c r="J13" s="16">
        <v>151589.0764547693</v>
      </c>
      <c r="K13" s="16">
        <v>123063.6504038166</v>
      </c>
      <c r="L13" s="16">
        <v>40464.278534377387</v>
      </c>
      <c r="M13" s="16">
        <v>82599.371869439259</v>
      </c>
    </row>
    <row r="14" spans="1:13" x14ac:dyDescent="0.35">
      <c r="A14" s="3" t="s">
        <v>57</v>
      </c>
      <c r="B14" s="3">
        <v>1</v>
      </c>
      <c r="C14" s="4">
        <v>9.0801110000000005</v>
      </c>
      <c r="D14" s="5">
        <v>2.0117639999999999</v>
      </c>
      <c r="E14" s="5">
        <v>0.4970761978045139</v>
      </c>
      <c r="F14" s="6">
        <v>0.80749499999999996</v>
      </c>
      <c r="G14" s="6">
        <v>0.14643600000000001</v>
      </c>
      <c r="H14" s="15">
        <v>454545.45454545447</v>
      </c>
      <c r="I14" s="15">
        <v>303622.1237182534</v>
      </c>
      <c r="J14" s="15">
        <v>150923.33082720111</v>
      </c>
      <c r="K14" s="15">
        <v>121869.8350263108</v>
      </c>
      <c r="L14" s="15">
        <v>22100.608873012028</v>
      </c>
      <c r="M14" s="15">
        <v>99769.226153298747</v>
      </c>
    </row>
    <row r="15" spans="1:13" x14ac:dyDescent="0.35">
      <c r="A15" s="10" t="s">
        <v>59</v>
      </c>
      <c r="B15" s="10">
        <v>2</v>
      </c>
      <c r="C15" s="11">
        <v>173.35184799999999</v>
      </c>
      <c r="D15" s="12">
        <v>2.0190885000000001</v>
      </c>
      <c r="E15" s="12">
        <v>0.49527299075795839</v>
      </c>
      <c r="F15" s="13">
        <v>0.72485449999999996</v>
      </c>
      <c r="G15" s="13">
        <v>8.7808999999999943E-2</v>
      </c>
      <c r="H15" s="16">
        <v>454545.45454545447</v>
      </c>
      <c r="I15" s="16">
        <v>303988.27328181989</v>
      </c>
      <c r="J15" s="16">
        <v>150557.18126363459</v>
      </c>
      <c r="K15" s="16">
        <v>109132.0503462612</v>
      </c>
      <c r="L15" s="16">
        <v>13220.275529578479</v>
      </c>
      <c r="M15" s="16">
        <v>95911.774816682737</v>
      </c>
    </row>
    <row r="16" spans="1:13" x14ac:dyDescent="0.35">
      <c r="A16" s="3" t="s">
        <v>62</v>
      </c>
      <c r="B16" s="3">
        <v>3</v>
      </c>
      <c r="C16" s="4">
        <v>896.90476100000001</v>
      </c>
      <c r="D16" s="5">
        <v>1.9939806666666671</v>
      </c>
      <c r="E16" s="5">
        <v>0.50150937605212487</v>
      </c>
      <c r="F16" s="6">
        <v>0.71786500000000009</v>
      </c>
      <c r="G16" s="6">
        <v>4.9367999999999967E-2</v>
      </c>
      <c r="H16" s="15">
        <v>454545.45454545447</v>
      </c>
      <c r="I16" s="15">
        <v>302725.685097337</v>
      </c>
      <c r="J16" s="15">
        <v>151819.7694481175</v>
      </c>
      <c r="K16" s="15">
        <v>108986.0987948729</v>
      </c>
      <c r="L16" s="15">
        <v>7495.0383781146611</v>
      </c>
      <c r="M16" s="15">
        <v>101491.06041675821</v>
      </c>
    </row>
    <row r="17" spans="1:13" x14ac:dyDescent="0.35">
      <c r="A17" s="10" t="s">
        <v>66</v>
      </c>
      <c r="B17" s="10">
        <v>1</v>
      </c>
      <c r="C17" s="11">
        <v>33.673008000000003</v>
      </c>
      <c r="D17" s="12">
        <v>1.9882219999999999</v>
      </c>
      <c r="E17" s="12">
        <v>0.50296194288162999</v>
      </c>
      <c r="F17" s="13">
        <v>0.71199900000000005</v>
      </c>
      <c r="G17" s="13">
        <v>0.18858799999999989</v>
      </c>
      <c r="H17" s="16">
        <v>454545.45454545447</v>
      </c>
      <c r="I17" s="16">
        <v>302433.10996548203</v>
      </c>
      <c r="J17" s="16">
        <v>152112.3445799725</v>
      </c>
      <c r="K17" s="16">
        <v>108303.8372285958</v>
      </c>
      <c r="L17" s="16">
        <v>28686.562839647839</v>
      </c>
      <c r="M17" s="16">
        <v>79617.274388948004</v>
      </c>
    </row>
    <row r="18" spans="1:13" x14ac:dyDescent="0.35">
      <c r="A18" s="3" t="s">
        <v>68</v>
      </c>
      <c r="B18" s="3">
        <v>1</v>
      </c>
      <c r="C18" s="4">
        <v>16.615836000000002</v>
      </c>
      <c r="D18" s="5">
        <v>1.995871</v>
      </c>
      <c r="E18" s="5">
        <v>0.50103438548884172</v>
      </c>
      <c r="F18" s="6">
        <v>0.69254400000000005</v>
      </c>
      <c r="G18" s="6">
        <v>0</v>
      </c>
      <c r="H18" s="15">
        <v>454545.45454545447</v>
      </c>
      <c r="I18" s="15">
        <v>302821.48026703781</v>
      </c>
      <c r="J18" s="15">
        <v>151723.97427841669</v>
      </c>
      <c r="K18" s="15">
        <v>105075.52804267179</v>
      </c>
      <c r="L18" s="15">
        <v>0</v>
      </c>
      <c r="M18" s="15">
        <v>105075.52804267179</v>
      </c>
    </row>
    <row r="19" spans="1:13" x14ac:dyDescent="0.35">
      <c r="A19" s="10" t="s">
        <v>70</v>
      </c>
      <c r="B19" s="10">
        <v>1</v>
      </c>
      <c r="C19" s="11">
        <v>138.82278400000001</v>
      </c>
      <c r="D19" s="12">
        <v>2.014402</v>
      </c>
      <c r="E19" s="12">
        <v>0.49642524183355657</v>
      </c>
      <c r="F19" s="13">
        <v>0.625301</v>
      </c>
      <c r="G19" s="13">
        <v>8.0206E-2</v>
      </c>
      <c r="H19" s="16">
        <v>454545.45454545447</v>
      </c>
      <c r="I19" s="16">
        <v>303754.20157207717</v>
      </c>
      <c r="J19" s="16">
        <v>150791.25297337741</v>
      </c>
      <c r="K19" s="16">
        <v>94289.92127550584</v>
      </c>
      <c r="L19" s="16">
        <v>12094.363235982701</v>
      </c>
      <c r="M19" s="16">
        <v>82195.558039523137</v>
      </c>
    </row>
    <row r="20" spans="1:13" x14ac:dyDescent="0.35">
      <c r="A20" s="3" t="s">
        <v>72</v>
      </c>
      <c r="B20" s="3">
        <v>1</v>
      </c>
      <c r="C20" s="4">
        <v>470.322272</v>
      </c>
      <c r="D20" s="5">
        <v>1.987096</v>
      </c>
      <c r="E20" s="5">
        <v>0.50324694931699321</v>
      </c>
      <c r="F20" s="6">
        <v>0.59814000000000001</v>
      </c>
      <c r="G20" s="6">
        <v>0.166876</v>
      </c>
      <c r="H20" s="15">
        <v>454545.45454545447</v>
      </c>
      <c r="I20" s="15">
        <v>302375.77049597818</v>
      </c>
      <c r="J20" s="15">
        <v>152169.68404947629</v>
      </c>
      <c r="K20" s="15">
        <v>91018.774817353784</v>
      </c>
      <c r="L20" s="15">
        <v>25393.468195440419</v>
      </c>
      <c r="M20" s="15">
        <v>65625.306621913362</v>
      </c>
    </row>
    <row r="21" spans="1:13" x14ac:dyDescent="0.35">
      <c r="A21" s="10" t="s">
        <v>74</v>
      </c>
      <c r="B21" s="10">
        <v>1</v>
      </c>
      <c r="C21" s="11">
        <v>169.664016</v>
      </c>
      <c r="D21" s="12">
        <v>1.9843010000000001</v>
      </c>
      <c r="E21" s="12">
        <v>0.50395580106042381</v>
      </c>
      <c r="F21" s="13">
        <v>0.57046799999999998</v>
      </c>
      <c r="G21" s="13">
        <v>7.8548000000000007E-2</v>
      </c>
      <c r="H21" s="16">
        <v>454545.45454545447</v>
      </c>
      <c r="I21" s="16">
        <v>302233.25328108663</v>
      </c>
      <c r="J21" s="16">
        <v>152312.2012643679</v>
      </c>
      <c r="K21" s="16">
        <v>86889.236830881433</v>
      </c>
      <c r="L21" s="16">
        <v>11963.81878491357</v>
      </c>
      <c r="M21" s="16">
        <v>74925.418045967861</v>
      </c>
    </row>
    <row r="22" spans="1:13" x14ac:dyDescent="0.35">
      <c r="A22" s="3" t="s">
        <v>76</v>
      </c>
      <c r="B22" s="3">
        <v>1</v>
      </c>
      <c r="C22" s="4">
        <v>14.925299000000001</v>
      </c>
      <c r="D22" s="5">
        <v>1.995098</v>
      </c>
      <c r="E22" s="5">
        <v>0.50122851108065869</v>
      </c>
      <c r="F22" s="6">
        <v>0.56448900000000002</v>
      </c>
      <c r="G22" s="6">
        <v>0.17165</v>
      </c>
      <c r="H22" s="15">
        <v>454545.45454545447</v>
      </c>
      <c r="I22" s="15">
        <v>302782.32207184122</v>
      </c>
      <c r="J22" s="15">
        <v>151763.1324736134</v>
      </c>
      <c r="K22" s="15">
        <v>85668.618886897544</v>
      </c>
      <c r="L22" s="15">
        <v>26050.14168909573</v>
      </c>
      <c r="M22" s="15">
        <v>59618.477197801811</v>
      </c>
    </row>
    <row r="23" spans="1:13" x14ac:dyDescent="0.35">
      <c r="A23" s="10" t="s">
        <v>78</v>
      </c>
      <c r="B23" s="10">
        <v>1</v>
      </c>
      <c r="C23" s="11">
        <v>11939.088384000001</v>
      </c>
      <c r="D23" s="12">
        <v>2.9603769999999998</v>
      </c>
      <c r="E23" s="12">
        <v>0.3377948146469183</v>
      </c>
      <c r="F23" s="13">
        <v>0.52015100000000003</v>
      </c>
      <c r="G23" s="13">
        <v>1.7498E-2</v>
      </c>
      <c r="H23" s="16">
        <v>454545.45454545447</v>
      </c>
      <c r="I23" s="16">
        <v>339772.17550018831</v>
      </c>
      <c r="J23" s="16">
        <v>114773.2790452663</v>
      </c>
      <c r="K23" s="16">
        <v>59699.4358686743</v>
      </c>
      <c r="L23" s="16">
        <v>2008.3028367340689</v>
      </c>
      <c r="M23" s="16">
        <v>57691.133031940233</v>
      </c>
    </row>
    <row r="24" spans="1:13" x14ac:dyDescent="0.35">
      <c r="A24" s="3" t="s">
        <v>80</v>
      </c>
      <c r="B24" s="3">
        <v>2</v>
      </c>
      <c r="C24" s="4">
        <v>140.75152</v>
      </c>
      <c r="D24" s="5">
        <v>2.0093969999999999</v>
      </c>
      <c r="E24" s="5">
        <v>0.49766173633184491</v>
      </c>
      <c r="F24" s="6">
        <v>0.49073299999999997</v>
      </c>
      <c r="G24" s="6">
        <v>0.20579500000000001</v>
      </c>
      <c r="H24" s="15">
        <v>454545.45454545447</v>
      </c>
      <c r="I24" s="15">
        <v>303503.41703911871</v>
      </c>
      <c r="J24" s="15">
        <v>151042.03750633579</v>
      </c>
      <c r="K24" s="15">
        <v>74121.312191596691</v>
      </c>
      <c r="L24" s="15">
        <v>31083.696108616368</v>
      </c>
      <c r="M24" s="15">
        <v>43037.616082980319</v>
      </c>
    </row>
    <row r="25" spans="1:13" x14ac:dyDescent="0.35">
      <c r="A25" s="10" t="s">
        <v>83</v>
      </c>
      <c r="B25" s="10">
        <v>1</v>
      </c>
      <c r="C25" s="11">
        <v>210.574288</v>
      </c>
      <c r="D25" s="12">
        <v>1.979924</v>
      </c>
      <c r="E25" s="12">
        <v>0.50506989157159565</v>
      </c>
      <c r="F25" s="13">
        <v>0.48904300000000001</v>
      </c>
      <c r="G25" s="13">
        <v>0.15849199999999999</v>
      </c>
      <c r="H25" s="16">
        <v>454545.45454545447</v>
      </c>
      <c r="I25" s="16">
        <v>302009.53264091793</v>
      </c>
      <c r="J25" s="16">
        <v>152535.92190453669</v>
      </c>
      <c r="K25" s="16">
        <v>74596.624855960326</v>
      </c>
      <c r="L25" s="16">
        <v>24175.723334493821</v>
      </c>
      <c r="M25" s="16">
        <v>50420.901521466498</v>
      </c>
    </row>
    <row r="26" spans="1:13" x14ac:dyDescent="0.35">
      <c r="A26" s="3" t="s">
        <v>85</v>
      </c>
      <c r="B26" s="3">
        <v>1</v>
      </c>
      <c r="C26" s="4">
        <v>120.932992</v>
      </c>
      <c r="D26" s="5">
        <v>1.9876370000000001</v>
      </c>
      <c r="E26" s="5">
        <v>0.50310997430617355</v>
      </c>
      <c r="F26" s="6">
        <v>0.47649399999999997</v>
      </c>
      <c r="G26" s="6">
        <v>5.4718000000000003E-2</v>
      </c>
      <c r="H26" s="15">
        <v>454545.45454545447</v>
      </c>
      <c r="I26" s="15">
        <v>302403.32531574741</v>
      </c>
      <c r="J26" s="15">
        <v>152142.12922970709</v>
      </c>
      <c r="K26" s="15">
        <v>72494.811725180058</v>
      </c>
      <c r="L26" s="15">
        <v>8324.9130271911145</v>
      </c>
      <c r="M26" s="15">
        <v>64169.898697988952</v>
      </c>
    </row>
    <row r="27" spans="1:13" x14ac:dyDescent="0.35">
      <c r="A27" s="10" t="s">
        <v>87</v>
      </c>
      <c r="B27" s="10">
        <v>1</v>
      </c>
      <c r="C27" s="11">
        <v>20.771360000000001</v>
      </c>
      <c r="D27" s="12">
        <v>1.9893419999999999</v>
      </c>
      <c r="E27" s="12">
        <v>0.50267877519300352</v>
      </c>
      <c r="F27" s="13">
        <v>0.45641899999999991</v>
      </c>
      <c r="G27" s="13">
        <v>0.26538</v>
      </c>
      <c r="H27" s="16">
        <v>454545.45454545447</v>
      </c>
      <c r="I27" s="16">
        <v>302490.10104443168</v>
      </c>
      <c r="J27" s="16">
        <v>152055.35350102279</v>
      </c>
      <c r="K27" s="16">
        <v>69400.952389583312</v>
      </c>
      <c r="L27" s="16">
        <v>40352.449712101428</v>
      </c>
      <c r="M27" s="16">
        <v>29048.50267748188</v>
      </c>
    </row>
    <row r="28" spans="1:13" x14ac:dyDescent="0.35">
      <c r="A28" s="3" t="s">
        <v>89</v>
      </c>
      <c r="B28" s="3">
        <v>1</v>
      </c>
      <c r="C28" s="4">
        <v>8.9140979999999992</v>
      </c>
      <c r="D28" s="5">
        <v>1.9984850000000001</v>
      </c>
      <c r="E28" s="5">
        <v>0.50037903712061882</v>
      </c>
      <c r="F28" s="6">
        <v>0.44863999999999998</v>
      </c>
      <c r="G28" s="6">
        <v>7.8921999999999895E-2</v>
      </c>
      <c r="H28" s="15">
        <v>454545.45454545447</v>
      </c>
      <c r="I28" s="15">
        <v>302953.74921911332</v>
      </c>
      <c r="J28" s="15">
        <v>151591.7053263413</v>
      </c>
      <c r="K28" s="15">
        <v>68010.102677609742</v>
      </c>
      <c r="L28" s="15">
        <v>11963.92056776549</v>
      </c>
      <c r="M28" s="15">
        <v>56046.182109844252</v>
      </c>
    </row>
    <row r="29" spans="1:13" x14ac:dyDescent="0.35">
      <c r="A29" s="10" t="s">
        <v>91</v>
      </c>
      <c r="B29" s="10">
        <v>2</v>
      </c>
      <c r="C29" s="11">
        <v>1322.99352</v>
      </c>
      <c r="D29" s="12">
        <v>1.9957940000000001</v>
      </c>
      <c r="E29" s="12">
        <v>0.50105371596467374</v>
      </c>
      <c r="F29" s="13">
        <v>0.44684200000000002</v>
      </c>
      <c r="G29" s="13">
        <v>9.4261999999999999E-2</v>
      </c>
      <c r="H29" s="16">
        <v>454545.45454545447</v>
      </c>
      <c r="I29" s="16">
        <v>302817.58055096271</v>
      </c>
      <c r="J29" s="16">
        <v>151727.87399449179</v>
      </c>
      <c r="K29" s="16">
        <v>67798.386671446715</v>
      </c>
      <c r="L29" s="16">
        <v>14302.17285846879</v>
      </c>
      <c r="M29" s="16">
        <v>53496.213812977927</v>
      </c>
    </row>
    <row r="30" spans="1:13" x14ac:dyDescent="0.35">
      <c r="A30" s="3" t="s">
        <v>94</v>
      </c>
      <c r="B30" s="3">
        <v>1</v>
      </c>
      <c r="C30" s="4">
        <v>14.070665999999999</v>
      </c>
      <c r="D30" s="5">
        <v>1.9894480000000001</v>
      </c>
      <c r="E30" s="5">
        <v>0.50265199190931353</v>
      </c>
      <c r="F30" s="6">
        <v>0.43948599999999999</v>
      </c>
      <c r="G30" s="6">
        <v>0.25478400000000001</v>
      </c>
      <c r="H30" s="15">
        <v>454545.45454545447</v>
      </c>
      <c r="I30" s="15">
        <v>302495.49263092899</v>
      </c>
      <c r="J30" s="15">
        <v>152049.96191452551</v>
      </c>
      <c r="K30" s="15">
        <v>66823.82956196717</v>
      </c>
      <c r="L30" s="15">
        <v>38739.89749643048</v>
      </c>
      <c r="M30" s="15">
        <v>28083.93206553669</v>
      </c>
    </row>
    <row r="31" spans="1:13" x14ac:dyDescent="0.35">
      <c r="A31" s="10" t="s">
        <v>96</v>
      </c>
      <c r="B31" s="10">
        <v>1</v>
      </c>
      <c r="C31" s="11">
        <v>5.6559460000000001</v>
      </c>
      <c r="D31" s="12">
        <v>2.0104649999999999</v>
      </c>
      <c r="E31" s="12">
        <v>0.4973973682705245</v>
      </c>
      <c r="F31" s="13">
        <v>0.439303</v>
      </c>
      <c r="G31" s="13">
        <v>0.26717000000000002</v>
      </c>
      <c r="H31" s="16">
        <v>454545.45454545447</v>
      </c>
      <c r="I31" s="16">
        <v>303557.00108545588</v>
      </c>
      <c r="J31" s="16">
        <v>150988.45345999859</v>
      </c>
      <c r="K31" s="16">
        <v>66329.680570337761</v>
      </c>
      <c r="L31" s="16">
        <v>40339.585110907828</v>
      </c>
      <c r="M31" s="16">
        <v>25990.095459429929</v>
      </c>
    </row>
    <row r="32" spans="1:13" x14ac:dyDescent="0.35">
      <c r="A32" s="3" t="s">
        <v>98</v>
      </c>
      <c r="B32" s="3">
        <v>1</v>
      </c>
      <c r="C32" s="4">
        <v>35.467452000000002</v>
      </c>
      <c r="D32" s="5">
        <v>1.982097</v>
      </c>
      <c r="E32" s="5">
        <v>0.50451617655442693</v>
      </c>
      <c r="F32" s="6">
        <v>0.429286</v>
      </c>
      <c r="G32" s="6">
        <v>6.368E-2</v>
      </c>
      <c r="H32" s="15">
        <v>454545.45454545447</v>
      </c>
      <c r="I32" s="15">
        <v>302120.68280078808</v>
      </c>
      <c r="J32" s="15">
        <v>152424.77174466639</v>
      </c>
      <c r="K32" s="15">
        <v>65433.820563180852</v>
      </c>
      <c r="L32" s="15">
        <v>9706.4094647003549</v>
      </c>
      <c r="M32" s="15">
        <v>55727.411098480501</v>
      </c>
    </row>
    <row r="33" spans="1:13" x14ac:dyDescent="0.35">
      <c r="A33" s="10" t="s">
        <v>100</v>
      </c>
      <c r="B33" s="10">
        <v>2</v>
      </c>
      <c r="C33" s="11">
        <v>5797.815552</v>
      </c>
      <c r="D33" s="12">
        <v>2.5121150000000001</v>
      </c>
      <c r="E33" s="12">
        <v>0.39807094818509497</v>
      </c>
      <c r="F33" s="13">
        <v>0.42678650000000001</v>
      </c>
      <c r="G33" s="13">
        <v>2.3284999999999952E-2</v>
      </c>
      <c r="H33" s="16">
        <v>454545.45454545447</v>
      </c>
      <c r="I33" s="16">
        <v>325123.31018359441</v>
      </c>
      <c r="J33" s="16">
        <v>129422.14436186021</v>
      </c>
      <c r="K33" s="16">
        <v>55235.624014693043</v>
      </c>
      <c r="L33" s="16">
        <v>3013.5946314659082</v>
      </c>
      <c r="M33" s="16">
        <v>52222.029383227127</v>
      </c>
    </row>
    <row r="34" spans="1:13" x14ac:dyDescent="0.35">
      <c r="A34" s="3" t="s">
        <v>103</v>
      </c>
      <c r="B34" s="3">
        <v>1</v>
      </c>
      <c r="C34" s="4">
        <v>37.901712000000003</v>
      </c>
      <c r="D34" s="5">
        <v>1.985336</v>
      </c>
      <c r="E34" s="5">
        <v>0.50369307764529536</v>
      </c>
      <c r="F34" s="6">
        <v>0.42141899999999999</v>
      </c>
      <c r="G34" s="6">
        <v>0.23402600000000001</v>
      </c>
      <c r="H34" s="15">
        <v>454545.45454545447</v>
      </c>
      <c r="I34" s="15">
        <v>302286.05910539202</v>
      </c>
      <c r="J34" s="15">
        <v>152259.39544006251</v>
      </c>
      <c r="K34" s="15">
        <v>64165.002166955703</v>
      </c>
      <c r="L34" s="15">
        <v>35632.657277256068</v>
      </c>
      <c r="M34" s="15">
        <v>28532.344889699631</v>
      </c>
    </row>
    <row r="35" spans="1:13" x14ac:dyDescent="0.35">
      <c r="A35" s="10" t="s">
        <v>105</v>
      </c>
      <c r="B35" s="10">
        <v>1</v>
      </c>
      <c r="C35" s="11">
        <v>47.330191999999997</v>
      </c>
      <c r="D35" s="12">
        <v>1.98187</v>
      </c>
      <c r="E35" s="12">
        <v>0.50457396297436263</v>
      </c>
      <c r="F35" s="13">
        <v>0.42091400000000001</v>
      </c>
      <c r="G35" s="13">
        <v>0.21906999999999999</v>
      </c>
      <c r="H35" s="16">
        <v>454545.45454545447</v>
      </c>
      <c r="I35" s="16">
        <v>302109.07920197729</v>
      </c>
      <c r="J35" s="16">
        <v>152436.37534347721</v>
      </c>
      <c r="K35" s="16">
        <v>64162.604491324382</v>
      </c>
      <c r="L35" s="16">
        <v>33394.236746495553</v>
      </c>
      <c r="M35" s="16">
        <v>30768.367744828829</v>
      </c>
    </row>
    <row r="36" spans="1:13" x14ac:dyDescent="0.35">
      <c r="A36" s="3" t="s">
        <v>107</v>
      </c>
      <c r="B36" s="3">
        <v>1</v>
      </c>
      <c r="C36" s="4">
        <v>11.531488</v>
      </c>
      <c r="D36" s="5">
        <v>2.019056</v>
      </c>
      <c r="E36" s="5">
        <v>0.49528096298468188</v>
      </c>
      <c r="F36" s="6">
        <v>0.39987499999999998</v>
      </c>
      <c r="G36" s="6">
        <v>9.2294000000000001E-2</v>
      </c>
      <c r="H36" s="15">
        <v>454545.45454545447</v>
      </c>
      <c r="I36" s="15">
        <v>303986.65254063759</v>
      </c>
      <c r="J36" s="15">
        <v>150558.80200481691</v>
      </c>
      <c r="K36" s="15">
        <v>60204.700951676154</v>
      </c>
      <c r="L36" s="15">
        <v>13895.67407223257</v>
      </c>
      <c r="M36" s="15">
        <v>46309.026879443583</v>
      </c>
    </row>
    <row r="37" spans="1:13" x14ac:dyDescent="0.35">
      <c r="A37" s="10" t="s">
        <v>109</v>
      </c>
      <c r="B37" s="10">
        <v>3</v>
      </c>
      <c r="C37" s="11">
        <v>620.55511799999999</v>
      </c>
      <c r="D37" s="12">
        <v>2.002688333333333</v>
      </c>
      <c r="E37" s="12">
        <v>0.49932881884600122</v>
      </c>
      <c r="F37" s="13">
        <v>0.39921333333333342</v>
      </c>
      <c r="G37" s="13">
        <v>5.6436666666666642E-2</v>
      </c>
      <c r="H37" s="16">
        <v>454545.45454545447</v>
      </c>
      <c r="I37" s="16">
        <v>303165.95588105061</v>
      </c>
      <c r="J37" s="16">
        <v>151379.49866440389</v>
      </c>
      <c r="K37" s="16">
        <v>60432.714260145571</v>
      </c>
      <c r="L37" s="16">
        <v>8543.3543062900717</v>
      </c>
      <c r="M37" s="16">
        <v>51889.359953855499</v>
      </c>
    </row>
    <row r="38" spans="1:13" x14ac:dyDescent="0.35">
      <c r="A38" s="3" t="s">
        <v>113</v>
      </c>
      <c r="B38" s="3">
        <v>4</v>
      </c>
      <c r="C38" s="4">
        <v>5485.1649360000001</v>
      </c>
      <c r="D38" s="5">
        <v>1.9939162500000001</v>
      </c>
      <c r="E38" s="5">
        <v>0.50152557811793752</v>
      </c>
      <c r="F38" s="6">
        <v>0.39104299999999997</v>
      </c>
      <c r="G38" s="6">
        <v>0.104145</v>
      </c>
      <c r="H38" s="15">
        <v>454545.45454545447</v>
      </c>
      <c r="I38" s="15">
        <v>302722.41856525477</v>
      </c>
      <c r="J38" s="15">
        <v>151823.0359801997</v>
      </c>
      <c r="K38" s="15">
        <v>59369.335458805217</v>
      </c>
      <c r="L38" s="15">
        <v>15811.610082157889</v>
      </c>
      <c r="M38" s="15">
        <v>43557.72537664733</v>
      </c>
    </row>
    <row r="39" spans="1:13" x14ac:dyDescent="0.35">
      <c r="A39" s="10" t="s">
        <v>118</v>
      </c>
      <c r="B39" s="10">
        <v>3</v>
      </c>
      <c r="C39" s="11">
        <v>1281.131864</v>
      </c>
      <c r="D39" s="12">
        <v>2.0011700000000001</v>
      </c>
      <c r="E39" s="12">
        <v>0.49970767101245772</v>
      </c>
      <c r="F39" s="13">
        <v>0.36743900000000002</v>
      </c>
      <c r="G39" s="13">
        <v>5.8328666666666668E-2</v>
      </c>
      <c r="H39" s="16">
        <v>454545.45454545447</v>
      </c>
      <c r="I39" s="16">
        <v>303089.37090292358</v>
      </c>
      <c r="J39" s="16">
        <v>151456.08364253101</v>
      </c>
      <c r="K39" s="16">
        <v>55650.871917527933</v>
      </c>
      <c r="L39" s="16">
        <v>8834.2314174239746</v>
      </c>
      <c r="M39" s="16">
        <v>46816.64050010396</v>
      </c>
    </row>
    <row r="40" spans="1:13" x14ac:dyDescent="0.35">
      <c r="A40" s="3" t="s">
        <v>122</v>
      </c>
      <c r="B40" s="3">
        <v>1</v>
      </c>
      <c r="C40" s="4">
        <v>775.17497600000002</v>
      </c>
      <c r="D40" s="5">
        <v>2.9735900000000002</v>
      </c>
      <c r="E40" s="5">
        <v>0.33629384010573082</v>
      </c>
      <c r="F40" s="6">
        <v>0.36703799999999998</v>
      </c>
      <c r="G40" s="6"/>
      <c r="H40" s="15">
        <v>454545.45454545447</v>
      </c>
      <c r="I40" s="15">
        <v>340153.82014294842</v>
      </c>
      <c r="J40" s="15">
        <v>114391.6344025062</v>
      </c>
      <c r="K40" s="15">
        <v>41986.076707827058</v>
      </c>
      <c r="L40" s="15">
        <v>0</v>
      </c>
      <c r="M40" s="15">
        <v>41986.076707827058</v>
      </c>
    </row>
    <row r="41" spans="1:13" x14ac:dyDescent="0.35">
      <c r="A41" s="10" t="s">
        <v>124</v>
      </c>
      <c r="B41" s="10">
        <v>1</v>
      </c>
      <c r="C41" s="11">
        <v>43.377808000000002</v>
      </c>
      <c r="D41" s="12">
        <v>1.9923519999999999</v>
      </c>
      <c r="E41" s="12">
        <v>0.50191933955445622</v>
      </c>
      <c r="F41" s="13">
        <v>0.36307699999999998</v>
      </c>
      <c r="G41" s="13">
        <v>0.18015</v>
      </c>
      <c r="H41" s="16">
        <v>454545.45454545447</v>
      </c>
      <c r="I41" s="16">
        <v>302643.05317507609</v>
      </c>
      <c r="J41" s="16">
        <v>151902.40137037839</v>
      </c>
      <c r="K41" s="16">
        <v>55152.268182352869</v>
      </c>
      <c r="L41" s="16">
        <v>27365.21760687367</v>
      </c>
      <c r="M41" s="16">
        <v>27787.050575479199</v>
      </c>
    </row>
    <row r="42" spans="1:13" x14ac:dyDescent="0.35">
      <c r="A42" s="3" t="s">
        <v>126</v>
      </c>
      <c r="B42" s="3">
        <v>1</v>
      </c>
      <c r="C42" s="4">
        <v>62.770076000000003</v>
      </c>
      <c r="D42" s="5">
        <v>1.9334180000000001</v>
      </c>
      <c r="E42" s="5">
        <v>0.51721872869705354</v>
      </c>
      <c r="F42" s="6">
        <v>0.35206900000000002</v>
      </c>
      <c r="G42" s="6">
        <v>2.8233999999999999E-2</v>
      </c>
      <c r="H42" s="15">
        <v>454545.45454545447</v>
      </c>
      <c r="I42" s="15">
        <v>299591.24940133438</v>
      </c>
      <c r="J42" s="15">
        <v>154954.20514412009</v>
      </c>
      <c r="K42" s="15">
        <v>54554.572050885217</v>
      </c>
      <c r="L42" s="15">
        <v>4374.9770280390867</v>
      </c>
      <c r="M42" s="15">
        <v>50179.59502284613</v>
      </c>
    </row>
    <row r="43" spans="1:13" x14ac:dyDescent="0.35">
      <c r="A43" s="10" t="s">
        <v>128</v>
      </c>
      <c r="B43" s="10">
        <v>1</v>
      </c>
      <c r="C43" s="11">
        <v>11.378818000000001</v>
      </c>
      <c r="D43" s="12">
        <v>2.024181</v>
      </c>
      <c r="E43" s="12">
        <v>0.49402696695601828</v>
      </c>
      <c r="F43" s="13">
        <v>0.34114</v>
      </c>
      <c r="G43" s="13">
        <v>0</v>
      </c>
      <c r="H43" s="16">
        <v>454545.45454545447</v>
      </c>
      <c r="I43" s="16">
        <v>304241.80058246269</v>
      </c>
      <c r="J43" s="16">
        <v>150303.65396299181</v>
      </c>
      <c r="K43" s="16">
        <v>51274.588512935014</v>
      </c>
      <c r="L43" s="16">
        <v>0</v>
      </c>
      <c r="M43" s="16">
        <v>51274.588512935014</v>
      </c>
    </row>
    <row r="44" spans="1:13" x14ac:dyDescent="0.35">
      <c r="A44" s="3" t="s">
        <v>130</v>
      </c>
      <c r="B44" s="3">
        <v>1</v>
      </c>
      <c r="C44" s="4">
        <v>5.4807959999999998</v>
      </c>
      <c r="D44" s="5">
        <v>1.9845390000000001</v>
      </c>
      <c r="E44" s="5">
        <v>0.50389536310447913</v>
      </c>
      <c r="F44" s="6">
        <v>0.33032400000000001</v>
      </c>
      <c r="G44" s="6">
        <v>0.1697239999999999</v>
      </c>
      <c r="H44" s="15">
        <v>454545.45454545447</v>
      </c>
      <c r="I44" s="15">
        <v>302245.3993123165</v>
      </c>
      <c r="J44" s="15">
        <v>152300.055233138</v>
      </c>
      <c r="K44" s="15">
        <v>50308.363444831091</v>
      </c>
      <c r="L44" s="15">
        <v>25848.9745743891</v>
      </c>
      <c r="M44" s="15">
        <v>24459.388870441991</v>
      </c>
    </row>
    <row r="45" spans="1:13" x14ac:dyDescent="0.35">
      <c r="A45" s="10" t="s">
        <v>132</v>
      </c>
      <c r="B45" s="10">
        <v>3</v>
      </c>
      <c r="C45" s="11">
        <v>944.0516879999999</v>
      </c>
      <c r="D45" s="12">
        <v>1.994922333333333</v>
      </c>
      <c r="E45" s="12">
        <v>0.50127264770708702</v>
      </c>
      <c r="F45" s="13">
        <v>0.32849666666666671</v>
      </c>
      <c r="G45" s="13">
        <v>0.14111533333333329</v>
      </c>
      <c r="H45" s="16">
        <v>454545.45454545447</v>
      </c>
      <c r="I45" s="16">
        <v>302773.42043078429</v>
      </c>
      <c r="J45" s="16">
        <v>151772.03411467021</v>
      </c>
      <c r="K45" s="16">
        <v>49856.60729988879</v>
      </c>
      <c r="L45" s="16">
        <v>21417.361184769728</v>
      </c>
      <c r="M45" s="16">
        <v>28439.246115119058</v>
      </c>
    </row>
    <row r="46" spans="1:13" x14ac:dyDescent="0.35">
      <c r="A46" s="3" t="s">
        <v>136</v>
      </c>
      <c r="B46" s="3">
        <v>1</v>
      </c>
      <c r="C46" s="4">
        <v>116.944576</v>
      </c>
      <c r="D46" s="5">
        <v>2.005954</v>
      </c>
      <c r="E46" s="5">
        <v>0.4985159181117812</v>
      </c>
      <c r="F46" s="6">
        <v>0.28358299999999997</v>
      </c>
      <c r="G46" s="6">
        <v>3.1799999999990001E-4</v>
      </c>
      <c r="H46" s="15">
        <v>454545.45454545447</v>
      </c>
      <c r="I46" s="15">
        <v>303330.41447982</v>
      </c>
      <c r="J46" s="15">
        <v>151215.0400656345</v>
      </c>
      <c r="K46" s="15">
        <v>42882.01470693283</v>
      </c>
      <c r="L46" s="15">
        <v>48.086382740856664</v>
      </c>
      <c r="M46" s="15">
        <v>42833.928324191977</v>
      </c>
    </row>
    <row r="47" spans="1:13" x14ac:dyDescent="0.35">
      <c r="A47" s="10" t="s">
        <v>138</v>
      </c>
      <c r="B47" s="10">
        <v>4</v>
      </c>
      <c r="C47" s="11">
        <v>4981.7940280000003</v>
      </c>
      <c r="D47" s="12">
        <v>1.9849755</v>
      </c>
      <c r="E47" s="12">
        <v>0.50378455552725965</v>
      </c>
      <c r="F47" s="13">
        <v>0.27672550000000001</v>
      </c>
      <c r="G47" s="13">
        <v>8.9789500000000008E-2</v>
      </c>
      <c r="H47" s="16">
        <v>454545.45454545447</v>
      </c>
      <c r="I47" s="16">
        <v>302267.67050821381</v>
      </c>
      <c r="J47" s="16">
        <v>152277.78403724069</v>
      </c>
      <c r="K47" s="16">
        <v>42139.145926597463</v>
      </c>
      <c r="L47" s="16">
        <v>13672.94608981183</v>
      </c>
      <c r="M47" s="16">
        <v>28466.199836785639</v>
      </c>
    </row>
    <row r="48" spans="1:13" x14ac:dyDescent="0.35">
      <c r="A48" s="3" t="s">
        <v>143</v>
      </c>
      <c r="B48" s="3">
        <v>1</v>
      </c>
      <c r="C48" s="4">
        <v>22.249967999999999</v>
      </c>
      <c r="D48" s="5">
        <v>2.0451649999999999</v>
      </c>
      <c r="E48" s="5">
        <v>0.48895810362489089</v>
      </c>
      <c r="F48" s="6">
        <v>0.27112999999999998</v>
      </c>
      <c r="G48" s="6">
        <v>8.2693999999999906E-2</v>
      </c>
      <c r="H48" s="15">
        <v>454545.45454545447</v>
      </c>
      <c r="I48" s="15">
        <v>305277.53161009488</v>
      </c>
      <c r="J48" s="15">
        <v>149267.92293535959</v>
      </c>
      <c r="K48" s="15">
        <v>40471.011945464059</v>
      </c>
      <c r="L48" s="15">
        <v>12343.56161921662</v>
      </c>
      <c r="M48" s="15">
        <v>28127.450326247439</v>
      </c>
    </row>
    <row r="49" spans="1:13" x14ac:dyDescent="0.35">
      <c r="A49" s="10" t="s">
        <v>145</v>
      </c>
      <c r="B49" s="10">
        <v>1</v>
      </c>
      <c r="C49" s="11">
        <v>23.880984000000002</v>
      </c>
      <c r="D49" s="12">
        <v>1.996893</v>
      </c>
      <c r="E49" s="12">
        <v>0.50077795855862084</v>
      </c>
      <c r="F49" s="13">
        <v>0.26372899999999999</v>
      </c>
      <c r="G49" s="13">
        <v>0.18851799999999999</v>
      </c>
      <c r="H49" s="16">
        <v>454545.45454545447</v>
      </c>
      <c r="I49" s="16">
        <v>302873.22115392052</v>
      </c>
      <c r="J49" s="16">
        <v>151672.23339153401</v>
      </c>
      <c r="K49" s="16">
        <v>40000.366440115868</v>
      </c>
      <c r="L49" s="16">
        <v>28592.946094505209</v>
      </c>
      <c r="M49" s="16">
        <v>11407.42034561067</v>
      </c>
    </row>
    <row r="50" spans="1:13" x14ac:dyDescent="0.35">
      <c r="A50" s="3" t="s">
        <v>147</v>
      </c>
      <c r="B50" s="3">
        <v>2</v>
      </c>
      <c r="C50" s="4">
        <v>58.851692</v>
      </c>
      <c r="D50" s="5">
        <v>1.9848185</v>
      </c>
      <c r="E50" s="5">
        <v>0.50382440510303583</v>
      </c>
      <c r="F50" s="6">
        <v>0.25905899999999987</v>
      </c>
      <c r="G50" s="6">
        <v>7.1401999999999993E-2</v>
      </c>
      <c r="H50" s="15">
        <v>454545.45454545447</v>
      </c>
      <c r="I50" s="15">
        <v>302259.66077090701</v>
      </c>
      <c r="J50" s="15">
        <v>152285.79377454761</v>
      </c>
      <c r="K50" s="15">
        <v>39451.005449440512</v>
      </c>
      <c r="L50" s="15">
        <v>10873.510247090249</v>
      </c>
      <c r="M50" s="15">
        <v>28577.49520235027</v>
      </c>
    </row>
    <row r="51" spans="1:13" x14ac:dyDescent="0.35">
      <c r="A51" s="10" t="s">
        <v>150</v>
      </c>
      <c r="B51" s="10">
        <v>1</v>
      </c>
      <c r="C51" s="11">
        <v>31.513082000000001</v>
      </c>
      <c r="D51" s="12">
        <v>1.9928539999999999</v>
      </c>
      <c r="E51" s="12">
        <v>0.5017929060533286</v>
      </c>
      <c r="F51" s="13">
        <v>0.25663599999999998</v>
      </c>
      <c r="G51" s="13">
        <v>4.3539999999999898E-2</v>
      </c>
      <c r="H51" s="16">
        <v>454545.45454545447</v>
      </c>
      <c r="I51" s="16">
        <v>302668.53220127919</v>
      </c>
      <c r="J51" s="16">
        <v>151876.92234417531</v>
      </c>
      <c r="K51" s="16">
        <v>38977.085842719782</v>
      </c>
      <c r="L51" s="16">
        <v>6612.7211988653789</v>
      </c>
      <c r="M51" s="16">
        <v>32364.364643854398</v>
      </c>
    </row>
    <row r="52" spans="1:13" x14ac:dyDescent="0.35">
      <c r="A52" s="3" t="s">
        <v>152</v>
      </c>
      <c r="B52" s="3">
        <v>1</v>
      </c>
      <c r="C52" s="4">
        <v>5.7546530000000002</v>
      </c>
      <c r="D52" s="5">
        <v>2.026284</v>
      </c>
      <c r="E52" s="5">
        <v>0.49351423591164911</v>
      </c>
      <c r="F52" s="6">
        <v>0.25139400000000001</v>
      </c>
      <c r="G52" s="6">
        <v>0.29820000000000002</v>
      </c>
      <c r="H52" s="15">
        <v>454545.45454545447</v>
      </c>
      <c r="I52" s="15">
        <v>304346.24834225129</v>
      </c>
      <c r="J52" s="15">
        <v>150199.20620320321</v>
      </c>
      <c r="K52" s="15">
        <v>37759.179244248058</v>
      </c>
      <c r="L52" s="15">
        <v>44789.403289795191</v>
      </c>
      <c r="M52" s="15">
        <v>-7030.2240455471328</v>
      </c>
    </row>
    <row r="53" spans="1:13" x14ac:dyDescent="0.35">
      <c r="A53" s="10" t="s">
        <v>154</v>
      </c>
      <c r="B53" s="10">
        <v>3</v>
      </c>
      <c r="C53" s="11">
        <v>228.14725200000001</v>
      </c>
      <c r="D53" s="12">
        <v>1.992623</v>
      </c>
      <c r="E53" s="12">
        <v>0.50185107770009685</v>
      </c>
      <c r="F53" s="13">
        <v>0.23470366666666659</v>
      </c>
      <c r="G53" s="13">
        <v>7.8378666666666666E-2</v>
      </c>
      <c r="H53" s="16">
        <v>454545.45454545447</v>
      </c>
      <c r="I53" s="16">
        <v>302656.80885053921</v>
      </c>
      <c r="J53" s="16">
        <v>151888.64569491529</v>
      </c>
      <c r="K53" s="16">
        <v>35648.822069630827</v>
      </c>
      <c r="L53" s="16">
        <v>11904.8295313732</v>
      </c>
      <c r="M53" s="16">
        <v>23743.992538257629</v>
      </c>
    </row>
    <row r="54" spans="1:13" x14ac:dyDescent="0.35">
      <c r="A54" s="3" t="s">
        <v>158</v>
      </c>
      <c r="B54" s="3">
        <v>1</v>
      </c>
      <c r="C54" s="4">
        <v>20.725899999999999</v>
      </c>
      <c r="D54" s="5">
        <v>1.9952810000000001</v>
      </c>
      <c r="E54" s="5">
        <v>0.50118254020361042</v>
      </c>
      <c r="F54" s="6">
        <v>0.22823599999999999</v>
      </c>
      <c r="G54" s="6">
        <v>0</v>
      </c>
      <c r="H54" s="15">
        <v>454545.45454545447</v>
      </c>
      <c r="I54" s="15">
        <v>302791.5942079922</v>
      </c>
      <c r="J54" s="15">
        <v>151753.86033746231</v>
      </c>
      <c r="K54" s="15">
        <v>34635.69406798105</v>
      </c>
      <c r="L54" s="15">
        <v>0</v>
      </c>
      <c r="M54" s="15">
        <v>34635.69406798105</v>
      </c>
    </row>
    <row r="55" spans="1:13" x14ac:dyDescent="0.35">
      <c r="A55" s="10" t="s">
        <v>160</v>
      </c>
      <c r="B55" s="10">
        <v>1</v>
      </c>
      <c r="C55" s="11">
        <v>26.105556</v>
      </c>
      <c r="D55" s="12">
        <v>1.9835130000000001</v>
      </c>
      <c r="E55" s="12">
        <v>0.50415601006900379</v>
      </c>
      <c r="F55" s="13">
        <v>0.21501999999999999</v>
      </c>
      <c r="G55" s="13">
        <v>2.3223999999999901E-2</v>
      </c>
      <c r="H55" s="16">
        <v>454545.45454545447</v>
      </c>
      <c r="I55" s="16">
        <v>302193.0248608999</v>
      </c>
      <c r="J55" s="16">
        <v>152352.42968455461</v>
      </c>
      <c r="K55" s="16">
        <v>32758.819430772939</v>
      </c>
      <c r="L55" s="16">
        <v>3538.2328269940822</v>
      </c>
      <c r="M55" s="16">
        <v>29220.586603778851</v>
      </c>
    </row>
    <row r="56" spans="1:13" x14ac:dyDescent="0.35">
      <c r="A56" s="3" t="s">
        <v>162</v>
      </c>
      <c r="B56" s="3">
        <v>1</v>
      </c>
      <c r="C56" s="4">
        <v>157.95272</v>
      </c>
      <c r="D56" s="5">
        <v>1.9964120000000001</v>
      </c>
      <c r="E56" s="5">
        <v>0.50089861211012554</v>
      </c>
      <c r="F56" s="6">
        <v>0.21498600000000001</v>
      </c>
      <c r="G56" s="6">
        <v>6.2350000000000003E-2</v>
      </c>
      <c r="H56" s="15">
        <v>454545.45454545447</v>
      </c>
      <c r="I56" s="15">
        <v>302848.87391987478</v>
      </c>
      <c r="J56" s="15">
        <v>151696.58062557969</v>
      </c>
      <c r="K56" s="15">
        <v>32612.641082370879</v>
      </c>
      <c r="L56" s="15">
        <v>9458.2818020048944</v>
      </c>
      <c r="M56" s="15">
        <v>23154.359280365981</v>
      </c>
    </row>
    <row r="57" spans="1:13" x14ac:dyDescent="0.35">
      <c r="A57" s="10" t="s">
        <v>164</v>
      </c>
      <c r="B57" s="10">
        <v>1</v>
      </c>
      <c r="C57" s="11">
        <v>31.075612</v>
      </c>
      <c r="D57" s="12">
        <v>2.9575480000000001</v>
      </c>
      <c r="E57" s="12">
        <v>0.33811792741825319</v>
      </c>
      <c r="F57" s="13">
        <v>0.21098900000000001</v>
      </c>
      <c r="G57" s="13">
        <v>8.0337999999999896E-2</v>
      </c>
      <c r="H57" s="16">
        <v>454545.45454545447</v>
      </c>
      <c r="I57" s="16">
        <v>339690.1313641679</v>
      </c>
      <c r="J57" s="16">
        <v>114855.3231812866</v>
      </c>
      <c r="K57" s="16">
        <v>24233.209782696489</v>
      </c>
      <c r="L57" s="16">
        <v>9227.246953738193</v>
      </c>
      <c r="M57" s="16">
        <v>15005.962828958291</v>
      </c>
    </row>
    <row r="58" spans="1:13" x14ac:dyDescent="0.35">
      <c r="A58" s="3" t="s">
        <v>166</v>
      </c>
      <c r="B58" s="3">
        <v>1</v>
      </c>
      <c r="C58" s="4">
        <v>909.680384</v>
      </c>
      <c r="D58" s="5">
        <v>1.974065</v>
      </c>
      <c r="E58" s="5">
        <v>0.50656893263393055</v>
      </c>
      <c r="F58" s="6">
        <v>0.19334299999999999</v>
      </c>
      <c r="G58" s="6">
        <v>4.9135999999999999E-2</v>
      </c>
      <c r="H58" s="15">
        <v>454545.45454545447</v>
      </c>
      <c r="I58" s="15">
        <v>301709.03215877007</v>
      </c>
      <c r="J58" s="15">
        <v>152836.42238668451</v>
      </c>
      <c r="K58" s="15">
        <v>29549.852413508728</v>
      </c>
      <c r="L58" s="15">
        <v>7509.7704503921268</v>
      </c>
      <c r="M58" s="15">
        <v>22040.081963116609</v>
      </c>
    </row>
    <row r="59" spans="1:13" x14ac:dyDescent="0.35">
      <c r="A59" s="10" t="s">
        <v>168</v>
      </c>
      <c r="B59" s="10">
        <v>1</v>
      </c>
      <c r="C59" s="11">
        <v>93.080656000000005</v>
      </c>
      <c r="D59" s="12">
        <v>1.990005</v>
      </c>
      <c r="E59" s="12">
        <v>0.50251130022286372</v>
      </c>
      <c r="F59" s="13">
        <v>0.18690799999999999</v>
      </c>
      <c r="G59" s="13">
        <v>4.4021999999999999E-2</v>
      </c>
      <c r="H59" s="16">
        <v>454545.45454545447</v>
      </c>
      <c r="I59" s="16">
        <v>302523.81760991277</v>
      </c>
      <c r="J59" s="16">
        <v>152021.6369355417</v>
      </c>
      <c r="K59" s="16">
        <v>28414.060116348232</v>
      </c>
      <c r="L59" s="16">
        <v>6692.2965011764163</v>
      </c>
      <c r="M59" s="16">
        <v>21721.763615171811</v>
      </c>
    </row>
    <row r="60" spans="1:13" x14ac:dyDescent="0.35">
      <c r="A60" s="3" t="s">
        <v>170</v>
      </c>
      <c r="B60" s="3">
        <v>1</v>
      </c>
      <c r="C60" s="4">
        <v>220.41977600000001</v>
      </c>
      <c r="D60" s="5">
        <v>1.9873590000000001</v>
      </c>
      <c r="E60" s="5">
        <v>0.50318035141109374</v>
      </c>
      <c r="F60" s="6">
        <v>0.17913699999999999</v>
      </c>
      <c r="G60" s="6">
        <v>1.03279999999999E-2</v>
      </c>
      <c r="H60" s="15">
        <v>454545.45454545447</v>
      </c>
      <c r="I60" s="15">
        <v>302389.16715399793</v>
      </c>
      <c r="J60" s="15">
        <v>152156.2873914566</v>
      </c>
      <c r="K60" s="15">
        <v>27256.820854443358</v>
      </c>
      <c r="L60" s="15">
        <v>1571.470136178948</v>
      </c>
      <c r="M60" s="15">
        <v>25685.35071826441</v>
      </c>
    </row>
    <row r="61" spans="1:13" x14ac:dyDescent="0.35">
      <c r="A61" s="10" t="s">
        <v>172</v>
      </c>
      <c r="B61" s="10">
        <v>1</v>
      </c>
      <c r="C61" s="11">
        <v>15.904439</v>
      </c>
      <c r="D61" s="12">
        <v>1.9790300000000001</v>
      </c>
      <c r="E61" s="12">
        <v>0.50529805005482487</v>
      </c>
      <c r="F61" s="13">
        <v>0.16997799999999999</v>
      </c>
      <c r="G61" s="13">
        <v>0.154754</v>
      </c>
      <c r="H61" s="16">
        <v>454545.45454545447</v>
      </c>
      <c r="I61" s="16">
        <v>301963.75696421007</v>
      </c>
      <c r="J61" s="16">
        <v>152581.69758124449</v>
      </c>
      <c r="K61" s="16">
        <v>25935.531791464771</v>
      </c>
      <c r="L61" s="16">
        <v>23612.62802748791</v>
      </c>
      <c r="M61" s="16">
        <v>2322.9037639768608</v>
      </c>
    </row>
    <row r="62" spans="1:13" x14ac:dyDescent="0.35">
      <c r="A62" s="3" t="s">
        <v>174</v>
      </c>
      <c r="B62" s="3">
        <v>2</v>
      </c>
      <c r="C62" s="4">
        <v>1158.5455159999999</v>
      </c>
      <c r="D62" s="5">
        <v>1.9877324999999999</v>
      </c>
      <c r="E62" s="5">
        <v>0.50308580254133795</v>
      </c>
      <c r="F62" s="6">
        <v>0.16884250000000001</v>
      </c>
      <c r="G62" s="6">
        <v>3.1300999999999947E-2</v>
      </c>
      <c r="H62" s="15">
        <v>454545.45454545447</v>
      </c>
      <c r="I62" s="15">
        <v>302408.18839279382</v>
      </c>
      <c r="J62" s="15">
        <v>152137.2661526608</v>
      </c>
      <c r="K62" s="15">
        <v>25687.23636038063</v>
      </c>
      <c r="L62" s="15">
        <v>4762.0485678444275</v>
      </c>
      <c r="M62" s="15">
        <v>20925.187792536199</v>
      </c>
    </row>
    <row r="63" spans="1:13" x14ac:dyDescent="0.35">
      <c r="A63" s="10" t="s">
        <v>177</v>
      </c>
      <c r="B63" s="10">
        <v>1</v>
      </c>
      <c r="C63" s="11">
        <v>1154.738304</v>
      </c>
      <c r="D63" s="12">
        <v>2.9309099999999999</v>
      </c>
      <c r="E63" s="12">
        <v>0.34119096116905667</v>
      </c>
      <c r="F63" s="13">
        <v>0.16804499999999989</v>
      </c>
      <c r="G63" s="13">
        <v>0.195302</v>
      </c>
      <c r="H63" s="16">
        <v>454545.45454545447</v>
      </c>
      <c r="I63" s="16">
        <v>338911.8087623014</v>
      </c>
      <c r="J63" s="16">
        <v>115633.6457831531</v>
      </c>
      <c r="K63" s="16">
        <v>19431.65600562995</v>
      </c>
      <c r="L63" s="16">
        <v>22583.482288741368</v>
      </c>
      <c r="M63" s="16">
        <v>-3151.8262831114189</v>
      </c>
    </row>
    <row r="64" spans="1:13" x14ac:dyDescent="0.35">
      <c r="A64" s="3" t="s">
        <v>179</v>
      </c>
      <c r="B64" s="3">
        <v>1</v>
      </c>
      <c r="C64" s="4">
        <v>8.4812390000000004</v>
      </c>
      <c r="D64" s="5">
        <v>1.9962839999999999</v>
      </c>
      <c r="E64" s="5">
        <v>0.50093072929503013</v>
      </c>
      <c r="F64" s="6">
        <v>0.167494</v>
      </c>
      <c r="G64" s="6">
        <v>0.17777000000000001</v>
      </c>
      <c r="H64" s="15">
        <v>454545.45454545447</v>
      </c>
      <c r="I64" s="15">
        <v>302842.3935053614</v>
      </c>
      <c r="J64" s="15">
        <v>151703.0610400931</v>
      </c>
      <c r="K64" s="15">
        <v>25409.352505849361</v>
      </c>
      <c r="L64" s="15">
        <v>26968.25316109736</v>
      </c>
      <c r="M64" s="15">
        <v>-1558.900655247995</v>
      </c>
    </row>
    <row r="65" spans="1:13" x14ac:dyDescent="0.35">
      <c r="A65" s="10" t="s">
        <v>181</v>
      </c>
      <c r="B65" s="10">
        <v>1</v>
      </c>
      <c r="C65" s="11">
        <v>17.954478000000002</v>
      </c>
      <c r="D65" s="12">
        <v>1.985717</v>
      </c>
      <c r="E65" s="12">
        <v>0.50359643393293207</v>
      </c>
      <c r="F65" s="13">
        <v>0.16534199999999999</v>
      </c>
      <c r="G65" s="13">
        <v>0.20951399999999989</v>
      </c>
      <c r="H65" s="16">
        <v>454545.45454545447</v>
      </c>
      <c r="I65" s="16">
        <v>302305.48855220922</v>
      </c>
      <c r="J65" s="16">
        <v>152239.96599324539</v>
      </c>
      <c r="K65" s="16">
        <v>25171.66045725517</v>
      </c>
      <c r="L65" s="16">
        <v>31896.404235108788</v>
      </c>
      <c r="M65" s="16">
        <v>-6724.7437778536187</v>
      </c>
    </row>
    <row r="66" spans="1:13" x14ac:dyDescent="0.35">
      <c r="A66" s="3" t="s">
        <v>183</v>
      </c>
      <c r="B66" s="3">
        <v>2</v>
      </c>
      <c r="C66" s="4">
        <v>608.64564799999994</v>
      </c>
      <c r="D66" s="5">
        <v>1.9980325000000001</v>
      </c>
      <c r="E66" s="5">
        <v>0.50049235935851899</v>
      </c>
      <c r="F66" s="6">
        <v>0.15752650000000001</v>
      </c>
      <c r="G66" s="6">
        <v>6.7878999999999953E-2</v>
      </c>
      <c r="H66" s="15">
        <v>454545.45454545447</v>
      </c>
      <c r="I66" s="15">
        <v>302930.86913136888</v>
      </c>
      <c r="J66" s="15">
        <v>151614.5854140856</v>
      </c>
      <c r="K66" s="15">
        <v>23883.314989231949</v>
      </c>
      <c r="L66" s="15">
        <v>10291.446443322709</v>
      </c>
      <c r="M66" s="15">
        <v>13591.868545909239</v>
      </c>
    </row>
    <row r="67" spans="1:13" x14ac:dyDescent="0.35">
      <c r="A67" s="10" t="s">
        <v>186</v>
      </c>
      <c r="B67" s="10">
        <v>2</v>
      </c>
      <c r="C67" s="11">
        <v>434.79087600000003</v>
      </c>
      <c r="D67" s="12">
        <v>1.9895240000000001</v>
      </c>
      <c r="E67" s="12">
        <v>0.50263279055693733</v>
      </c>
      <c r="F67" s="13">
        <v>0.15116499999999999</v>
      </c>
      <c r="G67" s="13">
        <v>4.3357999999999987E-2</v>
      </c>
      <c r="H67" s="16">
        <v>454545.45454545447</v>
      </c>
      <c r="I67" s="16">
        <v>302499.35806138063</v>
      </c>
      <c r="J67" s="16">
        <v>152046.09648407399</v>
      </c>
      <c r="K67" s="16">
        <v>22984.048175015039</v>
      </c>
      <c r="L67" s="16">
        <v>6592.4146513564783</v>
      </c>
      <c r="M67" s="16">
        <v>16391.633523658558</v>
      </c>
    </row>
    <row r="68" spans="1:13" x14ac:dyDescent="0.35">
      <c r="A68" s="3" t="s">
        <v>189</v>
      </c>
      <c r="B68" s="3">
        <v>1</v>
      </c>
      <c r="C68" s="4">
        <v>12.858961000000001</v>
      </c>
      <c r="D68" s="5">
        <v>2.005776</v>
      </c>
      <c r="E68" s="5">
        <v>0.49856015826293659</v>
      </c>
      <c r="F68" s="6">
        <v>0.15060599999999999</v>
      </c>
      <c r="G68" s="6">
        <v>8.2554000000000002E-2</v>
      </c>
      <c r="H68" s="15">
        <v>454545.45454545447</v>
      </c>
      <c r="I68" s="15">
        <v>303321.4596285164</v>
      </c>
      <c r="J68" s="15">
        <v>151223.9949169381</v>
      </c>
      <c r="K68" s="15">
        <v>22775.240978460381</v>
      </c>
      <c r="L68" s="15">
        <v>12484.145676372909</v>
      </c>
      <c r="M68" s="15">
        <v>10291.095302087469</v>
      </c>
    </row>
    <row r="69" spans="1:13" x14ac:dyDescent="0.35">
      <c r="A69" s="10" t="s">
        <v>191</v>
      </c>
      <c r="B69" s="10">
        <v>1</v>
      </c>
      <c r="C69" s="11">
        <v>33.660268000000002</v>
      </c>
      <c r="D69" s="12">
        <v>1.984356</v>
      </c>
      <c r="E69" s="12">
        <v>0.50394183301786577</v>
      </c>
      <c r="F69" s="13">
        <v>0.14985399999999999</v>
      </c>
      <c r="G69" s="13">
        <v>0.12789800000000001</v>
      </c>
      <c r="H69" s="16">
        <v>454545.45454545447</v>
      </c>
      <c r="I69" s="16">
        <v>302236.06030915881</v>
      </c>
      <c r="J69" s="16">
        <v>152309.39423629569</v>
      </c>
      <c r="K69" s="16">
        <v>22824.171963885859</v>
      </c>
      <c r="L69" s="16">
        <v>19480.066904033749</v>
      </c>
      <c r="M69" s="16">
        <v>3344.1050598521028</v>
      </c>
    </row>
    <row r="70" spans="1:13" x14ac:dyDescent="0.35">
      <c r="A70" s="3" t="s">
        <v>193</v>
      </c>
      <c r="B70" s="3">
        <v>1</v>
      </c>
      <c r="C70" s="4">
        <v>41.118948000000003</v>
      </c>
      <c r="D70" s="5">
        <v>2.0545369999999998</v>
      </c>
      <c r="E70" s="5">
        <v>0.48672766662269901</v>
      </c>
      <c r="F70" s="6">
        <v>0.147615</v>
      </c>
      <c r="G70" s="6">
        <v>0.22870599999999999</v>
      </c>
      <c r="H70" s="15">
        <v>454545.45454545447</v>
      </c>
      <c r="I70" s="15">
        <v>305735.51885128731</v>
      </c>
      <c r="J70" s="15">
        <v>148809.9356941673</v>
      </c>
      <c r="K70" s="15">
        <v>21966.578657494501</v>
      </c>
      <c r="L70" s="15">
        <v>34033.725152870218</v>
      </c>
      <c r="M70" s="15">
        <v>-12067.14649537572</v>
      </c>
    </row>
    <row r="71" spans="1:13" x14ac:dyDescent="0.35">
      <c r="A71" s="10" t="s">
        <v>195</v>
      </c>
      <c r="B71" s="10">
        <v>1</v>
      </c>
      <c r="C71" s="11">
        <v>30.132632000000001</v>
      </c>
      <c r="D71" s="12">
        <v>1.9966680000000001</v>
      </c>
      <c r="E71" s="12">
        <v>0.50083439009389641</v>
      </c>
      <c r="F71" s="13">
        <v>0.13983899999999999</v>
      </c>
      <c r="G71" s="13">
        <v>0.24157000000000001</v>
      </c>
      <c r="H71" s="16">
        <v>454545.45454545447</v>
      </c>
      <c r="I71" s="16">
        <v>302861.83308807103</v>
      </c>
      <c r="J71" s="16">
        <v>151683.6214573835</v>
      </c>
      <c r="K71" s="16">
        <v>21211.285940979051</v>
      </c>
      <c r="L71" s="16">
        <v>36642.212435460133</v>
      </c>
      <c r="M71" s="16">
        <v>-15430.92649448108</v>
      </c>
    </row>
    <row r="72" spans="1:13" x14ac:dyDescent="0.35">
      <c r="A72" s="3" t="s">
        <v>197</v>
      </c>
      <c r="B72" s="3">
        <v>1</v>
      </c>
      <c r="C72" s="4">
        <v>15.538971</v>
      </c>
      <c r="D72" s="5">
        <v>1.991371</v>
      </c>
      <c r="E72" s="5">
        <v>0.50216659778614836</v>
      </c>
      <c r="F72" s="6">
        <v>0.1337269999999999</v>
      </c>
      <c r="G72" s="6">
        <v>0.14011000000000001</v>
      </c>
      <c r="H72" s="15">
        <v>454545.45454545447</v>
      </c>
      <c r="I72" s="15">
        <v>302593.23780421627</v>
      </c>
      <c r="J72" s="15">
        <v>151952.21674123831</v>
      </c>
      <c r="K72" s="15">
        <v>20320.114088155551</v>
      </c>
      <c r="L72" s="15">
        <v>21290.025087614889</v>
      </c>
      <c r="M72" s="15">
        <v>-969.9109994593382</v>
      </c>
    </row>
    <row r="73" spans="1:13" x14ac:dyDescent="0.35">
      <c r="A73" s="10" t="s">
        <v>199</v>
      </c>
      <c r="B73" s="10">
        <v>1</v>
      </c>
      <c r="C73" s="11">
        <v>31.777324</v>
      </c>
      <c r="D73" s="12">
        <v>1.9948999999999999</v>
      </c>
      <c r="E73" s="12">
        <v>0.50127825956188288</v>
      </c>
      <c r="F73" s="13">
        <v>0.129853</v>
      </c>
      <c r="G73" s="13">
        <v>0.17558599999999999</v>
      </c>
      <c r="H73" s="16">
        <v>454545.45454545447</v>
      </c>
      <c r="I73" s="16">
        <v>302772.28864827781</v>
      </c>
      <c r="J73" s="16">
        <v>151773.16589717669</v>
      </c>
      <c r="K73" s="16">
        <v>19708.200911246091</v>
      </c>
      <c r="L73" s="16">
        <v>26649.243107221671</v>
      </c>
      <c r="M73" s="16">
        <v>-6941.042195975584</v>
      </c>
    </row>
    <row r="74" spans="1:13" x14ac:dyDescent="0.35">
      <c r="A74" s="3" t="s">
        <v>201</v>
      </c>
      <c r="B74" s="3">
        <v>1</v>
      </c>
      <c r="C74" s="4">
        <v>19.462004</v>
      </c>
      <c r="D74" s="5">
        <v>1.987357</v>
      </c>
      <c r="E74" s="5">
        <v>0.50318085779253552</v>
      </c>
      <c r="F74" s="6">
        <v>0.121893</v>
      </c>
      <c r="G74" s="6">
        <v>7.2218000000000004E-2</v>
      </c>
      <c r="H74" s="15">
        <v>454545.45454545447</v>
      </c>
      <c r="I74" s="15">
        <v>302389.06528717221</v>
      </c>
      <c r="J74" s="15">
        <v>152156.3892582824</v>
      </c>
      <c r="K74" s="15">
        <v>18546.798755859811</v>
      </c>
      <c r="L74" s="15">
        <v>10988.430119454641</v>
      </c>
      <c r="M74" s="15">
        <v>7558.3686364051773</v>
      </c>
    </row>
    <row r="75" spans="1:13" x14ac:dyDescent="0.35">
      <c r="A75" s="10" t="s">
        <v>203</v>
      </c>
      <c r="B75" s="10">
        <v>3</v>
      </c>
      <c r="C75" s="11">
        <v>743.08863999999994</v>
      </c>
      <c r="D75" s="12">
        <v>1.996675666666667</v>
      </c>
      <c r="E75" s="12">
        <v>0.50083246703228557</v>
      </c>
      <c r="F75" s="13">
        <v>0.1193253333333333</v>
      </c>
      <c r="G75" s="13">
        <v>4.3603999999999969E-2</v>
      </c>
      <c r="H75" s="16">
        <v>454545.45454545447</v>
      </c>
      <c r="I75" s="16">
        <v>302862.22115401272</v>
      </c>
      <c r="J75" s="16">
        <v>151683.2333914419</v>
      </c>
      <c r="K75" s="16">
        <v>18099.652385511588</v>
      </c>
      <c r="L75" s="16">
        <v>6613.9957088004267</v>
      </c>
      <c r="M75" s="16">
        <v>11485.656676711171</v>
      </c>
    </row>
    <row r="76" spans="1:13" x14ac:dyDescent="0.35">
      <c r="A76" s="3" t="s">
        <v>207</v>
      </c>
      <c r="B76" s="3">
        <v>1</v>
      </c>
      <c r="C76" s="4">
        <v>130.975336</v>
      </c>
      <c r="D76" s="5">
        <v>1.9666300000000001</v>
      </c>
      <c r="E76" s="5">
        <v>0.50848405648240902</v>
      </c>
      <c r="F76" s="6">
        <v>0.11021599999999999</v>
      </c>
      <c r="G76" s="6">
        <v>7.5240000000000003E-3</v>
      </c>
      <c r="H76" s="15">
        <v>454545.45454545447</v>
      </c>
      <c r="I76" s="15">
        <v>301325.99187385262</v>
      </c>
      <c r="J76" s="15">
        <v>153219.462671602</v>
      </c>
      <c r="K76" s="15">
        <v>16887.236297813281</v>
      </c>
      <c r="L76" s="15">
        <v>1152.8232371411329</v>
      </c>
      <c r="M76" s="15">
        <v>15734.41306067215</v>
      </c>
    </row>
    <row r="77" spans="1:13" x14ac:dyDescent="0.35">
      <c r="A77" s="10" t="s">
        <v>209</v>
      </c>
      <c r="B77" s="10">
        <v>1</v>
      </c>
      <c r="C77" s="11">
        <v>33.504691999999999</v>
      </c>
      <c r="D77" s="12">
        <v>1.9964740000000001</v>
      </c>
      <c r="E77" s="12">
        <v>0.50088305682918988</v>
      </c>
      <c r="F77" s="13">
        <v>0.10756099999999991</v>
      </c>
      <c r="G77" s="13">
        <v>0.144618</v>
      </c>
      <c r="H77" s="16">
        <v>454545.45454545447</v>
      </c>
      <c r="I77" s="16">
        <v>302852.01267162059</v>
      </c>
      <c r="J77" s="16">
        <v>151693.44187383389</v>
      </c>
      <c r="K77" s="16">
        <v>16316.298301391431</v>
      </c>
      <c r="L77" s="16">
        <v>21937.60217691011</v>
      </c>
      <c r="M77" s="16">
        <v>-5621.3038755186772</v>
      </c>
    </row>
    <row r="78" spans="1:13" x14ac:dyDescent="0.35">
      <c r="A78" s="3" t="s">
        <v>211</v>
      </c>
      <c r="B78" s="3">
        <v>1</v>
      </c>
      <c r="C78" s="4">
        <v>314.59670399999999</v>
      </c>
      <c r="D78" s="5">
        <v>1.9883660000000001</v>
      </c>
      <c r="E78" s="5">
        <v>0.50292551773667427</v>
      </c>
      <c r="F78" s="6">
        <v>0.102551</v>
      </c>
      <c r="G78" s="6"/>
      <c r="H78" s="15">
        <v>454545.45454545447</v>
      </c>
      <c r="I78" s="15">
        <v>302440.4397830544</v>
      </c>
      <c r="J78" s="15">
        <v>152105.0147624001</v>
      </c>
      <c r="K78" s="15">
        <v>15598.521368898901</v>
      </c>
      <c r="L78" s="15">
        <v>0</v>
      </c>
      <c r="M78" s="15">
        <v>15598.521368898901</v>
      </c>
    </row>
    <row r="79" spans="1:13" x14ac:dyDescent="0.35">
      <c r="A79" s="10" t="s">
        <v>213</v>
      </c>
      <c r="B79" s="10">
        <v>1</v>
      </c>
      <c r="C79" s="11">
        <v>296.02287999999999</v>
      </c>
      <c r="D79" s="12">
        <v>2.010751</v>
      </c>
      <c r="E79" s="12">
        <v>0.49732662075015749</v>
      </c>
      <c r="F79" s="13">
        <v>0.101285</v>
      </c>
      <c r="G79" s="13">
        <v>4.1647999999999998E-2</v>
      </c>
      <c r="H79" s="16">
        <v>454545.45454545447</v>
      </c>
      <c r="I79" s="16">
        <v>303571.34391808801</v>
      </c>
      <c r="J79" s="16">
        <v>150974.11062736661</v>
      </c>
      <c r="K79" s="16">
        <v>15291.41279489282</v>
      </c>
      <c r="L79" s="16">
        <v>6287.769759408563</v>
      </c>
      <c r="M79" s="16">
        <v>9003.6430354842596</v>
      </c>
    </row>
    <row r="80" spans="1:13" x14ac:dyDescent="0.35">
      <c r="A80" s="3" t="s">
        <v>215</v>
      </c>
      <c r="B80" s="3">
        <v>1</v>
      </c>
      <c r="C80" s="4">
        <v>8.5518110000000007</v>
      </c>
      <c r="D80" s="5">
        <v>2.0118290000000001</v>
      </c>
      <c r="E80" s="5">
        <v>0.49706013781489378</v>
      </c>
      <c r="F80" s="6">
        <v>7.4117999999999906E-2</v>
      </c>
      <c r="G80" s="6">
        <v>0.26377800000000001</v>
      </c>
      <c r="H80" s="15">
        <v>454545.45454545447</v>
      </c>
      <c r="I80" s="15">
        <v>303625.38088076288</v>
      </c>
      <c r="J80" s="15">
        <v>150920.07366469159</v>
      </c>
      <c r="K80" s="15">
        <v>11185.894019879601</v>
      </c>
      <c r="L80" s="15">
        <v>39809.395191125033</v>
      </c>
      <c r="M80" s="15">
        <v>-28623.501171245429</v>
      </c>
    </row>
    <row r="81" spans="1:13" x14ac:dyDescent="0.35">
      <c r="A81" s="10" t="s">
        <v>217</v>
      </c>
      <c r="B81" s="10">
        <v>1</v>
      </c>
      <c r="C81" s="11">
        <v>10.298233</v>
      </c>
      <c r="D81" s="12">
        <v>1.968812</v>
      </c>
      <c r="E81" s="12">
        <v>0.50792051247148029</v>
      </c>
      <c r="F81" s="13">
        <v>5.79939999999999E-2</v>
      </c>
      <c r="G81" s="13">
        <v>6.6806000000000004E-2</v>
      </c>
      <c r="H81" s="16">
        <v>454545.45454545447</v>
      </c>
      <c r="I81" s="16">
        <v>301438.60421425989</v>
      </c>
      <c r="J81" s="16">
        <v>153106.85033119461</v>
      </c>
      <c r="K81" s="16">
        <v>8879.2786781072864</v>
      </c>
      <c r="L81" s="16">
        <v>10228.45624322579</v>
      </c>
      <c r="M81" s="16">
        <v>-1349.177565118503</v>
      </c>
    </row>
    <row r="82" spans="1:13" x14ac:dyDescent="0.35">
      <c r="A82" s="3" t="s">
        <v>219</v>
      </c>
      <c r="B82" s="3">
        <v>1</v>
      </c>
      <c r="C82" s="4">
        <v>25.819420000000001</v>
      </c>
      <c r="D82" s="5">
        <v>2.006313</v>
      </c>
      <c r="E82" s="5">
        <v>0.49842671607072281</v>
      </c>
      <c r="F82" s="6">
        <v>5.6941999999999902E-2</v>
      </c>
      <c r="G82" s="6">
        <v>0.24007000000000001</v>
      </c>
      <c r="H82" s="15">
        <v>454545.45454545447</v>
      </c>
      <c r="I82" s="15">
        <v>303348.47188082361</v>
      </c>
      <c r="J82" s="15">
        <v>151196.98266463089</v>
      </c>
      <c r="K82" s="15">
        <v>8609.4585868893992</v>
      </c>
      <c r="L82" s="15">
        <v>36297.859628297949</v>
      </c>
      <c r="M82" s="15">
        <v>-27688.40104140855</v>
      </c>
    </row>
    <row r="83" spans="1:13" x14ac:dyDescent="0.35">
      <c r="A83" s="10" t="s">
        <v>221</v>
      </c>
      <c r="B83" s="10">
        <v>1</v>
      </c>
      <c r="C83" s="11">
        <v>28.875713999999999</v>
      </c>
      <c r="D83" s="12">
        <v>1.991619</v>
      </c>
      <c r="E83" s="12">
        <v>0.50210406709315381</v>
      </c>
      <c r="F83" s="13">
        <v>5.4679999999999999E-2</v>
      </c>
      <c r="G83" s="13">
        <v>0.17505599999999999</v>
      </c>
      <c r="H83" s="16">
        <v>454545.45454545447</v>
      </c>
      <c r="I83" s="16">
        <v>302605.83437809552</v>
      </c>
      <c r="J83" s="16">
        <v>151939.6201673591</v>
      </c>
      <c r="K83" s="16">
        <v>8308.0584307511945</v>
      </c>
      <c r="L83" s="16">
        <v>26597.94214801721</v>
      </c>
      <c r="M83" s="16">
        <v>-18289.88371726601</v>
      </c>
    </row>
    <row r="84" spans="1:13" x14ac:dyDescent="0.35">
      <c r="A84" s="3" t="s">
        <v>223</v>
      </c>
      <c r="B84" s="3">
        <v>3</v>
      </c>
      <c r="C84" s="4">
        <v>181.444951</v>
      </c>
      <c r="D84" s="5">
        <v>1.9899389999999999</v>
      </c>
      <c r="E84" s="5">
        <v>0.50252796693767998</v>
      </c>
      <c r="F84" s="6">
        <v>4.1561333333333332E-2</v>
      </c>
      <c r="G84" s="6">
        <v>0.13306333333333331</v>
      </c>
      <c r="H84" s="15">
        <v>454545.45454545447</v>
      </c>
      <c r="I84" s="15">
        <v>302520.46187990031</v>
      </c>
      <c r="J84" s="15">
        <v>152024.99266555419</v>
      </c>
      <c r="K84" s="15">
        <v>6318.3613951706539</v>
      </c>
      <c r="L84" s="15">
        <v>20228.952274054191</v>
      </c>
      <c r="M84" s="15">
        <v>-13910.59087888354</v>
      </c>
    </row>
    <row r="85" spans="1:13" x14ac:dyDescent="0.35">
      <c r="A85" s="10" t="s">
        <v>227</v>
      </c>
      <c r="B85" s="10">
        <v>1</v>
      </c>
      <c r="C85" s="11">
        <v>22.296972</v>
      </c>
      <c r="D85" s="12">
        <v>1.977975</v>
      </c>
      <c r="E85" s="12">
        <v>0.50556756278517168</v>
      </c>
      <c r="F85" s="13">
        <v>3.8599999999999898E-2</v>
      </c>
      <c r="G85" s="13">
        <v>0.19295399999999999</v>
      </c>
      <c r="H85" s="16">
        <v>454545.45454545447</v>
      </c>
      <c r="I85" s="16">
        <v>301909.70221527899</v>
      </c>
      <c r="J85" s="16">
        <v>152635.75233017551</v>
      </c>
      <c r="K85" s="16">
        <v>5891.7400399447606</v>
      </c>
      <c r="L85" s="16">
        <v>29451.678955116691</v>
      </c>
      <c r="M85" s="16">
        <v>-23559.93891517193</v>
      </c>
    </row>
    <row r="86" spans="1:13" x14ac:dyDescent="0.35">
      <c r="A86" s="3" t="s">
        <v>229</v>
      </c>
      <c r="B86" s="3">
        <v>1</v>
      </c>
      <c r="C86" s="4">
        <v>556.87769600000001</v>
      </c>
      <c r="D86" s="5">
        <v>2.9876360000000002</v>
      </c>
      <c r="E86" s="5">
        <v>0.33471279633797418</v>
      </c>
      <c r="F86" s="6">
        <v>2.2884999999999898E-2</v>
      </c>
      <c r="G86" s="6">
        <v>0.29685600000000001</v>
      </c>
      <c r="H86" s="15">
        <v>454545.45454545447</v>
      </c>
      <c r="I86" s="15">
        <v>340556.75182899431</v>
      </c>
      <c r="J86" s="15">
        <v>113988.7027164602</v>
      </c>
      <c r="K86" s="15">
        <v>2608.6314616661812</v>
      </c>
      <c r="L86" s="15">
        <v>33838.230333597523</v>
      </c>
      <c r="M86" s="15">
        <v>-31229.598871931339</v>
      </c>
    </row>
    <row r="87" spans="1:13" x14ac:dyDescent="0.35">
      <c r="A87" s="10" t="s">
        <v>231</v>
      </c>
      <c r="B87" s="10">
        <v>1</v>
      </c>
      <c r="C87" s="11">
        <v>6.1478710000000003</v>
      </c>
      <c r="D87" s="12">
        <v>2.0274040000000002</v>
      </c>
      <c r="E87" s="12">
        <v>0.49324160354818269</v>
      </c>
      <c r="F87" s="13">
        <v>1.45089999999999E-2</v>
      </c>
      <c r="G87" s="13">
        <v>0.14171600000000001</v>
      </c>
      <c r="H87" s="16">
        <v>454545.45454545447</v>
      </c>
      <c r="I87" s="16">
        <v>304401.81512849708</v>
      </c>
      <c r="J87" s="16">
        <v>150143.63941695739</v>
      </c>
      <c r="K87" s="16">
        <v>2178.4340643006199</v>
      </c>
      <c r="L87" s="16">
        <v>21277.75600361354</v>
      </c>
      <c r="M87" s="16">
        <v>-19099.321939312918</v>
      </c>
    </row>
    <row r="88" spans="1:13" x14ac:dyDescent="0.35">
      <c r="A88" s="3" t="s">
        <v>233</v>
      </c>
      <c r="B88" s="3">
        <v>1</v>
      </c>
      <c r="C88" s="4">
        <v>8.0455909999999999</v>
      </c>
      <c r="D88" s="5">
        <v>1.983813</v>
      </c>
      <c r="E88" s="5">
        <v>0.50407976961538203</v>
      </c>
      <c r="F88" s="6">
        <v>-8.2643999999999898E-2</v>
      </c>
      <c r="G88" s="6">
        <v>0.1941399999999999</v>
      </c>
      <c r="H88" s="15">
        <v>454545.45454545447</v>
      </c>
      <c r="I88" s="15">
        <v>302208.34275411419</v>
      </c>
      <c r="J88" s="15">
        <v>152337.11179134031</v>
      </c>
      <c r="K88" s="15">
        <v>-12589.748266883509</v>
      </c>
      <c r="L88" s="15">
        <v>29574.726883170792</v>
      </c>
      <c r="M88" s="15">
        <v>-42164.475150054299</v>
      </c>
    </row>
    <row r="89" spans="1:13" x14ac:dyDescent="0.35">
      <c r="A89" s="10" t="s">
        <v>235</v>
      </c>
      <c r="B89" s="10">
        <v>1</v>
      </c>
      <c r="C89" s="11">
        <v>5.8190869999999997</v>
      </c>
      <c r="D89" s="12">
        <v>1.986863</v>
      </c>
      <c r="E89" s="12">
        <v>0.50330596523263049</v>
      </c>
      <c r="F89" s="13">
        <v>-0.14327500000000001</v>
      </c>
      <c r="G89" s="13">
        <v>0.24038200000000001</v>
      </c>
      <c r="H89" s="16">
        <v>454545.45454545447</v>
      </c>
      <c r="I89" s="16">
        <v>302363.90000296151</v>
      </c>
      <c r="J89" s="16">
        <v>152181.5545424931</v>
      </c>
      <c r="K89" s="16">
        <v>-21803.812227075701</v>
      </c>
      <c r="L89" s="16">
        <v>36581.706444033567</v>
      </c>
      <c r="M89" s="16">
        <v>-58385.518671109268</v>
      </c>
    </row>
    <row r="90" spans="1:13" x14ac:dyDescent="0.35">
      <c r="A90" s="17" t="s">
        <v>244</v>
      </c>
      <c r="B90" s="17">
        <f>SUM(B2:B89)</f>
        <v>122</v>
      </c>
      <c r="H90" s="18">
        <f t="shared" ref="H90:M90" si="0">SUM(H2:H89)</f>
        <v>39999999.99999994</v>
      </c>
      <c r="I90" s="18">
        <f t="shared" si="0"/>
        <v>26850272.8668346</v>
      </c>
      <c r="J90" s="18">
        <f t="shared" si="0"/>
        <v>13149727.133165399</v>
      </c>
      <c r="K90" s="18">
        <f t="shared" si="0"/>
        <v>5296668.5892623533</v>
      </c>
      <c r="L90" s="18">
        <f t="shared" si="0"/>
        <v>1670943.2576616525</v>
      </c>
      <c r="M90" s="18">
        <f t="shared" si="0"/>
        <v>3625725.3316007056</v>
      </c>
    </row>
    <row r="92" spans="1:13" x14ac:dyDescent="0.35">
      <c r="A92" s="19" t="s">
        <v>245</v>
      </c>
    </row>
    <row r="93" spans="1:13" x14ac:dyDescent="0.35">
      <c r="A93" s="9" t="s">
        <v>246</v>
      </c>
      <c r="B93" s="20">
        <v>40000000</v>
      </c>
    </row>
    <row r="94" spans="1:13" x14ac:dyDescent="0.35">
      <c r="A94" s="9" t="s">
        <v>247</v>
      </c>
      <c r="B94" s="21">
        <v>88</v>
      </c>
    </row>
    <row r="95" spans="1:13" x14ac:dyDescent="0.35">
      <c r="A95" s="9" t="s">
        <v>248</v>
      </c>
      <c r="B95" s="20">
        <v>454545.45454545447</v>
      </c>
    </row>
    <row r="96" spans="1:13" x14ac:dyDescent="0.35">
      <c r="A96" s="9" t="s">
        <v>249</v>
      </c>
      <c r="B96" s="20">
        <v>304545.45454545447</v>
      </c>
    </row>
    <row r="97" spans="1:2" x14ac:dyDescent="0.35">
      <c r="A97" s="9" t="s">
        <v>250</v>
      </c>
      <c r="B97" s="20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Universe Map</vt:lpstr>
      <vt:lpstr>Sizing $40M Gross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Lilly Cordover</cp:lastModifiedBy>
  <dcterms:created xsi:type="dcterms:W3CDTF">2026-03-24T16:29:49Z</dcterms:created>
  <dcterms:modified xsi:type="dcterms:W3CDTF">2026-03-24T16:31:25Z</dcterms:modified>
</cp:coreProperties>
</file>